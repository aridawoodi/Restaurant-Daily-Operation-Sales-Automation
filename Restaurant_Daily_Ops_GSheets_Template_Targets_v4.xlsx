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588" yWindow="528" windowWidth="21822" windowHeight="8856" tabRatio="600" firstSheet="0" activeTab="0" autoFilterDateGrouping="1"/>
  </bookViews>
  <sheets>
    <sheet name="Dashboard" sheetId="1" state="visible" r:id="rId1"/>
    <sheet name="Sales_Payments" sheetId="2" state="visible" r:id="rId2"/>
    <sheet name="Sales_Revenue" sheetId="3" state="visible" r:id="rId3"/>
    <sheet name="Sales_Category" sheetId="4" state="visible" r:id="rId4"/>
    <sheet name="Sales_Daypart" sheetId="5" state="visible" r:id="rId5"/>
    <sheet name="Labor_Input" sheetId="6" state="visible" r:id="rId6"/>
    <sheet name="COGS_Input" sheetId="7" state="visible" r:id="rId7"/>
    <sheet name="Direct_NonControllable" sheetId="8" state="visible" r:id="rId8"/>
    <sheet name="Targets_Reference" sheetId="9" state="visible" r:id="rId9"/>
    <sheet name="COGS_Vendor_Lookup" sheetId="10" state="visible" r:id="rId10"/>
    <sheet name="Job_Classification_Lookup" sheetId="11" state="visible" r:id="rId11"/>
    <sheet name="Data_Aggregation" sheetId="12" state="hidden" r:id="rId12"/>
    <sheet name="Category Daily Ops" sheetId="13" state="visible" r:id="rId13"/>
  </sheets>
  <definedNames/>
  <calcPr calcId="145621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\-mm\-dd"/>
    <numFmt numFmtId="166" formatCode="\$#,##0.00"/>
  </numFmts>
  <fonts count="10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i val="1"/>
      <color rgb="FF666666"/>
      <sz val="8"/>
    </font>
    <font>
      <name val="Calibri"/>
      <b val="1"/>
      <i val="1"/>
      <sz val="11"/>
    </font>
    <font>
      <name val="Calibri"/>
      <i val="1"/>
      <sz val="9"/>
    </font>
    <font>
      <name val="Calibri"/>
      <b val="1"/>
      <color rgb="FF004085"/>
      <sz val="11"/>
    </font>
    <font>
      <name val="Calibri"/>
      <b val="1"/>
      <sz val="11"/>
    </font>
    <font>
      <name val="Calibri"/>
      <b val="1"/>
      <color rgb="FFFFFFFF"/>
      <sz val="16"/>
    </font>
    <font>
      <name val="Calibri"/>
      <b val="1"/>
      <color rgb="FFFFFFFF"/>
      <sz val="12"/>
    </font>
    <font>
      <name val="Calibri"/>
      <family val="2"/>
      <b val="1"/>
      <sz val="11"/>
    </font>
  </fonts>
  <fills count="16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F4B084"/>
        <bgColor rgb="FFF4B084"/>
      </patternFill>
    </fill>
    <fill>
      <patternFill patternType="solid">
        <fgColor rgb="FF666666"/>
        <bgColor rgb="FF666666"/>
      </patternFill>
    </fill>
    <fill>
      <patternFill patternType="solid">
        <fgColor rgb="FF5B9BD5"/>
        <bgColor rgb="FF5B9BD5"/>
      </patternFill>
    </fill>
    <fill>
      <patternFill patternType="solid">
        <fgColor rgb="FFED7D31"/>
        <bgColor rgb="FFED7D31"/>
      </patternFill>
    </fill>
    <fill>
      <patternFill patternType="solid">
        <fgColor rgb="FFE2A76F"/>
        <bgColor rgb="FFE2A76F"/>
      </patternFill>
    </fill>
    <fill>
      <patternFill patternType="solid">
        <fgColor rgb="FF70AD47"/>
        <bgColor rgb="FF70AD47"/>
      </patternFill>
    </fill>
    <fill>
      <patternFill patternType="solid">
        <fgColor rgb="FFA9D08E"/>
        <bgColor rgb="FFA9D08E"/>
      </patternFill>
    </fill>
    <fill>
      <patternFill patternType="solid">
        <fgColor rgb="FF9F4F96"/>
        <bgColor rgb="FF9F4F96"/>
      </patternFill>
    </fill>
    <fill>
      <patternFill patternType="solid">
        <fgColor rgb="FFC183C0"/>
        <bgColor rgb="FFC183C0"/>
      </patternFill>
    </fill>
    <fill>
      <patternFill patternType="solid">
        <fgColor rgb="FFD9E1F2"/>
        <bgColor rgb="FF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/>
    </xf>
    <xf numFmtId="0" fontId="1" fillId="10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  <xf numFmtId="0" fontId="1" fillId="14" borderId="0" applyAlignment="1" pivotButton="0" quotePrefix="0" xfId="0">
      <alignment horizontal="center"/>
    </xf>
    <xf numFmtId="164" fontId="0" fillId="0" borderId="0" pivotButton="0" quotePrefix="0" xfId="0"/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6" fillId="6" borderId="0" applyAlignment="1" pivotButton="0" quotePrefix="0" xfId="0">
      <alignment horizontal="center"/>
    </xf>
    <xf numFmtId="165" fontId="0" fillId="0" borderId="0" pivotButton="0" quotePrefix="0" xfId="0"/>
    <xf numFmtId="0" fontId="8" fillId="2" borderId="0" applyAlignment="1" pivotButton="0" quotePrefix="0" xfId="0">
      <alignment horizontal="center"/>
    </xf>
    <xf numFmtId="0" fontId="0" fillId="0" borderId="0" pivotButton="0" quotePrefix="0" xfId="0"/>
    <xf numFmtId="0" fontId="8" fillId="11" borderId="0" applyAlignment="1" pivotButton="0" quotePrefix="0" xfId="0">
      <alignment horizontal="center"/>
    </xf>
    <xf numFmtId="0" fontId="8" fillId="9" borderId="0" applyAlignment="1" pivotButton="0" quotePrefix="0" xfId="0">
      <alignment horizontal="center"/>
    </xf>
    <xf numFmtId="0" fontId="8" fillId="7" borderId="0" applyAlignment="1" pivotButton="0" quotePrefix="0" xfId="0">
      <alignment horizontal="center"/>
    </xf>
    <xf numFmtId="0" fontId="7" fillId="2" borderId="0" applyAlignment="1" pivotButton="0" quotePrefix="0" xfId="0">
      <alignment horizontal="center" vertical="center"/>
    </xf>
    <xf numFmtId="0" fontId="8" fillId="13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/>
    </xf>
    <xf numFmtId="0" fontId="9" fillId="1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dxfs count="3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2">
    <outlinePr summaryBelow="1" summaryRight="1"/>
    <pageSetUpPr/>
  </sheetPr>
  <dimension ref="A1:P50"/>
  <sheetViews>
    <sheetView tabSelected="1" workbookViewId="0">
      <pane xSplit="1" ySplit="7" topLeftCell="F8" activePane="bottomRight" state="frozen"/>
      <selection pane="topRight" activeCell="A1" sqref="A1"/>
      <selection pane="bottomLeft" activeCell="A1" sqref="A1"/>
      <selection pane="bottomRight" activeCell="P10" sqref="P10"/>
    </sheetView>
  </sheetViews>
  <sheetFormatPr baseColWidth="8" defaultRowHeight="14.4"/>
  <cols>
    <col width="25" customWidth="1" style="17" min="1" max="1"/>
    <col width="15" customWidth="1" style="17" min="2" max="3"/>
    <col width="34.734375" bestFit="1" customWidth="1" style="17" min="4" max="4"/>
    <col width="15" customWidth="1" style="17" min="5" max="8"/>
    <col width="20.5234375" bestFit="1" customWidth="1" style="17" min="16" max="16"/>
  </cols>
  <sheetData>
    <row r="1" ht="30" customHeight="1" s="17">
      <c r="A1" s="21" t="inlineStr">
        <is>
          <t>Restaurant Weekly Operations Dashboard</t>
        </is>
      </c>
    </row>
    <row r="2">
      <c r="P2" t="inlineStr">
        <is>
          <t>LY Week Range</t>
        </is>
      </c>
    </row>
    <row r="3">
      <c r="B3" s="15" t="n"/>
      <c r="D3" t="inlineStr">
        <is>
          <t>Instructions:</t>
        </is>
      </c>
      <c r="P3">
        <f>IF(AND(ISNUMBER($B$4),ISNUMBER($B$5)),TEXT(IF(ISNUMBER($B$4),DATE(YEAR($B$4-WEEKDAY($B$4,2)+4)-1,1,4)-WEEKDAY(DATE(YEAR($B$4-WEEKDAY($B$4,2)+4)-1,1,4),2)+1+7*(WEEKNUM($B$4-WEEKDAY($B$4,2)+4,2)-1),""),"yyyy-mm-dd")&amp;" - "&amp;TEXT(IF(ISNUMBER($B$5),DATE(YEAR($B$5-WEEKDAY($B$5,2)+4)-1,1,4)-WEEKDAY(DATE(YEAR($B$5-WEEKDAY($B$5,2)+4)-1,1,4),2)+1+7*(WEEKNUM($B$5-WEEKDAY($B$5,2)+4,2)-1)+6,""),"yyyy-mm-dd"),"")</f>
        <v/>
      </c>
    </row>
    <row r="4">
      <c r="A4" t="inlineStr">
        <is>
          <t>Week Start:</t>
        </is>
      </c>
      <c r="B4" s="15" t="n">
        <v>46023</v>
      </c>
      <c r="D4" t="inlineStr">
        <is>
          <t>Update B4 (start) and B5 (end) with date range</t>
        </is>
      </c>
    </row>
    <row r="5">
      <c r="A5" t="inlineStr">
        <is>
          <t>Week End:</t>
        </is>
      </c>
      <c r="B5" s="15" t="n">
        <v>46029</v>
      </c>
      <c r="D5" t="inlineStr">
        <is>
          <t>Dashboard will auto-calculate comparisons</t>
        </is>
      </c>
    </row>
    <row r="7" ht="15.6" customHeight="1" s="17">
      <c r="A7" s="16" t="inlineStr">
        <is>
          <t>NET SALES BY CATEGORY</t>
        </is>
      </c>
    </row>
    <row r="8">
      <c r="A8" s="6" t="inlineStr">
        <is>
          <t>Category</t>
        </is>
      </c>
      <c r="B8" s="6" t="inlineStr">
        <is>
          <t>This Week</t>
        </is>
      </c>
      <c r="C8" s="6" t="inlineStr">
        <is>
          <t>Last Week</t>
        </is>
      </c>
      <c r="D8" s="6" t="inlineStr">
        <is>
          <t>Last Year Same Week</t>
        </is>
      </c>
      <c r="E8" s="6" t="inlineStr">
        <is>
          <t>Target %</t>
        </is>
      </c>
      <c r="F8" s="6" t="inlineStr">
        <is>
          <t>Actual %</t>
        </is>
      </c>
      <c r="G8" s="6" t="inlineStr">
        <is>
          <t>% vs Target</t>
        </is>
      </c>
      <c r="H8" s="6" t="inlineStr">
        <is>
          <t>Status</t>
        </is>
      </c>
    </row>
    <row r="9">
      <c r="A9" t="inlineStr">
        <is>
          <t>Food</t>
        </is>
      </c>
      <c r="B9" s="28">
        <f>IFERROR(SUMIFS(Sales_Category!$D:$D, Sales_Category!$A:$A, "&gt;="&amp;$B$4, Sales_Category!$A:$A, "&lt;="&amp;$B$5, Sales_Category!$B:$B, "Food"), 0)</f>
        <v/>
      </c>
      <c r="C9" s="28">
        <f>IFERROR(SUMIFS(Sales_Category!$D:$D, Sales_Category!$A:$A, "&gt;="&amp;($B$4-7), Sales_Category!$A:$A, "&lt;="&amp;($B$5-7), Sales_Category!$B:$B, "Food"), 0)</f>
        <v/>
      </c>
      <c r="D9" s="28">
        <f>IFERROR(SUMIFS(Sales_Category!$D:$D, Sales_Category!$A:$A, "&gt;="&amp;IF(ISNUMBER($B$4), (IF(ISNUMBER($B$4),DATE(YEAR($B$4-WEEKDAY($B$4,2)+4)-1,1,4)-WEEKDAY(DATE(YEAR($B$4-WEEKDAY($B$4,2)+4)-1,1,4),2)+1+7*(WEEKNUM($B$4-WEEKDAY($B$4,2)+4,2)-1),"")), ""), Sales_Category!$A:$A, "&lt;="&amp;IF(ISNUMBER($B$5), (IF(ISNUMBER($B$5),DATE(YEAR($B$5-WEEKDAY($B$5,2)+4)-1,1,4)-WEEKDAY(DATE(YEAR($B$5-WEEKDAY($B$5,2)+4)-1,1,4),2)+1+7*(WEEKNUM($B$5-WEEKDAY($B$5,2)+4,2)-1)+6,"")), ""), Sales_Category!$B:$B, "Food"), 0)</f>
        <v/>
      </c>
      <c r="E9" s="2" t="n">
        <v>0.6</v>
      </c>
      <c r="F9" s="2">
        <f>IFERROR(B9/SUMIFS(Sales_Category!$D:$D, Sales_Category!$A:$A, "&gt;="&amp;$B$4, Sales_Category!$A:$A, "&lt;="&amp;$B$5), 0)</f>
        <v/>
      </c>
      <c r="G9" s="2">
        <f>IFERROR(F9-E9, 0)</f>
        <v/>
      </c>
      <c r="H9">
        <f>IF(AND(F9&lt;&gt;"", E9&lt;&gt;""), IF(F9&lt;=E9*1.05, "OK", IF(F9&lt;=E9*1.15, "WARNING", "OFF")), "")</f>
        <v/>
      </c>
    </row>
    <row r="10">
      <c r="A10" t="inlineStr">
        <is>
          <t>Liquor (Incl. Wine)</t>
        </is>
      </c>
      <c r="B10" s="28">
        <f>IFERROR(SUMIFS(Sales_Category!$D:$D, Sales_Category!$A:$A, "&gt;="&amp;$B$4, Sales_Category!$A:$A, "&lt;="&amp;$B$5, Sales_Category!$B:$B, "Liquor") + SUMIFS(Sales_Category!$D:$D, Sales_Category!$A:$A, "&gt;="&amp;$B$4, Sales_Category!$A:$A, "&lt;="&amp;$B$5, Sales_Category!$B:$B, "Wine"), 0)</f>
        <v/>
      </c>
      <c r="C10" s="28">
        <f>IFERROR(SUMIFS(Sales_Category!$D:$D, Sales_Category!$A:$A, "&gt;="&amp;($B$4-7), Sales_Category!$A:$A, "&lt;="&amp;($B$5-7), Sales_Category!$B:$B, "Liquor") + SUMIFS(Sales_Category!$D:$D, Sales_Category!$A:$A, "&gt;="&amp;($B$4-7), Sales_Category!$A:$A, "&lt;="&amp;($B$5-7), Sales_Category!$B:$B, "Wine"), 0)</f>
        <v/>
      </c>
      <c r="D10" s="28">
        <f>IFERROR(SUMIFS(Sales_Category!$D:$D, Sales_Category!$A:$A, "&gt;="&amp;IF(ISNUMBER($B$4), (IF(ISNUMBER($B$4),DATE(YEAR($B$4-WEEKDAY($B$4,2)+4)-1,1,4)-WEEKDAY(DATE(YEAR($B$4-WEEKDAY($B$4,2)+4)-1,1,4),2)+1+7*(WEEKNUM($B$4-WEEKDAY($B$4,2)+4,2)-1),"")), ""), Sales_Category!$A:$A, "&lt;="&amp;IF(ISNUMBER($B$5), (IF(ISNUMBER($B$5),DATE(YEAR($B$5-WEEKDAY($B$5,2)+4)-1,1,4)-WEEKDAY(DATE(YEAR($B$5-WEEKDAY($B$5,2)+4)-1,1,4),2)+1+7*(WEEKNUM($B$5-WEEKDAY($B$5,2)+4,2)-1)+6,"")), ""), Sales_Category!$B:$B, "Liquor") + SUMIFS(Sales_Category!$D:$D, Sales_Category!$A:$A, "&gt;="&amp;IF(ISNUMBER($B$4), (IF(ISNUMBER($B$4),DATE(YEAR($B$4-WEEKDAY($B$4,2)+4)-1,1,4)-WEEKDAY(DATE(YEAR($B$4-WEEKDAY($B$4,2)+4)-1,1,4),2)+1+7*(WEEKNUM($B$4-WEEKDAY($B$4,2)+4,2)-1),"")), ""), Sales_Category!$A:$A, "&lt;="&amp;IF(ISNUMBER($B$5), (IF(ISNUMBER($B$5),DATE(YEAR($B$5-WEEKDAY($B$5,2)+4)-1,1,4)-WEEKDAY(DATE(YEAR($B$5-WEEKDAY($B$5,2)+4)-1,1,4),2)+1+7*(WEEKNUM($B$5-WEEKDAY($B$5,2)+4,2)-1)+6,"")), ""), Sales_Category!$B:$B, "Wine"), 0)</f>
        <v/>
      </c>
      <c r="E10" s="2" t="n">
        <v>0.4</v>
      </c>
      <c r="F10" s="2">
        <f>IFERROR(B10/SUMIFS(Sales_Category!$D:$D, Sales_Category!$A:$A, "&gt;="&amp;$B$4, Sales_Category!$A:$A, "&lt;="&amp;$B$5), 0)</f>
        <v/>
      </c>
      <c r="G10" s="2">
        <f>IFERROR(F10-E10, 0)</f>
        <v/>
      </c>
      <c r="H10">
        <f>IF(AND(F10&lt;&gt;"", E10&lt;&gt;""), IF(F10&lt;=E10*1.05, "OK", IF(F10&lt;=E10*1.15, "WARNING", "OFF")), "")</f>
        <v/>
      </c>
    </row>
    <row r="11">
      <c r="A11" t="inlineStr">
        <is>
          <t>Bottled Beer</t>
        </is>
      </c>
      <c r="B11" s="28">
        <f>IFERROR(SUMIFS(Sales_Category!$D:$D, Sales_Category!$A:$A, "&gt;="&amp;$B$4, Sales_Category!$A:$A, "&lt;="&amp;$B$5, Sales_Category!$B:$B, "Bottled Beer"), 0)</f>
        <v/>
      </c>
      <c r="C11" s="28">
        <f>IFERROR(SUMIFS(Sales_Category!$D:$D, Sales_Category!$A:$A, "&gt;="&amp;($B$4-7), Sales_Category!$A:$A, "&lt;="&amp;($B$5-7), Sales_Category!$B:$B, "Bottled Beer"), 0)</f>
        <v/>
      </c>
      <c r="D11" s="28">
        <f>IFERROR(SUMIFS(Sales_Category!$D:$D, Sales_Category!$A:$A, "&gt;="&amp;IF(ISNUMBER($B$4), (IF(ISNUMBER($B$4),DATE(YEAR($B$4-WEEKDAY($B$4,2)+4)-1,1,4)-WEEKDAY(DATE(YEAR($B$4-WEEKDAY($B$4,2)+4)-1,1,4),2)+1+7*(WEEKNUM($B$4-WEEKDAY($B$4,2)+4,2)-1),"")), ""), Sales_Category!$A:$A, "&lt;="&amp;IF(ISNUMBER($B$5), (IF(ISNUMBER($B$5),DATE(YEAR($B$5-WEEKDAY($B$5,2)+4)-1,1,4)-WEEKDAY(DATE(YEAR($B$5-WEEKDAY($B$5,2)+4)-1,1,4),2)+1+7*(WEEKNUM($B$5-WEEKDAY($B$5,2)+4,2)-1)+6,"")), ""), Sales_Category!$B:$B, "Bottled Beer"), 0)</f>
        <v/>
      </c>
      <c r="E11" s="2" t="n">
        <v>0</v>
      </c>
      <c r="F11" s="2">
        <f>IFERROR(B11/SUMIFS(Sales_Category!$D:$D, Sales_Category!$A:$A, "&gt;="&amp;$B$4, Sales_Category!$A:$A, "&lt;="&amp;$B$5), 0)</f>
        <v/>
      </c>
      <c r="G11" s="2">
        <f>IFERROR(F11-E11, 0)</f>
        <v/>
      </c>
      <c r="H11">
        <f>IF(AND(F11&lt;&gt;"", E11&lt;&gt;""), IF(F11&lt;=E11*1.05, "OK", IF(F11&lt;=E11*1.15, "WARNING", "OFF")), "")</f>
        <v/>
      </c>
    </row>
    <row r="12">
      <c r="A12" t="inlineStr">
        <is>
          <t>NA Beverage</t>
        </is>
      </c>
      <c r="B12" s="28">
        <f>IFERROR(SUMIFS(Sales_Category!$D:$D, Sales_Category!$A:$A, "&gt;="&amp;$B$4, Sales_Category!$A:$A, "&lt;="&amp;$B$5, Sales_Category!$B:$B, "NA Beverage"), 0)</f>
        <v/>
      </c>
      <c r="C12" s="28">
        <f>IFERROR(SUMIFS(Sales_Category!$D:$D, Sales_Category!$A:$A, "&gt;="&amp;($B$4-7), Sales_Category!$A:$A, "&lt;="&amp;($B$5-7), Sales_Category!$B:$B, "NA Beverage"), 0)</f>
        <v/>
      </c>
      <c r="D12" s="28">
        <f>IFERROR(SUMIFS(Sales_Category!$D:$D, Sales_Category!$A:$A, "&gt;="&amp;IF(ISNUMBER($B$4), (IF(ISNUMBER($B$4),DATE(YEAR($B$4-WEEKDAY($B$4,2)+4)-1,1,4)-WEEKDAY(DATE(YEAR($B$4-WEEKDAY($B$4,2)+4)-1,1,4),2)+1+7*(WEEKNUM($B$4-WEEKDAY($B$4,2)+4,2)-1),"")), ""), Sales_Category!$A:$A, "&lt;="&amp;IF(ISNUMBER($B$5), (IF(ISNUMBER($B$5),DATE(YEAR($B$5-WEEKDAY($B$5,2)+4)-1,1,4)-WEEKDAY(DATE(YEAR($B$5-WEEKDAY($B$5,2)+4)-1,1,4),2)+1+7*(WEEKNUM($B$5-WEEKDAY($B$5,2)+4,2)-1)+6,"")), ""), Sales_Category!$B:$B, "NA Beverage"), 0)</f>
        <v/>
      </c>
      <c r="E12" s="2" t="n">
        <v>0</v>
      </c>
      <c r="F12" s="2">
        <f>IFERROR(B12/SUMIFS(Sales_Category!$D:$D, Sales_Category!$A:$A, "&gt;="&amp;$B$4, Sales_Category!$A:$A, "&lt;="&amp;$B$5), 0)</f>
        <v/>
      </c>
      <c r="G12" s="2">
        <f>IFERROR(F12-E12, 0)</f>
        <v/>
      </c>
      <c r="H12">
        <f>IF(AND(F12&lt;&gt;"", E12&lt;&gt;""), IF(F12&lt;=E12*1.05, "OK", IF(F12&lt;=E12*1.15, "WARNING", "OFF")), "")</f>
        <v/>
      </c>
    </row>
    <row r="13">
      <c r="A13" t="inlineStr">
        <is>
          <t>Retail</t>
        </is>
      </c>
      <c r="B13" s="28">
        <f>IFERROR(SUMIFS(Sales_Category!$D:$D, Sales_Category!$A:$A, "&gt;="&amp;$B$4, Sales_Category!$A:$A, "&lt;="&amp;$B$5, Sales_Category!$B:$B, "Retail"), 0)</f>
        <v/>
      </c>
      <c r="C13" s="28">
        <f>IFERROR(SUMIFS(Sales_Category!$D:$D, Sales_Category!$A:$A, "&gt;="&amp;($B$4-7), Sales_Category!$A:$A, "&lt;="&amp;($B$5-7), Sales_Category!$B:$B, "Retail"), 0)</f>
        <v/>
      </c>
      <c r="D13" s="28">
        <f>IFERROR(SUMIFS(Sales_Category!$D:$D, Sales_Category!$A:$A, "&gt;="&amp;IF(ISNUMBER($B$4), (IF(ISNUMBER($B$4),DATE(YEAR($B$4-WEEKDAY($B$4,2)+4)-1,1,4)-WEEKDAY(DATE(YEAR($B$4-WEEKDAY($B$4,2)+4)-1,1,4),2)+1+7*(WEEKNUM($B$4-WEEKDAY($B$4,2)+4,2)-1),"")), ""), Sales_Category!$A:$A, "&lt;="&amp;IF(ISNUMBER($B$5), (IF(ISNUMBER($B$5),DATE(YEAR($B$5-WEEKDAY($B$5,2)+4)-1,1,4)-WEEKDAY(DATE(YEAR($B$5-WEEKDAY($B$5,2)+4)-1,1,4),2)+1+7*(WEEKNUM($B$5-WEEKDAY($B$5,2)+4,2)-1)+6,"")), ""), Sales_Category!$B:$B, "Retail"), 0)</f>
        <v/>
      </c>
      <c r="E13" s="2" t="n">
        <v>0</v>
      </c>
      <c r="F13" s="2">
        <f>IFERROR(B13/SUMIFS(Sales_Category!$D:$D, Sales_Category!$A:$A, "&gt;="&amp;$B$4, Sales_Category!$A:$A, "&lt;="&amp;$B$5), 0)</f>
        <v/>
      </c>
      <c r="G13" s="2">
        <f>IFERROR(F13-E13, 0)</f>
        <v/>
      </c>
      <c r="H13">
        <f>IF(AND(F13&lt;&gt;"", E13&lt;&gt;""), IF(F13&lt;=E13*1.05, "OK", IF(F13&lt;=E13*1.15, "WARNING", "OFF")), "")</f>
        <v/>
      </c>
    </row>
    <row r="14">
      <c r="A14" t="inlineStr">
        <is>
          <t>Non-Grat Service Charges</t>
        </is>
      </c>
      <c r="B14" s="28">
        <f>IFERROR(SUMIFS(Sales_Category!$D:$D, Sales_Category!$A:$A, "&gt;="&amp;$B$4, Sales_Category!$A:$A, "&lt;="&amp;$B$5, Sales_Category!$B:$B, "Non-Grat Svc Charges"), 0)</f>
        <v/>
      </c>
      <c r="C14" s="28">
        <f>IFERROR(SUMIFS(Sales_Category!$D:$D, Sales_Category!$A:$A, "&gt;="&amp;($B$4-7), Sales_Category!$A:$A, "&lt;="&amp;($B$5-7), Sales_Category!$B:$B, "Non-Grat Svc Charges"), 0)</f>
        <v/>
      </c>
      <c r="D14" s="28">
        <f>IFERROR(SUMIFS(Sales_Category!$D:$D, Sales_Category!$A:$A, "&gt;="&amp;IF(ISNUMBER($B$4), (IF(ISNUMBER($B$4),DATE(YEAR($B$4-WEEKDAY($B$4,2)+4)-1,1,4)-WEEKDAY(DATE(YEAR($B$4-WEEKDAY($B$4,2)+4)-1,1,4),2)+1+7*(WEEKNUM($B$4-WEEKDAY($B$4,2)+4,2)-1),"")), ""), Sales_Category!$A:$A, "&lt;="&amp;IF(ISNUMBER($B$5), (IF(ISNUMBER($B$5),DATE(YEAR($B$5-WEEKDAY($B$5,2)+4)-1,1,4)-WEEKDAY(DATE(YEAR($B$5-WEEKDAY($B$5,2)+4)-1,1,4),2)+1+7*(WEEKNUM($B$5-WEEKDAY($B$5,2)+4,2)-1)+6,"")), ""), Sales_Category!$B:$B, "Non-Grat Svc Charges"), 0)</f>
        <v/>
      </c>
      <c r="E14" s="2" t="n">
        <v>0</v>
      </c>
      <c r="F14" s="2">
        <f>IFERROR(B14/SUMIFS(Sales_Category!$D:$D, Sales_Category!$A:$A, "&gt;="&amp;$B$4, Sales_Category!$A:$A, "&lt;="&amp;$B$5), 0)</f>
        <v/>
      </c>
      <c r="G14" s="2">
        <f>IFERROR(F14-E14, 0)</f>
        <v/>
      </c>
      <c r="H14">
        <f>IF(AND(F14&lt;&gt;"", E14&lt;&gt;""), IF(F14&lt;=E14*1.05, "OK", IF(F14&lt;=E14*1.15, "WARNING", "OFF")), "")</f>
        <v/>
      </c>
    </row>
    <row r="15">
      <c r="A15" t="inlineStr">
        <is>
          <t>Custom Amounts</t>
        </is>
      </c>
      <c r="B15" s="28">
        <f>IFERROR(SUMIFS(Sales_Category!$D:$D, Sales_Category!$A:$A, "&gt;="&amp;$B$4, Sales_Category!$A:$A, "&lt;="&amp;$B$5, Sales_Category!$B:$B, "Custom Amounts"), 0)</f>
        <v/>
      </c>
      <c r="C15" s="28">
        <f>IFERROR(SUMIFS(Sales_Category!$D:$D, Sales_Category!$A:$A, "&gt;="&amp;($B$4-7), Sales_Category!$A:$A, "&lt;="&amp;($B$5-7), Sales_Category!$B:$B, "Custom Amounts"), 0)</f>
        <v/>
      </c>
      <c r="D15" s="28">
        <f>IFERROR(SUMIFS(Sales_Category!$D:$D, Sales_Category!$A:$A, "&gt;="&amp;IF(ISNUMBER($B$4), (IF(ISNUMBER($B$4),DATE(YEAR($B$4-WEEKDAY($B$4,2)+4)-1,1,4)-WEEKDAY(DATE(YEAR($B$4-WEEKDAY($B$4,2)+4)-1,1,4),2)+1+7*(WEEKNUM($B$4-WEEKDAY($B$4,2)+4,2)-1),"")), ""), Sales_Category!$A:$A, "&lt;="&amp;IF(ISNUMBER($B$5), (IF(ISNUMBER($B$5),DATE(YEAR($B$5-WEEKDAY($B$5,2)+4)-1,1,4)-WEEKDAY(DATE(YEAR($B$5-WEEKDAY($B$5,2)+4)-1,1,4),2)+1+7*(WEEKNUM($B$5-WEEKDAY($B$5,2)+4,2)-1)+6,"")), ""), Sales_Category!$B:$B, "Custom Amounts"), 0)</f>
        <v/>
      </c>
      <c r="E15" s="2" t="n">
        <v>0</v>
      </c>
      <c r="F15" s="2">
        <f>IFERROR(B15/SUMIFS(Sales_Category!$D:$D, Sales_Category!$A:$A, "&gt;="&amp;$B$4, Sales_Category!$A:$A, "&lt;="&amp;$B$5), 0)</f>
        <v/>
      </c>
      <c r="G15" s="2">
        <f>IFERROR(F15-E15, 0)</f>
        <v/>
      </c>
      <c r="H15">
        <f>IF(AND(F15&lt;&gt;"", E15&lt;&gt;""), IF(F15&lt;=E15*1.05, "OK", IF(F15&lt;=E15*1.15, "WARNING", "OFF")), "")</f>
        <v/>
      </c>
    </row>
    <row r="16">
      <c r="A16" t="inlineStr">
        <is>
          <t>Uncategorized</t>
        </is>
      </c>
      <c r="B16" s="28">
        <f>IFERROR(SUMIFS(Sales_Category!$D:$D, Sales_Category!$A:$A, "&gt;="&amp;$B$4, Sales_Category!$A:$A, "&lt;="&amp;$B$5, Sales_Category!$B:$B, "No Sales Category Assigned"), 0)</f>
        <v/>
      </c>
      <c r="C16" s="28">
        <f>IFERROR(SUMIFS(Sales_Category!$D:$D, Sales_Category!$A:$A, "&gt;="&amp;($B$4-7), Sales_Category!$A:$A, "&lt;="&amp;($B$5-7), Sales_Category!$B:$B, "No Sales Category Assigned"), 0)</f>
        <v/>
      </c>
      <c r="D16" s="28">
        <f>IFERROR(SUMIFS(Sales_Category!$D:$D, Sales_Category!$A:$A, "&gt;="&amp;IF(ISNUMBER($B$4), (IF(ISNUMBER($B$4),DATE(YEAR($B$4-WEEKDAY($B$4,2)+4)-1,1,4)-WEEKDAY(DATE(YEAR($B$4-WEEKDAY($B$4,2)+4)-1,1,4),2)+1+7*(WEEKNUM($B$4-WEEKDAY($B$4,2)+4,2)-1),"")), ""), Sales_Category!$A:$A, "&lt;="&amp;IF(ISNUMBER($B$5), (IF(ISNUMBER($B$5),DATE(YEAR($B$5-WEEKDAY($B$5,2)+4)-1,1,4)-WEEKDAY(DATE(YEAR($B$5-WEEKDAY($B$5,2)+4)-1,1,4),2)+1+7*(WEEKNUM($B$5-WEEKDAY($B$5,2)+4,2)-1)+6,"")), ""), Sales_Category!$B:$B, "No Sales Category Assigned"), 0)</f>
        <v/>
      </c>
      <c r="E16" s="2" t="n">
        <v>0</v>
      </c>
      <c r="F16" s="2">
        <f>IFERROR(B16/SUMIFS(Sales_Category!$D:$D, Sales_Category!$A:$A, "&gt;="&amp;$B$4, Sales_Category!$A:$A, "&lt;="&amp;$B$5), 0)</f>
        <v/>
      </c>
      <c r="G16" s="2">
        <f>IFERROR(F16-E16, 0)</f>
        <v/>
      </c>
      <c r="H16">
        <f>IF(AND(F16&lt;&gt;"", E16&lt;&gt;""), IF(F16&lt;=E16*1.05, "OK", IF(F16&lt;=E16*1.15, "WARNING", "OFF")), "")</f>
        <v/>
      </c>
    </row>
    <row r="17">
      <c r="A17" t="inlineStr">
        <is>
          <t>Total</t>
        </is>
      </c>
      <c r="B17" s="28">
        <f>SUM(B9:B16)</f>
        <v/>
      </c>
      <c r="C17" s="28">
        <f>SUM(C9:C16)</f>
        <v/>
      </c>
      <c r="D17" s="28">
        <f>SUM(D9:D16)</f>
        <v/>
      </c>
      <c r="E17" s="28">
        <f>SUM(E9:E16)</f>
        <v/>
      </c>
      <c r="F17" s="28">
        <f>SUM(F9:F16)</f>
        <v/>
      </c>
      <c r="G17" s="28">
        <f>SUM(G9:G16)</f>
        <v/>
      </c>
    </row>
    <row r="19" ht="15.6" customHeight="1" s="17">
      <c r="A19" s="19" t="inlineStr">
        <is>
          <t>COST OF GOODS SOLD</t>
        </is>
      </c>
    </row>
    <row r="20">
      <c r="A20" s="7" t="inlineStr">
        <is>
          <t>Category</t>
        </is>
      </c>
      <c r="B20" s="7" t="inlineStr">
        <is>
          <t>This Week</t>
        </is>
      </c>
      <c r="C20" s="7" t="inlineStr">
        <is>
          <t>Last Week</t>
        </is>
      </c>
      <c r="D20" s="7" t="inlineStr">
        <is>
          <t>Last Year</t>
        </is>
      </c>
      <c r="E20" s="7" t="inlineStr">
        <is>
          <t>Target %</t>
        </is>
      </c>
      <c r="F20" s="7" t="inlineStr">
        <is>
          <t>Actual %</t>
        </is>
      </c>
      <c r="G20" s="7" t="inlineStr">
        <is>
          <t>Status</t>
        </is>
      </c>
    </row>
    <row r="21">
      <c r="A21" t="inlineStr">
        <is>
          <t>Food Cost</t>
        </is>
      </c>
      <c r="B21" s="28">
        <f>IFERROR(SUMIFS(COGS_Input!$G:$G, COGS_Input!$A:$A, "&gt;="&amp;$B$4, COGS_Input!$A:$A, "&lt;="&amp;$B$5, COGS_Input!$B:$B, "Food + NA Beverage"), 0)</f>
        <v/>
      </c>
      <c r="C21" s="28">
        <f>IFERROR(SUMIFS(COGS_Input!$G:$G, COGS_Input!$A:$A, "&gt;="&amp;($B$4-7), COGS_Input!$A:$A, "&lt;="&amp;($B$5-7), COGS_Input!$B:$B, "Food + NA Beverage"), 0)</f>
        <v/>
      </c>
      <c r="D21" s="28">
        <f>IFERROR(SUMIFS(COGS_Input!$G:$G, COGS_Input!$A:$A, "&gt;="&amp;IF(ISNUMBER($B$4), (IF(ISNUMBER($B$4),DATE(YEAR($B$4-WEEKDAY($B$4,2)+4)-1,1,4)-WEEKDAY(DATE(YEAR($B$4-WEEKDAY($B$4,2)+4)-1,1,4),2)+1+7*(WEEKNUM($B$4-WEEKDAY($B$4,2)+4,2)-1),"")), ""), COGS_Input!$A:$A, "&lt;="&amp;IF(ISNUMBER($B$5), (IF(ISNUMBER($B$5),DATE(YEAR($B$5-WEEKDAY($B$5,2)+4)-1,1,4)-WEEKDAY(DATE(YEAR($B$5-WEEKDAY($B$5,2)+4)-1,1,4),2)+1+7*(WEEKNUM($B$5-WEEKDAY($B$5,2)+4,2)-1)+6,"")), ""), COGS_Input!$B:$B, "Food + NA Beverage"), 0)</f>
        <v/>
      </c>
      <c r="E21" s="2" t="n">
        <v>0.25</v>
      </c>
      <c r="F21" s="2">
        <f>IFERROR(B21/SUMIFS(Sales_Category!$D:$D, Sales_Category!$A:$A, "&gt;="&amp;$B$4, Sales_Category!$A:$A, "&lt;="&amp;$B$5, Sales_Category!$B:$B, "Food"), 0)</f>
        <v/>
      </c>
      <c r="G21">
        <f>IF(AND(F21&lt;&gt;"", E21&lt;&gt;""), IF(F21&lt;=E21*1.05, "OK", IF(F21&lt;=E21*1.15, "WARNING", "OFF")), "")</f>
        <v/>
      </c>
    </row>
    <row r="22">
      <c r="A22" t="inlineStr">
        <is>
          <t>Liquor Cost</t>
        </is>
      </c>
      <c r="B22" s="28">
        <f>IFERROR(SUMIFS(COGS_Input!$G:$G, COGS_Input!$A:$A, "&gt;="&amp;$B$4, COGS_Input!$A:$A, "&lt;="&amp;$B$5, COGS_Input!$B:$B, "Liquor + Wine"), 0)</f>
        <v/>
      </c>
      <c r="C22" s="28">
        <f>IFERROR(SUMIFS(COGS_Input!$G:$G, COGS_Input!$A:$A, "&gt;="&amp;($B$4-7), COGS_Input!$A:$A, "&lt;="&amp;($B$5-7), COGS_Input!$B:$B, "Liquor + Wine"), 0)</f>
        <v/>
      </c>
      <c r="D22" s="28">
        <f>IFERROR(SUMIFS(COGS_Input!$G:$G, COGS_Input!$A:$A, "&gt;="&amp;IF(ISNUMBER($B$4), (IF(ISNUMBER($B$4),DATE(YEAR($B$4-WEEKDAY($B$4,2)+4)-1,1,4)-WEEKDAY(DATE(YEAR($B$4-WEEKDAY($B$4,2)+4)-1,1,4),2)+1+7*(WEEKNUM($B$4-WEEKDAY($B$4,2)+4,2)-1),"")), ""), COGS_Input!$A:$A, "&lt;="&amp;IF(ISNUMBER($B$5), (IF(ISNUMBER($B$5),DATE(YEAR($B$5-WEEKDAY($B$5,2)+4)-1,1,4)-WEEKDAY(DATE(YEAR($B$5-WEEKDAY($B$5,2)+4)-1,1,4),2)+1+7*(WEEKNUM($B$5-WEEKDAY($B$5,2)+4,2)-1)+6,"")), ""), COGS_Input!$B:$B, "Liquor + Wine"), 0)</f>
        <v/>
      </c>
      <c r="E22" s="2" t="n">
        <v>0.12</v>
      </c>
      <c r="F22" s="2">
        <f>IFERROR(B22/SUMIFS(Sales_Category!$D:$D, Sales_Category!$A:$A, "&gt;="&amp;$B$4, Sales_Category!$A:$A, "&lt;="&amp;$B$5, Sales_Category!$B:$B, "Liquor"), 0)</f>
        <v/>
      </c>
      <c r="G22">
        <f>IF(AND(F22&lt;&gt;"", E22&lt;&gt;""), IF(F22&lt;=E22*1.05, "OK", IF(F22&lt;=E22*1.15, "WARNING", "OFF")), "")</f>
        <v/>
      </c>
    </row>
    <row r="23">
      <c r="A23" t="inlineStr">
        <is>
          <t>Beer Cost</t>
        </is>
      </c>
      <c r="B23" s="28">
        <f>IFERROR(SUMIFS(COGS_Input!$G:$G, COGS_Input!$A:$A, "&gt;="&amp;$B$4, COGS_Input!$A:$A, "&lt;="&amp;$B$5, COGS_Input!$B:$B, "Beer"), 0)</f>
        <v/>
      </c>
      <c r="C23" s="28">
        <f>IFERROR(SUMIFS(COGS_Input!$G:$G, COGS_Input!$A:$A, "&gt;="&amp;($B$4-7), COGS_Input!$A:$A, "&lt;="&amp;($B$5-7), COGS_Input!$B:$B, "Beer"), 0)</f>
        <v/>
      </c>
      <c r="D23" s="28">
        <f>IFERROR(SUMIFS(COGS_Input!$G:$G, COGS_Input!$A:$A, "&gt;="&amp;IF(ISNUMBER($B$4), (IF(ISNUMBER($B$4),DATE(YEAR($B$4-WEEKDAY($B$4,2)+4)-1,1,4)-WEEKDAY(DATE(YEAR($B$4-WEEKDAY($B$4,2)+4)-1,1,4),2)+1+7*(WEEKNUM($B$4-WEEKDAY($B$4,2)+4,2)-1),"")), ""), COGS_Input!$A:$A, "&lt;="&amp;IF(ISNUMBER($B$5), (IF(ISNUMBER($B$5),DATE(YEAR($B$5-WEEKDAY($B$5,2)+4)-1,1,4)-WEEKDAY(DATE(YEAR($B$5-WEEKDAY($B$5,2)+4)-1,1,4),2)+1+7*(WEEKNUM($B$5-WEEKDAY($B$5,2)+4,2)-1)+6,"")), ""), COGS_Input!$B:$B, "Beer"), 0)</f>
        <v/>
      </c>
      <c r="E23" s="2" t="n">
        <v>0.15</v>
      </c>
      <c r="F23" s="2">
        <f>IFERROR(B23/SUMIFS(Sales_Category!$D:$D, Sales_Category!$A:$A, "&gt;="&amp;$B$4, Sales_Category!$A:$A, "&lt;="&amp;$B$5, Sales_Category!$B:$B, "Bottled Beer"), 0)</f>
        <v/>
      </c>
      <c r="G23">
        <f>IF(AND(F23&lt;&gt;"", E23&lt;&gt;""), IF(F23&lt;=E23*1.05, "OK", IF(F23&lt;=E23*1.15, "WARNING", "OFF")), "")</f>
        <v/>
      </c>
    </row>
    <row r="24">
      <c r="A24" t="inlineStr">
        <is>
          <t>Retail Cost</t>
        </is>
      </c>
      <c r="B24" s="28">
        <f>IFERROR(SUMIFS(COGS_Input!$G:$G, COGS_Input!$A:$A, "&gt;="&amp;$B$4, COGS_Input!$A:$A, "&lt;="&amp;$B$5, COGS_Input!$B:$B, "Retail"), 0)</f>
        <v/>
      </c>
      <c r="C24" s="28">
        <f>IFERROR(SUMIFS(COGS_Input!$G:$G, COGS_Input!$A:$A, "&gt;="&amp;($B$4-7), COGS_Input!$A:$A, "&lt;="&amp;($B$5-7), COGS_Input!$B:$B, "Retail"), 0)</f>
        <v/>
      </c>
      <c r="D24" s="28">
        <f>IFERROR(SUMIFS(COGS_Input!$G:$G, COGS_Input!$A:$A, "&gt;="&amp;IF(ISNUMBER($B$4), (IF(ISNUMBER($B$4),DATE(YEAR($B$4-WEEKDAY($B$4,2)+4)-1,1,4)-WEEKDAY(DATE(YEAR($B$4-WEEKDAY($B$4,2)+4)-1,1,4),2)+1+7*(WEEKNUM($B$4-WEEKDAY($B$4,2)+4,2)-1),"")), ""), COGS_Input!$A:$A, "&lt;="&amp;IF(ISNUMBER($B$5), (IF(ISNUMBER($B$5),DATE(YEAR($B$5-WEEKDAY($B$5,2)+4)-1,1,4)-WEEKDAY(DATE(YEAR($B$5-WEEKDAY($B$5,2)+4)-1,1,4),2)+1+7*(WEEKNUM($B$5-WEEKDAY($B$5,2)+4,2)-1)+6,"")), ""), COGS_Input!$B:$B, "Retail"), 0)</f>
        <v/>
      </c>
      <c r="E24" s="2" t="n">
        <v>0</v>
      </c>
      <c r="F24" s="2">
        <f>IFERROR(B24/SUMIFS(Sales_Category!$D:$D, Sales_Category!$A:$A, "&gt;="&amp;$B$4, Sales_Category!$A:$A, "&lt;="&amp;$B$5, Sales_Category!$B:$B, "Retail"), 0)</f>
        <v/>
      </c>
      <c r="G24">
        <f>IF(AND(F24&lt;&gt;"", E24&lt;&gt;""), IF(F24&lt;=E24*1.05, "OK", IF(F24&lt;=E24*1.15, "WARNING", "OFF")), "")</f>
        <v/>
      </c>
    </row>
    <row r="25">
      <c r="A25" t="inlineStr">
        <is>
          <t>Total COGS</t>
        </is>
      </c>
      <c r="B25" s="28">
        <f>IFERROR(SUMIFS(COGS_Input!$G:$G, COGS_Input!$A:$A, "&gt;="&amp;$B$4, COGS_Input!$A:$A, "&lt;="&amp;$B$5), 0)</f>
        <v/>
      </c>
      <c r="C25" s="28">
        <f>IFERROR(SUMIFS(COGS_Input!$G:$G, COGS_Input!$A:$A, "&gt;="&amp;($B$4-7), COGS_Input!$A:$A, "&lt;="&amp;($B$5-7)), 0)</f>
        <v/>
      </c>
      <c r="D25" s="28">
        <f>IFERROR(SUMIFS(COGS_Input!$G:$G, COGS_Input!$A:$A, "&gt;="&amp;IF(ISNUMBER($B$4), (IF(ISNUMBER($B$4),DATE(YEAR($B$4-WEEKDAY($B$4,2)+4)-1,1,4)-WEEKDAY(DATE(YEAR($B$4-WEEKDAY($B$4,2)+4)-1,1,4),2)+1+7*(WEEKNUM($B$4-WEEKDAY($B$4,2)+4,2)-1),"")), ""), COGS_Input!$A:$A, "&lt;="&amp;IF(ISNUMBER($B$5), (IF(ISNUMBER($B$5),DATE(YEAR($B$5-WEEKDAY($B$5,2)+4)-1,1,4)-WEEKDAY(DATE(YEAR($B$5-WEEKDAY($B$5,2)+4)-1,1,4),2)+1+7*(WEEKNUM($B$5-WEEKDAY($B$5,2)+4,2)-1)+6,"")), "")), 0)</f>
        <v/>
      </c>
      <c r="E25" s="2" t="n">
        <v>0.15</v>
      </c>
      <c r="F25" s="2">
        <f>IFERROR(B25/SUMIFS(Sales_Category!$D:$D, Sales_Category!$A:$A, "&gt;="&amp;$B$4, Sales_Category!$A:$A, "&lt;="&amp;$B$5), 0)</f>
        <v/>
      </c>
      <c r="G25">
        <f>IF(AND(F25&lt;&gt;"", E25&lt;&gt;""), IF(F25&lt;=E25*1.05, "OK", IF(F25&lt;=E25*1.15, "WARNING", "OFF")), "")</f>
        <v/>
      </c>
    </row>
    <row r="28" ht="15.6" customHeight="1" s="17">
      <c r="A28" s="18" t="inlineStr">
        <is>
          <t>LABOR COST</t>
        </is>
      </c>
    </row>
    <row r="29">
      <c r="A29" s="8" t="inlineStr">
        <is>
          <t>Category</t>
        </is>
      </c>
      <c r="B29" s="8" t="inlineStr">
        <is>
          <t>This Week</t>
        </is>
      </c>
      <c r="C29" s="8" t="inlineStr">
        <is>
          <t>Last Week</t>
        </is>
      </c>
      <c r="D29" s="8" t="inlineStr">
        <is>
          <t>Last Year</t>
        </is>
      </c>
      <c r="E29" s="8" t="inlineStr">
        <is>
          <t>Target %</t>
        </is>
      </c>
      <c r="F29" s="8" t="inlineStr">
        <is>
          <t>Actual %</t>
        </is>
      </c>
      <c r="G29" s="8" t="inlineStr">
        <is>
          <t>Status</t>
        </is>
      </c>
    </row>
    <row r="30">
      <c r="A30" t="inlineStr">
        <is>
          <t>FOH Labor</t>
        </is>
      </c>
      <c r="B30" s="28">
        <f>IFERROR(SUMIFS(Labor_Input!$J:$J, Labor_Input!$A:$A, "&gt;="&amp;$B$4, Labor_Input!$A:$A, "&lt;="&amp;$B$5, Labor_Input!$D:$D, "FOH"), 0)</f>
        <v/>
      </c>
      <c r="C30">
        <f>IFERROR(SUMIFS(Labor_Input!$J:$J, Labor_Input!$A:$A, "&gt;="&amp;($B$4-7), Labor_Input!$A:$A, "&lt;="&amp;($B$5-7), Labor_Input!$D:$D, "FOH"), 0)</f>
        <v/>
      </c>
      <c r="D30">
        <f>IFERROR(SUMIFS(Labor_Input!$J:$J, Labor_Input!$A:$A, "&gt;="&amp;(IF(ISNUMBER($B$4),DATE(YEAR($B$4-WEEKDAY($B$4,2)+4)-1,1,4)-WEEKDAY(DATE(YEAR($B$4-WEEKDAY($B$4,2)+4)-1,1,4),2)+1+7*(WEEKNUM($B$4-WEEKDAY($B$4,2)+4,2)-1),"")), Labor_Input!$A:$A, "&lt;="&amp;(IF(ISNUMBER($B$5),DATE(YEAR($B$5-WEEKDAY($B$5,2)+4)-1,1,4)-WEEKDAY(DATE(YEAR($B$5-WEEKDAY($B$5,2)+4)-1,1,4),2)+1+7*(WEEKNUM($B$5-WEEKDAY($B$5,2)+4,2)-1)+6,"")), Labor_Input!$D:$D, "FOH"), 0)</f>
        <v/>
      </c>
      <c r="E30" s="2" t="n">
        <v>0.1</v>
      </c>
      <c r="F30" s="2" t="n"/>
      <c r="G30">
        <f>IF(AND(F30&lt;&gt;"", E30&lt;&gt;""), IF(F30&lt;=E30*1.05, "OK", IF(F30&lt;=E30*1.15, "WARNING", "OFF")), "")</f>
        <v/>
      </c>
    </row>
    <row r="31">
      <c r="A31" t="inlineStr">
        <is>
          <t>BOH Labor</t>
        </is>
      </c>
      <c r="B31" s="28">
        <f>IFERROR(SUMIFS(Labor_Input!$J:$J, Labor_Input!$A:$A, "&gt;="&amp;$B$4, Labor_Input!$A:$A, "&lt;="&amp;$B$5, Labor_Input!$D:$D, "BOH"), 0)</f>
        <v/>
      </c>
      <c r="C31">
        <f>IFERROR(SUMIFS(Labor_Input!$J:$J, Labor_Input!$A:$A, "&gt;="&amp;($B$4-7), Labor_Input!$A:$A, "&lt;="&amp;($B$5-7), Labor_Input!$D:$D, "BOH"), 0)</f>
        <v/>
      </c>
      <c r="D31">
        <f>IFERROR(SUMIFS(Labor_Input!$J:$J, Labor_Input!$A:$A, "&gt;="&amp;(IF(ISNUMBER($B$4),DATE(YEAR($B$4-WEEKDAY($B$4,2)+4)-1,1,4)-WEEKDAY(DATE(YEAR($B$4-WEEKDAY($B$4,2)+4)-1,1,4),2)+1+7*(WEEKNUM($B$4-WEEKDAY($B$4,2)+4,2)-1),"")), Labor_Input!$A:$A, "&lt;="&amp;(IF(ISNUMBER($B$5),DATE(YEAR($B$5-WEEKDAY($B$5,2)+4)-1,1,4)-WEEKDAY(DATE(YEAR($B$5-WEEKDAY($B$5,2)+4)-1,1,4),2)+1+7*(WEEKNUM($B$5-WEEKDAY($B$5,2)+4,2)-1)+6,"")), Labor_Input!$D:$D, "BOH"), 0)</f>
        <v/>
      </c>
      <c r="E31" s="2" t="n">
        <v>0.1</v>
      </c>
      <c r="F31" s="2" t="n"/>
      <c r="G31">
        <f>IF(AND(F31&lt;&gt;"", E31&lt;&gt;""), IF(F31&lt;=E31*1.05, "OK", IF(F31&lt;=E31*1.15, "WARNING", "OFF")), "")</f>
        <v/>
      </c>
    </row>
    <row r="32">
      <c r="A32" t="inlineStr">
        <is>
          <t>Management</t>
        </is>
      </c>
      <c r="B32" s="28">
        <f>IFERROR(SUMIFS(Labor_Input!$J:$J, Labor_Input!$A:$A, "&gt;="&amp;$B$4, Labor_Input!$A:$A, "&lt;="&amp;$B$5, Labor_Input!$D:$D, "Management"), 0)</f>
        <v/>
      </c>
      <c r="C32">
        <f>IFERROR(SUMIFS(Labor_Input!$J:$J, Labor_Input!$A:$A, "&gt;="&amp;($B$4-7), Labor_Input!$A:$A, "&lt;="&amp;($B$5-7), Labor_Input!$D:$D, "Management"), 0)</f>
        <v/>
      </c>
      <c r="D32">
        <f>IFERROR(SUMIFS(Labor_Input!$J:$J, Labor_Input!$A:$A, "&gt;="&amp;(IF(ISNUMBER($B$4),DATE(YEAR($B$4-WEEKDAY($B$4,2)+4)-1,1,4)-WEEKDAY(DATE(YEAR($B$4-WEEKDAY($B$4,2)+4)-1,1,4),2)+1+7*(WEEKNUM($B$4-WEEKDAY($B$4,2)+4,2)-1),"")), Labor_Input!$A:$A, "&lt;="&amp;(IF(ISNUMBER($B$5),DATE(YEAR($B$5-WEEKDAY($B$5,2)+4)-1,1,4)-WEEKDAY(DATE(YEAR($B$5-WEEKDAY($B$5,2)+4)-1,1,4),2)+1+7*(WEEKNUM($B$5-WEEKDAY($B$5,2)+4,2)-1)+6,"")), Labor_Input!$D:$D, "Management"), 0)</f>
        <v/>
      </c>
      <c r="E32" s="2" t="n">
        <v>0.1</v>
      </c>
      <c r="F32" s="2" t="n"/>
      <c r="G32">
        <f>IF(AND(F32&lt;&gt;"", E32&lt;&gt;""), IF(F32&lt;=E32*1.05, "OK", IF(F32&lt;=E32*1.15, "WARNING", "OFF")), "")</f>
        <v/>
      </c>
    </row>
    <row r="33">
      <c r="A33" t="inlineStr">
        <is>
          <t>Security</t>
        </is>
      </c>
      <c r="B33" s="28">
        <f>IFERROR(SUMIFS(Labor_Input!$J:$J, Labor_Input!$A:$A, "&gt;="&amp;$B$4, Labor_Input!$A:$A, "&lt;="&amp;$B$5, Labor_Input!$D:$D, "Security"), 0)</f>
        <v/>
      </c>
      <c r="C33">
        <f>IFERROR(SUMIFS(Labor_Input!$J:$J, Labor_Input!$A:$A, "&gt;="&amp;($B$4-7), Labor_Input!$A:$A, "&lt;="&amp;($B$5-7), Labor_Input!$D:$D, "Security"), 0)</f>
        <v/>
      </c>
      <c r="D33">
        <f>IFERROR(SUMIFS(Labor_Input!$J:$J, Labor_Input!$A:$A, "&gt;="&amp;(IF(ISNUMBER($B$4),DATE(YEAR($B$4-WEEKDAY($B$4,2)+4)-1,1,4)-WEEKDAY(DATE(YEAR($B$4-WEEKDAY($B$4,2)+4)-1,1,4),2)+1+7*(WEEKNUM($B$4-WEEKDAY($B$4,2)+4,2)-1),"")), Labor_Input!$A:$A, "&lt;="&amp;(IF(ISNUMBER($B$5),DATE(YEAR($B$5-WEEKDAY($B$5,2)+4)-1,1,4)-WEEKDAY(DATE(YEAR($B$5-WEEKDAY($B$5,2)+4)-1,1,4),2)+1+7*(WEEKNUM($B$5-WEEKDAY($B$5,2)+4,2)-1)+6,"")), Labor_Input!$D:$D, "Security"), 0)</f>
        <v/>
      </c>
      <c r="E33" s="2" t="n">
        <v>0</v>
      </c>
      <c r="F33" s="2" t="n"/>
      <c r="G33">
        <f>IF(AND(F33&lt;&gt;"", E33&lt;&gt;""), IF(F33&lt;=E33*1.05, "OK", IF(F33&lt;=E33*1.15, "WARNING", "OFF")), "")</f>
        <v/>
      </c>
    </row>
    <row r="34">
      <c r="A34" t="inlineStr">
        <is>
          <t>Labor Tax</t>
        </is>
      </c>
      <c r="B34" s="28">
        <f>IFERROR((SUMIFS(Labor_Input!$J:$J, Labor_Input!$A:$A, "&gt;="&amp;$B$4, Labor_Input!$A:$A, "&lt;="&amp;$B$5, Labor_Input!$D:$D, "FOH") + SUMIFS(Labor_Input!$J:$J, Labor_Input!$A:$A, "&gt;="&amp;$B$4, Labor_Input!$A:$A, "&lt;="&amp;$B$5, Labor_Input!$D:$D, "BOH") + SUMIFS(Labor_Input!$J:$J, Labor_Input!$A:$A, "&gt;="&amp;$B$4, Labor_Input!$A:$A, "&lt;="&amp;$B$5, Labor_Input!$D:$D, "Management")) * 0.15, 0)</f>
        <v/>
      </c>
      <c r="C34">
        <f>IFERROR((SUMIFS(Labor_Input!$J:$J, Labor_Input!$A:$A, "&gt;="&amp;($B$4-7), Labor_Input!$A:$A, "&lt;="&amp;($B$5-7), Labor_Input!$D:$D, "FOH") + SUMIFS(Labor_Input!$J:$J, Labor_Input!$A:$A, "&gt;="&amp;($B$4-7), Labor_Input!$A:$A, "&lt;="&amp;($B$5-7), Labor_Input!$D:$D, "BOH") + SUMIFS(Labor_Input!$J:$J, Labor_Input!$A:$A, "&gt;="&amp;($B$4-7), Labor_Input!$A:$A, "&lt;="&amp;($B$5-7), Labor_Input!$D:$D, "Management")) * 0.15, 0)</f>
        <v/>
      </c>
      <c r="D34">
        <f>IFERROR((SUMIFS(Labor_Input!$J:$J, Labor_Input!$A:$A, "&gt;="&amp;(IF(ISNUMBER($B$4),DATE(YEAR($B$4-WEEKDAY($B$4,2)+4)-1,1,4)-WEEKDAY(DATE(YEAR($B$4-WEEKDAY($B$4,2)+4)-1,1,4),2)+1+7*(WEEKNUM($B$4-WEEKDAY($B$4,2)+4,2)-1),"")), Labor_Input!$A:$A, "&lt;="&amp;(IF(ISNUMBER($B$5),DATE(YEAR($B$5-WEEKDAY($B$5,2)+4)-1,1,4)-WEEKDAY(DATE(YEAR($B$5-WEEKDAY($B$5,2)+4)-1,1,4),2)+1+7*(WEEKNUM($B$5-WEEKDAY($B$5,2)+4,2)-1)+6,"")), Labor_Input!$D:$D, "FOH") + SUMIFS(Labor_Input!$J:$J, Labor_Input!$A:$A, "&gt;="&amp;(IF(ISNUMBER($B$4),DATE(YEAR($B$4-WEEKDAY($B$4,2)+4)-1,1,4)-WEEKDAY(DATE(YEAR($B$4-WEEKDAY($B$4,2)+4)-1,1,4),2)+1+7*(WEEKNUM($B$4-WEEKDAY($B$4,2)+4,2)-1),"")), Labor_Input!$A:$A, "&lt;="&amp;(IF(ISNUMBER($B$5),DATE(YEAR($B$5-WEEKDAY($B$5,2)+4)-1,1,4)-WEEKDAY(DATE(YEAR($B$5-WEEKDAY($B$5,2)+4)-1,1,4),2)+1+7*(WEEKNUM($B$5-WEEKDAY($B$5,2)+4,2)-1)+6,"")), Labor_Input!$D:$D, "BOH") + SUMIFS(Labor_Input!$J:$J, Labor_Input!$A:$A, "&gt;="&amp;(IF(ISNUMBER($B$4),DATE(YEAR($B$4-WEEKDAY($B$4,2)+4)-1,1,4)-WEEKDAY(DATE(YEAR($B$4-WEEKDAY($B$4,2)+4)-1,1,4),2)+1+7*(WEEKNUM($B$4-WEEKDAY($B$4,2)+4,2)-1),"")), Labor_Input!$A:$A, "&lt;="&amp;(IF(ISNUMBER($B$5),DATE(YEAR($B$5-WEEKDAY($B$5,2)+4)-1,1,4)-WEEKDAY(DATE(YEAR($B$5-WEEKDAY($B$5,2)+4)-1,1,4),2)+1+7*(WEEKNUM($B$5-WEEKDAY($B$5,2)+4,2)-1)+6,"")), Labor_Input!$D:$D, "Management")) * 0.15, 0)</f>
        <v/>
      </c>
      <c r="E34" s="2" t="n">
        <v>0</v>
      </c>
      <c r="F34" s="2" t="n"/>
      <c r="G34">
        <f>IF(AND(F34&lt;&gt;"", E34&lt;&gt;""), IF(F34&lt;=E34*1.05, "OK", IF(F34&lt;=E34*1.15, "WARNING", "OFF")), "")</f>
        <v/>
      </c>
    </row>
    <row r="35">
      <c r="A35" t="inlineStr">
        <is>
          <t>Compensation</t>
        </is>
      </c>
      <c r="B35" s="28">
        <f>IFERROR(SUMIFS(Labor_Input!$J:$J, Labor_Input!$A:$A, "&gt;="&amp;$B$4, Labor_Input!$A:$A, "&lt;="&amp;$B$5, Labor_Input!$D:$D, "Other"), 0)</f>
        <v/>
      </c>
      <c r="C35">
        <f>IFERROR(SUMIFS(Labor_Input!$J:$J, Labor_Input!$A:$A, "&gt;="&amp;($B$4-7), Labor_Input!$A:$A, "&lt;="&amp;($B$5-7), Labor_Input!$D:$D, "Other"), 0)</f>
        <v/>
      </c>
      <c r="D35">
        <f>IFERROR(SUMIFS(Labor_Input!$J:$J, Labor_Input!$A:$A, "&gt;="&amp;(IF(ISNUMBER($B$4),DATE(YEAR($B$4-WEEKDAY($B$4,2)+4)-1,1,4)-WEEKDAY(DATE(YEAR($B$4-WEEKDAY($B$4,2)+4)-1,1,4),2)+1+7*(WEEKNUM($B$4-WEEKDAY($B$4,2)+4,2)-1),"")), Labor_Input!$A:$A, "&lt;="&amp;(IF(ISNUMBER($B$5),DATE(YEAR($B$5-WEEKDAY($B$5,2)+4)-1,1,4)-WEEKDAY(DATE(YEAR($B$5-WEEKDAY($B$5,2)+4)-1,1,4),2)+1+7*(WEEKNUM($B$5-WEEKDAY($B$5,2)+4,2)-1)+6,"")), Labor_Input!$D:$D, "Other"), 0)</f>
        <v/>
      </c>
      <c r="E35" s="2" t="n">
        <v>0</v>
      </c>
      <c r="F35" s="2" t="n"/>
      <c r="G35">
        <f>IF(AND(F35&lt;&gt;"", E35&lt;&gt;""), IF(F35&lt;=E35*1.05, "OK", IF(F35&lt;=E35*1.15, "WARNING", "OFF")), "")</f>
        <v/>
      </c>
    </row>
    <row r="36">
      <c r="A36" t="inlineStr">
        <is>
          <t>Other</t>
        </is>
      </c>
      <c r="B36" s="28">
        <f>IFERROR(SUMIFS(Labor_Input!$J:$J, Labor_Input!$A:$A, "&gt;="&amp;$B$4, Labor_Input!$A:$A, "&lt;="&amp;$B$5, Labor_Input!$D:$D, "Other"), 0)</f>
        <v/>
      </c>
      <c r="C36">
        <f>IFERROR(SUMIFS(Labor_Input!$J:$J, Labor_Input!$A:$A, "&gt;="&amp;($B$4-7), Labor_Input!$A:$A, "&lt;="&amp;($B$5-7), Labor_Input!$D:$D, "Other"), 0)</f>
        <v/>
      </c>
      <c r="D36">
        <f>IFERROR(SUMIFS(Labor_Input!$J:$J, Labor_Input!$A:$A, "&gt;="&amp;(IF(ISNUMBER($B$4),DATE(YEAR($B$4-WEEKDAY($B$4,2)+4)-1,1,4)-WEEKDAY(DATE(YEAR($B$4-WEEKDAY($B$4,2)+4)-1,1,4),2)+1+7*(WEEKNUM($B$4-WEEKDAY($B$4,2)+4,2)-1),"")), Labor_Input!$A:$A, "&lt;="&amp;(IF(ISNUMBER($B$5),DATE(YEAR($B$5-WEEKDAY($B$5,2)+4)-1,1,4)-WEEKDAY(DATE(YEAR($B$5-WEEKDAY($B$5,2)+4)-1,1,4),2)+1+7*(WEEKNUM($B$5-WEEKDAY($B$5,2)+4,2)-1)+6,"")), Labor_Input!$D:$D, "Other"), 0)</f>
        <v/>
      </c>
      <c r="E36" s="2" t="n">
        <v>0</v>
      </c>
      <c r="F36" s="2" t="n"/>
      <c r="G36">
        <f>IF(AND(F36&lt;&gt;"", E36&lt;&gt;""), IF(F36&lt;=E36*1.05, "OK", IF(F36&lt;=E36*1.15, "WARNING", "OFF")), "")</f>
        <v/>
      </c>
    </row>
    <row r="37">
      <c r="A37" t="inlineStr">
        <is>
          <t>Total Labor</t>
        </is>
      </c>
      <c r="B37" s="28">
        <f>IFERROR(SUMIFS(Labor_Input!$J:$J, Labor_Input!$A:$A, "&gt;="&amp;$B$4, Labor_Input!$A:$A, "&lt;="&amp;$B$5), 0)</f>
        <v/>
      </c>
      <c r="C37">
        <f>IFERROR(SUMIFS(Labor_Input!$J:$J, Labor_Input!$A:$A, "&gt;="&amp;($B$4-7), Labor_Input!$A:$A, "&lt;="&amp;($B$5-7)), 0)</f>
        <v/>
      </c>
      <c r="D37">
        <f>IFERROR(SUMIFS(Labor_Input!$J:$J, Labor_Input!$A:$A, "&gt;="&amp;(IF(ISNUMBER($B$4),DATE(YEAR($B$4-WEEKDAY($B$4,2)+4)-1,1,4)-WEEKDAY(DATE(YEAR($B$4-WEEKDAY($B$4,2)+4)-1,1,4),2)+1+7*(WEEKNUM($B$4-WEEKDAY($B$4,2)+4,2)-1),"")), Labor_Input!$A:$A, "&lt;="&amp;(IF(ISNUMBER($B$5),DATE(YEAR($B$5-WEEKDAY($B$5,2)+4)-1,1,4)-WEEKDAY(DATE(YEAR($B$5-WEEKDAY($B$5,2)+4)-1,1,4),2)+1+7*(WEEKNUM($B$5-WEEKDAY($B$5,2)+4,2)-1)+6,""))), 0)</f>
        <v/>
      </c>
      <c r="E37" s="2" t="n">
        <v>0.25</v>
      </c>
      <c r="F37" s="2">
        <f>IFERROR(B37/SUMIFS(Sales_Category!$D:$D, Sales_Category!$A:$A, "&gt;="&amp;$B$4, Sales_Category!$A:$A, "&lt;="&amp;$B$5), 0)</f>
        <v/>
      </c>
      <c r="G37">
        <f>IF(AND(F37&lt;&gt;"", E37&lt;&gt;""), IF(F37&lt;=E37*1.05, "OK", IF(F37&lt;=E37*1.15, "WARNING", "OFF")), "")</f>
        <v/>
      </c>
    </row>
    <row r="40" ht="15.6" customHeight="1" s="17">
      <c r="A40" s="22" t="inlineStr">
        <is>
          <t>PRIME COST</t>
        </is>
      </c>
    </row>
    <row r="41">
      <c r="A41" s="9" t="inlineStr">
        <is>
          <t>Metric</t>
        </is>
      </c>
      <c r="B41" s="9" t="inlineStr">
        <is>
          <t>This Week</t>
        </is>
      </c>
      <c r="C41" s="9" t="inlineStr">
        <is>
          <t>Target %</t>
        </is>
      </c>
      <c r="D41" s="9" t="inlineStr">
        <is>
          <t>Actual %</t>
        </is>
      </c>
      <c r="E41" s="9" t="inlineStr">
        <is>
          <t>Status</t>
        </is>
      </c>
    </row>
    <row r="42">
      <c r="A42" t="inlineStr">
        <is>
          <t>Prime Cost %</t>
        </is>
      </c>
      <c r="B42" s="28">
        <f>IFERROR(SUMIFS(COGS_Input!$G:$G, COGS_Input!$A:$A, "&gt;="&amp;$B$4, COGS_Input!$A:$A, "&lt;="&amp;$B$5) + SUMIFS(Labor_Input!$J:$J, Labor_Input!$A:$A, "&gt;="&amp;$B$4, Labor_Input!$A:$A, "&lt;="&amp;$B$5), 0)</f>
        <v/>
      </c>
      <c r="C42" s="2" t="n">
        <v>0.45</v>
      </c>
      <c r="D42" s="2">
        <f>IFERROR(B42/SUMIFS(Sales_Category!$D:$D, Sales_Category!$A:$A, "&gt;="&amp;$B$4, Sales_Category!$A:$A, "&lt;="&amp;$B$5), 0)</f>
        <v/>
      </c>
      <c r="E42">
        <f>IF(AND(D42&lt;&gt;"", C42&lt;&gt;""), IF(D42&lt;=C42*1.05, "OK", IF(D42&lt;=C42*1.15, "WARNING", "OFF")), "")</f>
        <v/>
      </c>
    </row>
    <row r="45" ht="15.6" customHeight="1" s="17">
      <c r="A45" s="20" t="inlineStr">
        <is>
          <t>SUMMARY METRICS</t>
        </is>
      </c>
    </row>
    <row r="46">
      <c r="A46" t="inlineStr">
        <is>
          <t>Net Sales</t>
        </is>
      </c>
      <c r="B46" s="28">
        <f>SUMIFS(Sales_Category!$D:$D, Sales_Category!$A:$A, "&gt;="&amp;$B$4, Sales_Category!$A:$A, "&lt;="&amp;$B$5)</f>
        <v/>
      </c>
    </row>
    <row r="47">
      <c r="A47" t="inlineStr">
        <is>
          <t>Gross Sales</t>
        </is>
      </c>
      <c r="B47" s="28">
        <f>SUMIFS(Sales_Category!$G:$G, Sales_Category!$A:$A, "&gt;="&amp;$B$4, Sales_Category!$A:$A, "&lt;="&amp;$B$5)</f>
        <v/>
      </c>
    </row>
    <row r="48">
      <c r="A48" t="inlineStr">
        <is>
          <t>Total Discounts</t>
        </is>
      </c>
      <c r="B48" s="28">
        <f>SUMIFS(Sales_Category!$E:$E, Sales_Category!$A:$A, "&gt;="&amp;$B$4, Sales_Category!$A:$A, "&lt;="&amp;$B$5)</f>
        <v/>
      </c>
    </row>
    <row r="49">
      <c r="A49" t="inlineStr">
        <is>
          <t>Total Refunds</t>
        </is>
      </c>
      <c r="B49" s="28">
        <f>SUMIFS(Sales_Category!$F:$F, Sales_Category!$A:$A, "&gt;="&amp;$B$4, Sales_Category!$A:$A, "&lt;="&amp;$B$5)</f>
        <v/>
      </c>
    </row>
    <row r="50">
      <c r="A50" t="inlineStr">
        <is>
          <t>Total Tax</t>
        </is>
      </c>
      <c r="B50" s="28">
        <f>SUMIFS(Sales_Category!$H:$H, Sales_Category!$A:$A, "&gt;="&amp;$B$4, Sales_Category!$A:$A, "&lt;="&amp;$B$5)</f>
        <v/>
      </c>
    </row>
  </sheetData>
  <mergeCells count="6">
    <mergeCell ref="A7:H7"/>
    <mergeCell ref="A28:H28"/>
    <mergeCell ref="A19:H19"/>
    <mergeCell ref="A45:E45"/>
    <mergeCell ref="A1:H1"/>
    <mergeCell ref="A40:E40"/>
  </mergeCells>
  <conditionalFormatting sqref="H9:H16">
    <cfRule type="expression" priority="1" dxfId="2">
      <formula>$H9="OK"</formula>
    </cfRule>
    <cfRule type="expression" priority="2" dxfId="1">
      <formula>$H9="WARNING"</formula>
    </cfRule>
    <cfRule type="expression" priority="3" dxfId="0">
      <formula>$H9="OFF"</formula>
    </cfRule>
  </conditionalFormatting>
  <dataValidations count="1">
    <dataValidation sqref="B4 B5" showDropDown="0" showInputMessage="0" showErrorMessage="0" allowBlank="1" promptTitle="Select date" prompt="Pick a date" type="date" operator="between">
      <formula1>DATE(2000,1,1)</formula1>
      <formula2>DATE(2099,12,31)</formula2>
    </dataValidation>
  </dataValidations>
  <pageMargins left="0.75" right="0.75" top="1" bottom="1" header="0.5" footer="0.5"/>
  <pageSetup orientation="portrait" horizontalDpi="1200" verticalDpi="1200"/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C10" sqref="C10"/>
    </sheetView>
  </sheetViews>
  <sheetFormatPr baseColWidth="8" defaultRowHeight="14.4"/>
  <cols>
    <col width="17.41796875" bestFit="1" customWidth="1" style="17" min="1" max="1"/>
    <col width="12.89453125" bestFit="1" customWidth="1" style="17" min="2" max="2"/>
    <col width="16.89453125" bestFit="1" customWidth="1" style="17" min="3" max="3"/>
    <col width="5.578125" bestFit="1" customWidth="1" style="17" min="4" max="4"/>
    <col width="7.26171875" bestFit="1" customWidth="1" style="17" min="5" max="5"/>
    <col width="7.68359375" bestFit="1" customWidth="1" style="17" min="6" max="7"/>
    <col width="11" bestFit="1" customWidth="1" style="17" min="8" max="8"/>
    <col width="7.3671875" bestFit="1" customWidth="1" style="17" min="9" max="9"/>
    <col width="10.7890625" bestFit="1" customWidth="1" style="17" min="10" max="10"/>
    <col width="10.3671875" bestFit="1" customWidth="1" style="17" min="11" max="11"/>
    <col width="8.68359375" bestFit="1" customWidth="1" style="17" min="12" max="12"/>
    <col width="11.9453125" bestFit="1" customWidth="1" style="17" min="13" max="13"/>
  </cols>
  <sheetData>
    <row r="1">
      <c r="A1" s="1" t="inlineStr">
        <is>
          <t>Date</t>
        </is>
      </c>
      <c r="B1" s="1" t="inlineStr">
        <is>
          <t>Payment type</t>
        </is>
      </c>
      <c r="C1" s="1" t="inlineStr">
        <is>
          <t>Payment sub type</t>
        </is>
      </c>
      <c r="D1" s="1" t="inlineStr">
        <is>
          <t>Count</t>
        </is>
      </c>
      <c r="E1" s="1" t="inlineStr">
        <is>
          <t>Amount</t>
        </is>
      </c>
      <c r="F1" s="1" t="inlineStr">
        <is>
          <t>Tips</t>
        </is>
      </c>
      <c r="G1" s="1" t="inlineStr">
        <is>
          <t>Grat</t>
        </is>
      </c>
      <c r="H1" s="1" t="inlineStr">
        <is>
          <t>Tax amount</t>
        </is>
      </c>
      <c r="I1" s="1" t="inlineStr">
        <is>
          <t>Refunds</t>
        </is>
      </c>
      <c r="J1" s="1" t="inlineStr">
        <is>
          <t>Tip refunds</t>
        </is>
      </c>
      <c r="K1" s="1" t="inlineStr">
        <is>
          <t>Legacy tips</t>
        </is>
      </c>
      <c r="L1" s="1" t="inlineStr">
        <is>
          <t>Total</t>
        </is>
      </c>
      <c r="M1" s="1" t="inlineStr">
        <is>
          <t>Tips/Grat %</t>
        </is>
      </c>
    </row>
    <row r="2">
      <c r="A2" s="15" t="n">
        <v>46032</v>
      </c>
      <c r="B2" t="inlineStr">
        <is>
          <t>Cash</t>
        </is>
      </c>
      <c r="D2" t="n">
        <v>22</v>
      </c>
      <c r="E2" t="n">
        <v>1031.7</v>
      </c>
      <c r="F2" t="n">
        <v>0</v>
      </c>
      <c r="G2" t="n">
        <v>64.63</v>
      </c>
      <c r="H2" t="n">
        <v>179.85</v>
      </c>
      <c r="I2" t="n">
        <v>0</v>
      </c>
      <c r="J2" t="n">
        <v>0</v>
      </c>
      <c r="K2" t="n">
        <v>0</v>
      </c>
      <c r="L2" t="n">
        <v>1096.33</v>
      </c>
      <c r="M2" t="n">
        <v>7.6</v>
      </c>
    </row>
    <row r="3">
      <c r="A3" s="15" t="n">
        <v>46032</v>
      </c>
      <c r="B3" t="inlineStr">
        <is>
          <t>Credit/debit</t>
        </is>
      </c>
      <c r="D3" t="n">
        <v>161</v>
      </c>
      <c r="E3" t="n">
        <v>6126.7</v>
      </c>
      <c r="F3" t="n">
        <v>504.41</v>
      </c>
      <c r="G3" t="n">
        <v>781.7</v>
      </c>
      <c r="H3" t="n">
        <v>964.16</v>
      </c>
      <c r="I3" t="n">
        <v>0</v>
      </c>
      <c r="J3" t="n">
        <v>0</v>
      </c>
      <c r="K3" t="n">
        <v>504.41</v>
      </c>
      <c r="L3" t="n">
        <v>7412.81</v>
      </c>
      <c r="M3" t="n">
        <v>24.8</v>
      </c>
    </row>
    <row r="4">
      <c r="A4" s="15" t="n">
        <v>46032</v>
      </c>
      <c r="B4" t="inlineStr">
        <is>
          <t>Credit/debit</t>
        </is>
      </c>
      <c r="C4" t="inlineStr">
        <is>
          <t>AMEX</t>
        </is>
      </c>
      <c r="D4" t="n">
        <v>7</v>
      </c>
      <c r="E4" t="n">
        <v>301.45</v>
      </c>
      <c r="F4" t="n">
        <v>37.08</v>
      </c>
      <c r="G4" t="n">
        <v>41.58</v>
      </c>
      <c r="H4" t="n">
        <v>49.28</v>
      </c>
      <c r="I4" t="n">
        <v>0</v>
      </c>
      <c r="J4" t="n">
        <v>0</v>
      </c>
      <c r="K4" t="n">
        <v>37.08</v>
      </c>
      <c r="L4" t="n">
        <v>380.11</v>
      </c>
      <c r="M4" t="n">
        <v>31</v>
      </c>
    </row>
    <row r="5">
      <c r="A5" s="15" t="n">
        <v>46032</v>
      </c>
      <c r="B5" t="inlineStr">
        <is>
          <t>Credit/debit</t>
        </is>
      </c>
      <c r="C5" t="inlineStr">
        <is>
          <t>DISCOVER</t>
        </is>
      </c>
      <c r="D5" t="n">
        <v>3</v>
      </c>
      <c r="E5" t="n">
        <v>68.83</v>
      </c>
      <c r="F5" t="n">
        <v>4.2</v>
      </c>
      <c r="G5" t="n">
        <v>7.43</v>
      </c>
      <c r="H5" t="n">
        <v>7.89</v>
      </c>
      <c r="I5" t="n">
        <v>0</v>
      </c>
      <c r="J5" t="n">
        <v>0</v>
      </c>
      <c r="K5" t="n">
        <v>4.2</v>
      </c>
      <c r="L5" t="n">
        <v>80.45999999999999</v>
      </c>
      <c r="M5" t="n">
        <v>19.1</v>
      </c>
    </row>
    <row r="6">
      <c r="A6" s="15" t="n">
        <v>46032</v>
      </c>
      <c r="B6" t="inlineStr">
        <is>
          <t>Credit/debit</t>
        </is>
      </c>
      <c r="C6" t="inlineStr">
        <is>
          <t>MASTERCARD</t>
        </is>
      </c>
      <c r="D6" t="n">
        <v>44</v>
      </c>
      <c r="E6" t="n">
        <v>1713.36</v>
      </c>
      <c r="F6" t="n">
        <v>68.08</v>
      </c>
      <c r="G6" t="n">
        <v>242.97</v>
      </c>
      <c r="H6" t="n">
        <v>264.3</v>
      </c>
      <c r="I6" t="n">
        <v>0</v>
      </c>
      <c r="J6" t="n">
        <v>0</v>
      </c>
      <c r="K6" t="n">
        <v>68.08</v>
      </c>
      <c r="L6" t="n">
        <v>2024.41</v>
      </c>
      <c r="M6" t="n">
        <v>21.5</v>
      </c>
    </row>
    <row r="7">
      <c r="A7" s="15" t="n">
        <v>46032</v>
      </c>
      <c r="B7" t="inlineStr">
        <is>
          <t>Credit/debit</t>
        </is>
      </c>
      <c r="C7" t="inlineStr">
        <is>
          <t>VISA</t>
        </is>
      </c>
      <c r="D7" t="n">
        <v>107</v>
      </c>
      <c r="E7" t="n">
        <v>4043.06</v>
      </c>
      <c r="F7" t="n">
        <v>395.05</v>
      </c>
      <c r="G7" t="n">
        <v>489.72</v>
      </c>
      <c r="H7" t="n">
        <v>642.6900000000001</v>
      </c>
      <c r="I7" t="n">
        <v>0</v>
      </c>
      <c r="J7" t="n">
        <v>0</v>
      </c>
      <c r="K7" t="n">
        <v>395.05</v>
      </c>
      <c r="L7" t="n">
        <v>4927.83</v>
      </c>
      <c r="M7" t="n">
        <v>25.9</v>
      </c>
    </row>
    <row r="8">
      <c r="A8" s="15" t="n">
        <v>46032</v>
      </c>
      <c r="B8" t="inlineStr">
        <is>
          <t>Gift Card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5" t="n">
        <v>46032</v>
      </c>
      <c r="B9" t="inlineStr">
        <is>
          <t>Other</t>
        </is>
      </c>
      <c r="D9" t="n">
        <v>2</v>
      </c>
      <c r="E9" t="n">
        <v>134.68</v>
      </c>
      <c r="F9" t="n">
        <v>10</v>
      </c>
      <c r="G9" t="n">
        <v>4</v>
      </c>
      <c r="H9" t="n">
        <v>19.73</v>
      </c>
      <c r="I9" t="n">
        <v>0</v>
      </c>
      <c r="J9" t="n">
        <v>0</v>
      </c>
      <c r="K9" t="n">
        <v>10</v>
      </c>
      <c r="L9" t="n">
        <v>148.68</v>
      </c>
      <c r="M9" t="n">
        <v>12.2</v>
      </c>
    </row>
    <row r="10">
      <c r="A10" s="15" t="n">
        <v>46032</v>
      </c>
      <c r="B10" t="inlineStr">
        <is>
          <t>Other</t>
        </is>
      </c>
      <c r="C10" t="inlineStr">
        <is>
          <t>inkind</t>
        </is>
      </c>
      <c r="D10" t="n">
        <v>2</v>
      </c>
      <c r="E10" t="n">
        <v>134.68</v>
      </c>
      <c r="F10" t="n">
        <v>10</v>
      </c>
      <c r="G10" t="n">
        <v>4</v>
      </c>
      <c r="H10" t="n">
        <v>19.73</v>
      </c>
      <c r="I10" t="n">
        <v>0</v>
      </c>
      <c r="J10" t="n">
        <v>0</v>
      </c>
      <c r="K10" t="n">
        <v>10</v>
      </c>
      <c r="L10" t="n">
        <v>148.68</v>
      </c>
      <c r="M10" t="n">
        <v>12.2</v>
      </c>
    </row>
    <row r="11">
      <c r="A11" s="15" t="n">
        <v>46031</v>
      </c>
      <c r="B11" t="inlineStr">
        <is>
          <t>Cash</t>
        </is>
      </c>
      <c r="D11" t="n">
        <v>3</v>
      </c>
      <c r="E11" t="n">
        <v>290.81</v>
      </c>
      <c r="F11" t="n">
        <v>0</v>
      </c>
      <c r="G11" t="n">
        <v>0</v>
      </c>
      <c r="H11" t="n">
        <v>38.46</v>
      </c>
      <c r="I11" t="n">
        <v>0</v>
      </c>
      <c r="J11" t="n">
        <v>0</v>
      </c>
      <c r="K11" t="n">
        <v>0</v>
      </c>
      <c r="L11" t="n">
        <v>290.81</v>
      </c>
      <c r="M11" t="n">
        <v>0</v>
      </c>
    </row>
    <row r="12">
      <c r="A12" s="15" t="n">
        <v>46031</v>
      </c>
      <c r="B12" t="inlineStr">
        <is>
          <t>Credit/debit</t>
        </is>
      </c>
      <c r="D12" t="n">
        <v>14</v>
      </c>
      <c r="E12" t="n">
        <v>733.98</v>
      </c>
      <c r="F12" t="n">
        <v>44.58</v>
      </c>
      <c r="G12" t="n">
        <v>89.06</v>
      </c>
      <c r="H12" t="n">
        <v>97.09999999999999</v>
      </c>
      <c r="I12" t="n">
        <v>0</v>
      </c>
      <c r="J12" t="n">
        <v>0</v>
      </c>
      <c r="K12" t="n">
        <v>44.58</v>
      </c>
      <c r="L12" t="n">
        <v>867.62</v>
      </c>
      <c r="M12" t="n">
        <v>21</v>
      </c>
    </row>
    <row r="13">
      <c r="A13" s="15" t="n">
        <v>46031</v>
      </c>
      <c r="B13" t="inlineStr">
        <is>
          <t>Credit/debit</t>
        </is>
      </c>
      <c r="C13" t="inlineStr">
        <is>
          <t>AMEX</t>
        </is>
      </c>
      <c r="D13" t="n">
        <v>1</v>
      </c>
      <c r="E13" t="n">
        <v>53.23</v>
      </c>
      <c r="F13" t="n">
        <v>0</v>
      </c>
      <c r="G13" t="n">
        <v>7.73</v>
      </c>
      <c r="H13" t="n">
        <v>8.76</v>
      </c>
      <c r="I13" t="n">
        <v>0</v>
      </c>
      <c r="J13" t="n">
        <v>0</v>
      </c>
      <c r="K13" t="n">
        <v>0</v>
      </c>
      <c r="L13" t="n">
        <v>60.96</v>
      </c>
      <c r="M13" t="n">
        <v>17.4</v>
      </c>
    </row>
    <row r="14">
      <c r="A14" s="15" t="n">
        <v>46031</v>
      </c>
      <c r="B14" t="inlineStr">
        <is>
          <t>Credit/debit</t>
        </is>
      </c>
      <c r="C14" t="inlineStr">
        <is>
          <t>MASTERCARD</t>
        </is>
      </c>
      <c r="D14" t="n">
        <v>7</v>
      </c>
      <c r="E14" t="n">
        <v>173.58</v>
      </c>
      <c r="F14" t="n">
        <v>5.58</v>
      </c>
      <c r="G14" t="n">
        <v>23.56</v>
      </c>
      <c r="H14" t="n">
        <v>22.81</v>
      </c>
      <c r="I14" t="n">
        <v>0</v>
      </c>
      <c r="J14" t="n">
        <v>0</v>
      </c>
      <c r="K14" t="n">
        <v>5.58</v>
      </c>
      <c r="L14" t="n">
        <v>202.72</v>
      </c>
      <c r="M14" t="n">
        <v>19.3</v>
      </c>
    </row>
    <row r="15">
      <c r="A15" s="15" t="n">
        <v>46031</v>
      </c>
      <c r="B15" t="inlineStr">
        <is>
          <t>Credit/debit</t>
        </is>
      </c>
      <c r="C15" t="inlineStr">
        <is>
          <t>VISA</t>
        </is>
      </c>
      <c r="D15" t="n">
        <v>6</v>
      </c>
      <c r="E15" t="n">
        <v>507.17</v>
      </c>
      <c r="F15" t="n">
        <v>39</v>
      </c>
      <c r="G15" t="n">
        <v>57.77</v>
      </c>
      <c r="H15" t="n">
        <v>65.53</v>
      </c>
      <c r="I15" t="n">
        <v>0</v>
      </c>
      <c r="J15" t="n">
        <v>0</v>
      </c>
      <c r="K15" t="n">
        <v>39</v>
      </c>
      <c r="L15" t="n">
        <v>603.9400000000001</v>
      </c>
      <c r="M15" t="n">
        <v>21.9</v>
      </c>
    </row>
    <row r="16">
      <c r="A16" s="15" t="n">
        <v>46031</v>
      </c>
      <c r="B16" t="inlineStr">
        <is>
          <t>Gift Card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5" t="n">
        <v>46031</v>
      </c>
      <c r="B17" t="inlineStr">
        <is>
          <t>Other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5" t="n">
        <v>46030</v>
      </c>
      <c r="B18" t="inlineStr">
        <is>
          <t>Cash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5" t="n">
        <v>46030</v>
      </c>
      <c r="B19" t="inlineStr">
        <is>
          <t>Credit/debit</t>
        </is>
      </c>
      <c r="D19" t="n">
        <v>1</v>
      </c>
      <c r="E19" t="n">
        <v>15.53</v>
      </c>
      <c r="F19" t="n">
        <v>5</v>
      </c>
      <c r="G19" t="n">
        <v>0</v>
      </c>
      <c r="H19" t="n">
        <v>2.53</v>
      </c>
      <c r="I19" t="n">
        <v>0</v>
      </c>
      <c r="J19" t="n">
        <v>0</v>
      </c>
      <c r="K19" t="n">
        <v>5</v>
      </c>
      <c r="L19" t="n">
        <v>20.53</v>
      </c>
      <c r="M19" t="n">
        <v>38.5</v>
      </c>
    </row>
    <row r="20">
      <c r="A20" s="15" t="n">
        <v>46030</v>
      </c>
      <c r="B20" t="inlineStr">
        <is>
          <t>Credit/debit</t>
        </is>
      </c>
      <c r="C20" t="inlineStr">
        <is>
          <t>MASTERCARD</t>
        </is>
      </c>
      <c r="D20" t="n">
        <v>1</v>
      </c>
      <c r="E20" t="n">
        <v>15.53</v>
      </c>
      <c r="F20" t="n">
        <v>5</v>
      </c>
      <c r="G20" t="n">
        <v>0</v>
      </c>
      <c r="H20" t="n">
        <v>2.53</v>
      </c>
      <c r="I20" t="n">
        <v>0</v>
      </c>
      <c r="J20" t="n">
        <v>0</v>
      </c>
      <c r="K20" t="n">
        <v>5</v>
      </c>
      <c r="L20" t="n">
        <v>20.53</v>
      </c>
      <c r="M20" t="n">
        <v>38.5</v>
      </c>
    </row>
    <row r="21">
      <c r="A21" s="15" t="n">
        <v>46030</v>
      </c>
      <c r="B21" t="inlineStr">
        <is>
          <t>Gift Card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5" t="n">
        <v>46030</v>
      </c>
      <c r="B22" t="inlineStr">
        <is>
          <t>Other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5" t="n">
        <v>46028</v>
      </c>
      <c r="B23" t="inlineStr">
        <is>
          <t>Cash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5" t="n">
        <v>46028</v>
      </c>
      <c r="B24" t="inlineStr">
        <is>
          <t>Credit/debit</t>
        </is>
      </c>
      <c r="D24" t="n">
        <v>2</v>
      </c>
      <c r="E24" t="n">
        <v>193.4</v>
      </c>
      <c r="F24" t="n">
        <v>36</v>
      </c>
      <c r="G24" t="n">
        <v>0</v>
      </c>
      <c r="H24" t="n">
        <v>23.55</v>
      </c>
      <c r="I24" t="n">
        <v>0</v>
      </c>
      <c r="J24" t="n">
        <v>0</v>
      </c>
      <c r="K24" t="n">
        <v>36</v>
      </c>
      <c r="L24" t="n">
        <v>229.4</v>
      </c>
      <c r="M24" t="n">
        <v>21.2</v>
      </c>
    </row>
    <row r="25">
      <c r="A25" s="15" t="n">
        <v>46028</v>
      </c>
      <c r="B25" t="inlineStr">
        <is>
          <t>Credit/debit</t>
        </is>
      </c>
      <c r="C25" t="inlineStr">
        <is>
          <t>VISA</t>
        </is>
      </c>
      <c r="D25" t="n">
        <v>2</v>
      </c>
      <c r="E25" t="n">
        <v>193.4</v>
      </c>
      <c r="F25" t="n">
        <v>36</v>
      </c>
      <c r="G25" t="n">
        <v>0</v>
      </c>
      <c r="H25" t="n">
        <v>23.55</v>
      </c>
      <c r="I25" t="n">
        <v>0</v>
      </c>
      <c r="J25" t="n">
        <v>0</v>
      </c>
      <c r="K25" t="n">
        <v>36</v>
      </c>
      <c r="L25" t="n">
        <v>229.4</v>
      </c>
      <c r="M25" t="n">
        <v>21.2</v>
      </c>
    </row>
    <row r="26">
      <c r="A26" s="15" t="n">
        <v>46028</v>
      </c>
      <c r="B26" t="inlineStr">
        <is>
          <t>Gift Card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5" t="n">
        <v>46028</v>
      </c>
      <c r="B27" t="inlineStr">
        <is>
          <t>Other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5" t="n">
        <v>46026</v>
      </c>
      <c r="B28" t="inlineStr">
        <is>
          <t>Cash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5" t="n">
        <v>46026</v>
      </c>
      <c r="B29" t="inlineStr">
        <is>
          <t>Credit/debit</t>
        </is>
      </c>
      <c r="D29" t="n">
        <v>3</v>
      </c>
      <c r="E29" t="n">
        <v>493.72</v>
      </c>
      <c r="F29" t="n">
        <v>81.47</v>
      </c>
      <c r="G29" t="n">
        <v>0</v>
      </c>
      <c r="H29" t="n">
        <v>49.58</v>
      </c>
      <c r="I29" t="n">
        <v>0</v>
      </c>
      <c r="J29" t="n">
        <v>0</v>
      </c>
      <c r="K29" t="n">
        <v>81.47</v>
      </c>
      <c r="L29" t="n">
        <v>575.1900000000001</v>
      </c>
      <c r="M29" t="n">
        <v>18.3</v>
      </c>
    </row>
    <row r="30">
      <c r="A30" s="15" t="n">
        <v>46026</v>
      </c>
      <c r="B30" t="inlineStr">
        <is>
          <t>Credit/debit</t>
        </is>
      </c>
      <c r="C30" t="inlineStr">
        <is>
          <t>DISCOVER</t>
        </is>
      </c>
      <c r="D30" t="n">
        <v>1</v>
      </c>
      <c r="E30" t="n">
        <v>169.03</v>
      </c>
      <c r="F30" t="n">
        <v>25</v>
      </c>
      <c r="G30" t="n">
        <v>0</v>
      </c>
      <c r="H30" t="n">
        <v>15.71</v>
      </c>
      <c r="I30" t="n">
        <v>0</v>
      </c>
      <c r="J30" t="n">
        <v>0</v>
      </c>
      <c r="K30" t="n">
        <v>25</v>
      </c>
      <c r="L30" t="n">
        <v>194.03</v>
      </c>
      <c r="M30" t="n">
        <v>16.3</v>
      </c>
    </row>
    <row r="31">
      <c r="A31" s="15" t="n">
        <v>46026</v>
      </c>
      <c r="B31" t="inlineStr">
        <is>
          <t>Credit/debit</t>
        </is>
      </c>
      <c r="C31" t="inlineStr">
        <is>
          <t>VISA</t>
        </is>
      </c>
      <c r="D31" t="n">
        <v>2</v>
      </c>
      <c r="E31" t="n">
        <v>324.69</v>
      </c>
      <c r="F31" t="n">
        <v>56.47</v>
      </c>
      <c r="G31" t="n">
        <v>0</v>
      </c>
      <c r="H31" t="n">
        <v>33.87</v>
      </c>
      <c r="I31" t="n">
        <v>0</v>
      </c>
      <c r="J31" t="n">
        <v>0</v>
      </c>
      <c r="K31" t="n">
        <v>56.47</v>
      </c>
      <c r="L31" t="n">
        <v>381.16</v>
      </c>
      <c r="M31" t="n">
        <v>19.4</v>
      </c>
    </row>
    <row r="32">
      <c r="A32" s="15" t="n">
        <v>46026</v>
      </c>
      <c r="B32" t="inlineStr">
        <is>
          <t>Gift Card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5" t="n">
        <v>46026</v>
      </c>
      <c r="B33" t="inlineStr">
        <is>
          <t>Other</t>
        </is>
      </c>
      <c r="D33" t="n">
        <v>3</v>
      </c>
      <c r="E33" t="n">
        <v>217.81</v>
      </c>
      <c r="F33" t="n">
        <v>44.56</v>
      </c>
      <c r="G33" t="n">
        <v>0</v>
      </c>
      <c r="H33" t="n">
        <v>24.86</v>
      </c>
      <c r="I33" t="n">
        <v>0</v>
      </c>
      <c r="J33" t="n">
        <v>0</v>
      </c>
      <c r="K33" t="n">
        <v>44.56</v>
      </c>
      <c r="L33" t="n">
        <v>262.37</v>
      </c>
      <c r="M33" t="n">
        <v>23.1</v>
      </c>
    </row>
    <row r="34">
      <c r="A34" s="15" t="n">
        <v>46026</v>
      </c>
      <c r="B34" t="inlineStr">
        <is>
          <t>Other</t>
        </is>
      </c>
      <c r="C34" t="inlineStr">
        <is>
          <t>inkind</t>
        </is>
      </c>
      <c r="D34" t="n">
        <v>3</v>
      </c>
      <c r="E34" t="n">
        <v>217.81</v>
      </c>
      <c r="F34" t="n">
        <v>44.56</v>
      </c>
      <c r="G34" t="n">
        <v>0</v>
      </c>
      <c r="H34" t="n">
        <v>24.86</v>
      </c>
      <c r="I34" t="n">
        <v>0</v>
      </c>
      <c r="J34" t="n">
        <v>0</v>
      </c>
      <c r="K34" t="n">
        <v>44.56</v>
      </c>
      <c r="L34" t="n">
        <v>262.37</v>
      </c>
      <c r="M34" t="n">
        <v>23.1</v>
      </c>
    </row>
    <row r="35">
      <c r="A35" s="15" t="n">
        <v>46025</v>
      </c>
      <c r="B35" t="inlineStr">
        <is>
          <t>Cash</t>
        </is>
      </c>
      <c r="D35" t="n">
        <v>38</v>
      </c>
      <c r="E35" t="n">
        <v>1048.43</v>
      </c>
      <c r="F35" t="n">
        <v>0</v>
      </c>
      <c r="G35" t="n">
        <v>25.19</v>
      </c>
      <c r="H35" t="n">
        <v>182.74</v>
      </c>
      <c r="I35" t="n">
        <v>0</v>
      </c>
      <c r="J35" t="n">
        <v>0</v>
      </c>
      <c r="K35" t="n">
        <v>0</v>
      </c>
      <c r="L35" t="n">
        <v>1073.62</v>
      </c>
      <c r="M35" t="n">
        <v>2.9</v>
      </c>
    </row>
    <row r="36">
      <c r="A36" s="15" t="n">
        <v>46025</v>
      </c>
      <c r="B36" t="inlineStr">
        <is>
          <t>Credit/debit</t>
        </is>
      </c>
      <c r="D36" t="n">
        <v>166</v>
      </c>
      <c r="E36" t="n">
        <v>6678.02</v>
      </c>
      <c r="F36" t="n">
        <v>568.21</v>
      </c>
      <c r="G36" t="n">
        <v>843.78</v>
      </c>
      <c r="H36" t="n">
        <v>1115.1</v>
      </c>
      <c r="I36" t="n">
        <v>0</v>
      </c>
      <c r="J36" t="n">
        <v>0</v>
      </c>
      <c r="K36" t="n">
        <v>568.21</v>
      </c>
      <c r="L36" t="n">
        <v>8090.01</v>
      </c>
      <c r="M36" t="n">
        <v>25.4</v>
      </c>
    </row>
    <row r="37">
      <c r="A37" s="15" t="n">
        <v>46025</v>
      </c>
      <c r="B37" t="inlineStr">
        <is>
          <t>Credit/debit</t>
        </is>
      </c>
      <c r="C37" t="inlineStr">
        <is>
          <t>AMEX</t>
        </is>
      </c>
      <c r="D37" t="n">
        <v>12</v>
      </c>
      <c r="E37" t="n">
        <v>1138.69</v>
      </c>
      <c r="F37" t="n">
        <v>97.14</v>
      </c>
      <c r="G37" t="n">
        <v>144.34</v>
      </c>
      <c r="H37" t="n">
        <v>224.88</v>
      </c>
      <c r="I37" t="n">
        <v>0</v>
      </c>
      <c r="J37" t="n">
        <v>0</v>
      </c>
      <c r="K37" t="n">
        <v>97.14</v>
      </c>
      <c r="L37" t="n">
        <v>1380.17</v>
      </c>
      <c r="M37" t="n">
        <v>26.4</v>
      </c>
    </row>
    <row r="38">
      <c r="A38" s="15" t="n">
        <v>46025</v>
      </c>
      <c r="B38" t="inlineStr">
        <is>
          <t>Credit/debit</t>
        </is>
      </c>
      <c r="C38" t="inlineStr">
        <is>
          <t>DISCOVER</t>
        </is>
      </c>
      <c r="D38" t="n">
        <v>2</v>
      </c>
      <c r="E38" t="n">
        <v>102.78</v>
      </c>
      <c r="F38" t="n">
        <v>1</v>
      </c>
      <c r="G38" t="n">
        <v>16.5</v>
      </c>
      <c r="H38" t="n">
        <v>16.9</v>
      </c>
      <c r="I38" t="n">
        <v>0</v>
      </c>
      <c r="J38" t="n">
        <v>0</v>
      </c>
      <c r="K38" t="n">
        <v>1</v>
      </c>
      <c r="L38" t="n">
        <v>120.28</v>
      </c>
      <c r="M38" t="n">
        <v>20.4</v>
      </c>
    </row>
    <row r="39">
      <c r="A39" s="15" t="n">
        <v>46025</v>
      </c>
      <c r="B39" t="inlineStr">
        <is>
          <t>Credit/debit</t>
        </is>
      </c>
      <c r="C39" t="inlineStr">
        <is>
          <t>MASTERCARD</t>
        </is>
      </c>
      <c r="D39" t="n">
        <v>64</v>
      </c>
      <c r="E39" t="n">
        <v>2143.06</v>
      </c>
      <c r="F39" t="n">
        <v>205.19</v>
      </c>
      <c r="G39" t="n">
        <v>281.27</v>
      </c>
      <c r="H39" t="n">
        <v>360.58</v>
      </c>
      <c r="I39" t="n">
        <v>0</v>
      </c>
      <c r="J39" t="n">
        <v>0</v>
      </c>
      <c r="K39" t="n">
        <v>205.19</v>
      </c>
      <c r="L39" t="n">
        <v>2629.52</v>
      </c>
      <c r="M39" t="n">
        <v>27.3</v>
      </c>
    </row>
    <row r="40">
      <c r="A40" s="15" t="n">
        <v>46025</v>
      </c>
      <c r="B40" t="inlineStr">
        <is>
          <t>Credit/debit</t>
        </is>
      </c>
      <c r="C40" t="inlineStr">
        <is>
          <t>VISA</t>
        </is>
      </c>
      <c r="D40" t="n">
        <v>88</v>
      </c>
      <c r="E40" t="n">
        <v>3293.49</v>
      </c>
      <c r="F40" t="n">
        <v>264.88</v>
      </c>
      <c r="G40" t="n">
        <v>401.67</v>
      </c>
      <c r="H40" t="n">
        <v>512.74</v>
      </c>
      <c r="I40" t="n">
        <v>0</v>
      </c>
      <c r="J40" t="n">
        <v>0</v>
      </c>
      <c r="K40" t="n">
        <v>264.88</v>
      </c>
      <c r="L40" t="n">
        <v>3960.04</v>
      </c>
      <c r="M40" t="n">
        <v>24</v>
      </c>
    </row>
    <row r="41">
      <c r="A41" s="15" t="n">
        <v>46025</v>
      </c>
      <c r="B41" t="inlineStr">
        <is>
          <t>Gift Card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5" t="n">
        <v>46025</v>
      </c>
      <c r="B42" t="inlineStr">
        <is>
          <t>Other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5" t="n">
        <v>46024</v>
      </c>
      <c r="B43" t="inlineStr">
        <is>
          <t>Cash</t>
        </is>
      </c>
      <c r="D43" t="n">
        <v>1</v>
      </c>
      <c r="E43" t="n">
        <v>17.54</v>
      </c>
      <c r="F43" t="n">
        <v>0</v>
      </c>
      <c r="G43" t="n">
        <v>0</v>
      </c>
      <c r="H43" t="n">
        <v>3.54</v>
      </c>
      <c r="I43" t="n">
        <v>0</v>
      </c>
      <c r="J43" t="n">
        <v>0</v>
      </c>
      <c r="K43" t="n">
        <v>0</v>
      </c>
      <c r="L43" t="n">
        <v>17.54</v>
      </c>
      <c r="M43" t="n">
        <v>0</v>
      </c>
    </row>
    <row r="44">
      <c r="A44" s="15" t="n">
        <v>46024</v>
      </c>
      <c r="B44" t="inlineStr">
        <is>
          <t>Credit/debit</t>
        </is>
      </c>
      <c r="D44" t="n">
        <v>8</v>
      </c>
      <c r="E44" t="n">
        <v>1729.18</v>
      </c>
      <c r="F44" t="n">
        <v>191.48</v>
      </c>
      <c r="G44" t="n">
        <v>108.06</v>
      </c>
      <c r="H44" t="n">
        <v>213.87</v>
      </c>
      <c r="I44" t="n">
        <v>0</v>
      </c>
      <c r="J44" t="n">
        <v>0</v>
      </c>
      <c r="K44" t="n">
        <v>191.48</v>
      </c>
      <c r="L44" t="n">
        <v>2028.72</v>
      </c>
      <c r="M44" t="n">
        <v>19.8</v>
      </c>
    </row>
    <row r="45">
      <c r="A45" s="15" t="n">
        <v>46024</v>
      </c>
      <c r="B45" t="inlineStr">
        <is>
          <t>Credit/debit</t>
        </is>
      </c>
      <c r="C45" t="inlineStr">
        <is>
          <t>AMEX</t>
        </is>
      </c>
      <c r="D45" t="n">
        <v>2</v>
      </c>
      <c r="E45" t="n">
        <v>841.97</v>
      </c>
      <c r="F45" t="n">
        <v>25.18</v>
      </c>
      <c r="G45" t="n">
        <v>108.06</v>
      </c>
      <c r="H45" t="n">
        <v>111.24</v>
      </c>
      <c r="I45" t="n">
        <v>0</v>
      </c>
      <c r="J45" t="n">
        <v>0</v>
      </c>
      <c r="K45" t="n">
        <v>25.18</v>
      </c>
      <c r="L45" t="n">
        <v>975.21</v>
      </c>
      <c r="M45" t="n">
        <v>18.2</v>
      </c>
    </row>
    <row r="46">
      <c r="A46" s="15" t="n">
        <v>46024</v>
      </c>
      <c r="B46" t="inlineStr">
        <is>
          <t>Credit/debit</t>
        </is>
      </c>
      <c r="C46" t="inlineStr">
        <is>
          <t>MASTERCARD</t>
        </is>
      </c>
      <c r="D46" t="n">
        <v>4</v>
      </c>
      <c r="E46" t="n">
        <v>563.26</v>
      </c>
      <c r="F46" t="n">
        <v>96.3</v>
      </c>
      <c r="G46" t="n">
        <v>0</v>
      </c>
      <c r="H46" t="n">
        <v>68.02</v>
      </c>
      <c r="I46" t="n">
        <v>0</v>
      </c>
      <c r="J46" t="n">
        <v>0</v>
      </c>
      <c r="K46" t="n">
        <v>96.3</v>
      </c>
      <c r="L46" t="n">
        <v>659.5599999999999</v>
      </c>
      <c r="M46" t="n">
        <v>19.4</v>
      </c>
    </row>
    <row r="47">
      <c r="A47" s="15" t="n">
        <v>46024</v>
      </c>
      <c r="B47" t="inlineStr">
        <is>
          <t>Credit/debit</t>
        </is>
      </c>
      <c r="C47" t="inlineStr">
        <is>
          <t>VISA</t>
        </is>
      </c>
      <c r="D47" t="n">
        <v>2</v>
      </c>
      <c r="E47" t="n">
        <v>323.95</v>
      </c>
      <c r="F47" t="n">
        <v>70</v>
      </c>
      <c r="G47" t="n">
        <v>0</v>
      </c>
      <c r="H47" t="n">
        <v>34.61</v>
      </c>
      <c r="I47" t="n">
        <v>0</v>
      </c>
      <c r="J47" t="n">
        <v>0</v>
      </c>
      <c r="K47" t="n">
        <v>70</v>
      </c>
      <c r="L47" t="n">
        <v>393.95</v>
      </c>
      <c r="M47" t="n">
        <v>24.2</v>
      </c>
    </row>
    <row r="48">
      <c r="A48" s="15" t="n">
        <v>46024</v>
      </c>
      <c r="B48" t="inlineStr">
        <is>
          <t>Gift Card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5" t="n">
        <v>46024</v>
      </c>
      <c r="B49" t="inlineStr">
        <is>
          <t>Other</t>
        </is>
      </c>
      <c r="D49" t="n">
        <v>2</v>
      </c>
      <c r="E49" t="n">
        <v>121.28</v>
      </c>
      <c r="F49" t="n">
        <v>24.2</v>
      </c>
      <c r="G49" t="n">
        <v>0</v>
      </c>
      <c r="H49" t="n">
        <v>11.28</v>
      </c>
      <c r="I49" t="n">
        <v>0</v>
      </c>
      <c r="J49" t="n">
        <v>0</v>
      </c>
      <c r="K49" t="n">
        <v>24.2</v>
      </c>
      <c r="L49" t="n">
        <v>145.48</v>
      </c>
      <c r="M49" t="n">
        <v>22</v>
      </c>
    </row>
    <row r="50">
      <c r="A50" s="15" t="n">
        <v>46024</v>
      </c>
      <c r="B50" t="inlineStr">
        <is>
          <t>Other</t>
        </is>
      </c>
      <c r="C50" t="inlineStr">
        <is>
          <t>inkind</t>
        </is>
      </c>
      <c r="D50" t="n">
        <v>2</v>
      </c>
      <c r="E50" t="n">
        <v>121.28</v>
      </c>
      <c r="F50" t="n">
        <v>24.2</v>
      </c>
      <c r="G50" t="n">
        <v>0</v>
      </c>
      <c r="H50" t="n">
        <v>11.28</v>
      </c>
      <c r="I50" t="n">
        <v>0</v>
      </c>
      <c r="J50" t="n">
        <v>0</v>
      </c>
      <c r="K50" t="n">
        <v>24.2</v>
      </c>
      <c r="L50" t="n">
        <v>145.48</v>
      </c>
      <c r="M50" t="n">
        <v>22</v>
      </c>
    </row>
    <row r="51">
      <c r="A51" s="15" t="n">
        <v>46022</v>
      </c>
      <c r="B51" t="inlineStr">
        <is>
          <t>Cash</t>
        </is>
      </c>
      <c r="D51" t="n">
        <v>54</v>
      </c>
      <c r="E51" t="n">
        <v>2816.16</v>
      </c>
      <c r="F51" t="n">
        <v>0</v>
      </c>
      <c r="G51" t="n">
        <v>134</v>
      </c>
      <c r="H51" t="n">
        <v>472.73</v>
      </c>
      <c r="I51" t="n">
        <v>0</v>
      </c>
      <c r="J51" t="n">
        <v>0</v>
      </c>
      <c r="K51" t="n">
        <v>0</v>
      </c>
      <c r="L51" t="n">
        <v>2950.16</v>
      </c>
      <c r="M51" t="n">
        <v>5.7</v>
      </c>
    </row>
    <row r="52">
      <c r="A52" s="15" t="n">
        <v>46022</v>
      </c>
      <c r="B52" t="inlineStr">
        <is>
          <t>Credit/debit</t>
        </is>
      </c>
      <c r="D52" t="n">
        <v>319</v>
      </c>
      <c r="E52" t="n">
        <v>17291.93</v>
      </c>
      <c r="F52" t="n">
        <v>1284.1</v>
      </c>
      <c r="G52" t="n">
        <v>2013.58</v>
      </c>
      <c r="H52" t="n">
        <v>2743.74</v>
      </c>
      <c r="I52" t="n">
        <v>0</v>
      </c>
      <c r="J52" t="n">
        <v>0</v>
      </c>
      <c r="K52" t="n">
        <v>1284.1</v>
      </c>
      <c r="L52" t="n">
        <v>20589.61</v>
      </c>
      <c r="M52" t="n">
        <v>22.6</v>
      </c>
    </row>
    <row r="53">
      <c r="A53" s="15" t="n">
        <v>46022</v>
      </c>
      <c r="B53" t="inlineStr">
        <is>
          <t>Credit/debit</t>
        </is>
      </c>
      <c r="C53" t="inlineStr">
        <is>
          <t>AMEX</t>
        </is>
      </c>
      <c r="D53" t="n">
        <v>12</v>
      </c>
      <c r="E53" t="n">
        <v>1274.56</v>
      </c>
      <c r="F53" t="n">
        <v>40.99</v>
      </c>
      <c r="G53" t="n">
        <v>193.54</v>
      </c>
      <c r="H53" t="n">
        <v>220.58</v>
      </c>
      <c r="I53" t="n">
        <v>0</v>
      </c>
      <c r="J53" t="n">
        <v>0</v>
      </c>
      <c r="K53" t="n">
        <v>40.99</v>
      </c>
      <c r="L53" t="n">
        <v>1509.09</v>
      </c>
      <c r="M53" t="n">
        <v>22.3</v>
      </c>
    </row>
    <row r="54">
      <c r="A54" s="15" t="n">
        <v>46022</v>
      </c>
      <c r="B54" t="inlineStr">
        <is>
          <t>Credit/debit</t>
        </is>
      </c>
      <c r="C54" t="inlineStr">
        <is>
          <t>DISCOVER</t>
        </is>
      </c>
      <c r="D54" t="n">
        <v>10</v>
      </c>
      <c r="E54" t="n">
        <v>702.3099999999999</v>
      </c>
      <c r="F54" t="n">
        <v>43.65</v>
      </c>
      <c r="G54" t="n">
        <v>72.26000000000001</v>
      </c>
      <c r="H54" t="n">
        <v>94.92</v>
      </c>
      <c r="I54" t="n">
        <v>0</v>
      </c>
      <c r="J54" t="n">
        <v>0</v>
      </c>
      <c r="K54" t="n">
        <v>43.65</v>
      </c>
      <c r="L54" t="n">
        <v>818.22</v>
      </c>
      <c r="M54" t="n">
        <v>19.1</v>
      </c>
    </row>
    <row r="55">
      <c r="A55" s="15" t="n">
        <v>46022</v>
      </c>
      <c r="B55" t="inlineStr">
        <is>
          <t>Credit/debit</t>
        </is>
      </c>
      <c r="C55" t="inlineStr">
        <is>
          <t>MASTERCARD</t>
        </is>
      </c>
      <c r="D55" t="n">
        <v>96</v>
      </c>
      <c r="E55" t="n">
        <v>5250.16</v>
      </c>
      <c r="F55" t="n">
        <v>416.88</v>
      </c>
      <c r="G55" t="n">
        <v>637.45</v>
      </c>
      <c r="H55" t="n">
        <v>815.73</v>
      </c>
      <c r="I55" t="n">
        <v>0</v>
      </c>
      <c r="J55" t="n">
        <v>0</v>
      </c>
      <c r="K55" t="n">
        <v>416.88</v>
      </c>
      <c r="L55" t="n">
        <v>6304.49</v>
      </c>
      <c r="M55" t="n">
        <v>23.8</v>
      </c>
    </row>
    <row r="56">
      <c r="A56" s="15" t="n">
        <v>46022</v>
      </c>
      <c r="B56" t="inlineStr">
        <is>
          <t>Credit/debit</t>
        </is>
      </c>
      <c r="C56" t="inlineStr">
        <is>
          <t>VISA</t>
        </is>
      </c>
      <c r="D56" t="n">
        <v>201</v>
      </c>
      <c r="E56" t="n">
        <v>10064.9</v>
      </c>
      <c r="F56" t="n">
        <v>782.58</v>
      </c>
      <c r="G56" t="n">
        <v>1110.33</v>
      </c>
      <c r="H56" t="n">
        <v>1612.51</v>
      </c>
      <c r="I56" t="n">
        <v>0</v>
      </c>
      <c r="J56" t="n">
        <v>0</v>
      </c>
      <c r="K56" t="n">
        <v>782.58</v>
      </c>
      <c r="L56" t="n">
        <v>11957.81</v>
      </c>
      <c r="M56" t="n">
        <v>22.3</v>
      </c>
    </row>
    <row r="57">
      <c r="A57" s="15" t="n">
        <v>46022</v>
      </c>
      <c r="B57" t="inlineStr">
        <is>
          <t>Gift Card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5" t="n">
        <v>46022</v>
      </c>
      <c r="B58" t="inlineStr">
        <is>
          <t>Other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5" t="n">
        <v>46022</v>
      </c>
      <c r="B59" t="inlineStr">
        <is>
          <t>Subtotal</t>
        </is>
      </c>
      <c r="D59" t="n">
        <v>373</v>
      </c>
      <c r="E59" t="n">
        <v>20108.09</v>
      </c>
      <c r="F59" t="n">
        <v>1284.1</v>
      </c>
      <c r="G59" t="n">
        <v>2147.58</v>
      </c>
      <c r="H59" t="n">
        <v>3216.47</v>
      </c>
      <c r="I59" t="n">
        <v>0</v>
      </c>
      <c r="J59" t="n">
        <v>0</v>
      </c>
      <c r="K59" t="n">
        <v>1284.1</v>
      </c>
      <c r="L59" t="n">
        <v>23539.77</v>
      </c>
      <c r="M59" t="n">
        <v>20.3</v>
      </c>
    </row>
    <row r="60">
      <c r="A60" s="15" t="n">
        <v>46022</v>
      </c>
      <c r="B60" t="inlineStr">
        <is>
          <t>Deposit Sales Collected</t>
        </is>
      </c>
      <c r="L60" t="n">
        <v>100</v>
      </c>
    </row>
    <row r="61">
      <c r="A61" s="15" t="n">
        <v>46021</v>
      </c>
      <c r="B61" t="inlineStr">
        <is>
          <t>Cash</t>
        </is>
      </c>
      <c r="D61" t="n">
        <v>2</v>
      </c>
      <c r="E61" t="n">
        <v>243.58</v>
      </c>
      <c r="F61" t="n">
        <v>0</v>
      </c>
      <c r="G61" t="n">
        <v>0</v>
      </c>
      <c r="H61" t="n">
        <v>24.68</v>
      </c>
      <c r="I61" t="n">
        <v>0</v>
      </c>
      <c r="J61" t="n">
        <v>0</v>
      </c>
      <c r="K61" t="n">
        <v>0</v>
      </c>
      <c r="L61" t="n">
        <v>243.58</v>
      </c>
      <c r="M61" t="n">
        <v>0</v>
      </c>
    </row>
    <row r="62">
      <c r="A62" s="15" t="n">
        <v>46021</v>
      </c>
      <c r="B62" t="inlineStr">
        <is>
          <t>Credit/debit</t>
        </is>
      </c>
      <c r="D62" t="n">
        <v>19</v>
      </c>
      <c r="E62" t="n">
        <v>1655.35</v>
      </c>
      <c r="F62" t="n">
        <v>178.83</v>
      </c>
      <c r="G62" t="n">
        <v>121.08</v>
      </c>
      <c r="H62" t="n">
        <v>193.71</v>
      </c>
      <c r="I62" t="n">
        <v>0</v>
      </c>
      <c r="J62" t="n">
        <v>0</v>
      </c>
      <c r="K62" t="n">
        <v>178.83</v>
      </c>
      <c r="L62" t="n">
        <v>1955.26</v>
      </c>
      <c r="M62" t="n">
        <v>20.5</v>
      </c>
    </row>
    <row r="63">
      <c r="A63" s="15" t="n">
        <v>46021</v>
      </c>
      <c r="B63" t="inlineStr">
        <is>
          <t>Credit/debit</t>
        </is>
      </c>
      <c r="C63" t="inlineStr">
        <is>
          <t>AMEX</t>
        </is>
      </c>
      <c r="D63" t="n">
        <v>2</v>
      </c>
      <c r="E63" t="n">
        <v>217.07</v>
      </c>
      <c r="F63" t="n">
        <v>35</v>
      </c>
      <c r="G63" t="n">
        <v>7.51</v>
      </c>
      <c r="H63" t="n">
        <v>27.65</v>
      </c>
      <c r="I63" t="n">
        <v>0</v>
      </c>
      <c r="J63" t="n">
        <v>0</v>
      </c>
      <c r="K63" t="n">
        <v>35</v>
      </c>
      <c r="L63" t="n">
        <v>259.58</v>
      </c>
      <c r="M63" t="n">
        <v>22.4</v>
      </c>
    </row>
    <row r="64">
      <c r="A64" s="15" t="n">
        <v>46021</v>
      </c>
      <c r="B64" t="inlineStr">
        <is>
          <t>Credit/debit</t>
        </is>
      </c>
      <c r="C64" t="inlineStr">
        <is>
          <t>DISCOVER</t>
        </is>
      </c>
      <c r="D64" t="n">
        <v>2</v>
      </c>
      <c r="E64" t="n">
        <v>165.41</v>
      </c>
      <c r="F64" t="n">
        <v>0</v>
      </c>
      <c r="G64" t="n">
        <v>25.68</v>
      </c>
      <c r="H64" t="n">
        <v>17.69</v>
      </c>
      <c r="I64" t="n">
        <v>0</v>
      </c>
      <c r="J64" t="n">
        <v>0</v>
      </c>
      <c r="K64" t="n">
        <v>0</v>
      </c>
      <c r="L64" t="n">
        <v>191.09</v>
      </c>
      <c r="M64" t="n">
        <v>17.4</v>
      </c>
    </row>
    <row r="65">
      <c r="A65" s="15" t="n">
        <v>46021</v>
      </c>
      <c r="B65" t="inlineStr">
        <is>
          <t>Credit/debit</t>
        </is>
      </c>
      <c r="C65" t="inlineStr">
        <is>
          <t>MASTERCARD</t>
        </is>
      </c>
      <c r="D65" t="n">
        <v>3</v>
      </c>
      <c r="E65" t="n">
        <v>128.89</v>
      </c>
      <c r="F65" t="n">
        <v>13</v>
      </c>
      <c r="G65" t="n">
        <v>8.640000000000001</v>
      </c>
      <c r="H65" t="n">
        <v>11.98</v>
      </c>
      <c r="I65" t="n">
        <v>0</v>
      </c>
      <c r="J65" t="n">
        <v>0</v>
      </c>
      <c r="K65" t="n">
        <v>13</v>
      </c>
      <c r="L65" t="n">
        <v>150.53</v>
      </c>
      <c r="M65" t="n">
        <v>18.5</v>
      </c>
    </row>
    <row r="66">
      <c r="A66" s="15" t="n">
        <v>46021</v>
      </c>
      <c r="B66" t="inlineStr">
        <is>
          <t>Credit/debit</t>
        </is>
      </c>
      <c r="C66" t="inlineStr">
        <is>
          <t>VISA</t>
        </is>
      </c>
      <c r="D66" t="n">
        <v>12</v>
      </c>
      <c r="E66" t="n">
        <v>1143.98</v>
      </c>
      <c r="F66" t="n">
        <v>130.83</v>
      </c>
      <c r="G66" t="n">
        <v>79.25</v>
      </c>
      <c r="H66" t="n">
        <v>136.39</v>
      </c>
      <c r="I66" t="n">
        <v>0</v>
      </c>
      <c r="J66" t="n">
        <v>0</v>
      </c>
      <c r="K66" t="n">
        <v>130.83</v>
      </c>
      <c r="L66" t="n">
        <v>1354.06</v>
      </c>
      <c r="M66" t="n">
        <v>20.8</v>
      </c>
    </row>
    <row r="67">
      <c r="A67" s="15" t="n">
        <v>46021</v>
      </c>
      <c r="B67" t="inlineStr">
        <is>
          <t>Gift Card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5" t="n">
        <v>46021</v>
      </c>
      <c r="B68" t="inlineStr">
        <is>
          <t>Other</t>
        </is>
      </c>
      <c r="D68" t="n">
        <v>1</v>
      </c>
      <c r="E68" t="n">
        <v>138.37</v>
      </c>
      <c r="F68" t="n">
        <v>0</v>
      </c>
      <c r="G68" t="n">
        <v>22.32</v>
      </c>
      <c r="H68" t="n">
        <v>14.37</v>
      </c>
      <c r="I68" t="n">
        <v>0</v>
      </c>
      <c r="J68" t="n">
        <v>0</v>
      </c>
      <c r="K68" t="n">
        <v>0</v>
      </c>
      <c r="L68" t="n">
        <v>160.69</v>
      </c>
      <c r="M68" t="n">
        <v>18</v>
      </c>
    </row>
    <row r="69">
      <c r="A69" s="15" t="n">
        <v>46021</v>
      </c>
      <c r="B69" t="inlineStr">
        <is>
          <t>Other</t>
        </is>
      </c>
      <c r="C69" t="inlineStr">
        <is>
          <t>inkind</t>
        </is>
      </c>
      <c r="D69" t="n">
        <v>1</v>
      </c>
      <c r="E69" t="n">
        <v>138.37</v>
      </c>
      <c r="F69" t="n">
        <v>0</v>
      </c>
      <c r="G69" t="n">
        <v>22.32</v>
      </c>
      <c r="H69" t="n">
        <v>14.37</v>
      </c>
      <c r="I69" t="n">
        <v>0</v>
      </c>
      <c r="J69" t="n">
        <v>0</v>
      </c>
      <c r="K69" t="n">
        <v>0</v>
      </c>
      <c r="L69" t="n">
        <v>160.69</v>
      </c>
      <c r="M69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5"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B12" sqref="B12"/>
    </sheetView>
  </sheetViews>
  <sheetFormatPr baseColWidth="8" defaultRowHeight="14.4"/>
  <cols>
    <col width="16.7890625" bestFit="1" customWidth="1" style="17" min="1" max="1"/>
    <col width="8.68359375" bestFit="1" customWidth="1" style="17" min="2" max="2"/>
    <col width="7.41796875" bestFit="1" customWidth="1" style="17" min="3" max="3"/>
    <col width="11" bestFit="1" customWidth="1" style="17" min="4" max="4"/>
    <col width="22.3671875" bestFit="1" customWidth="1" style="17" min="5" max="5"/>
    <col width="29.3125" bestFit="1" customWidth="1" style="17" min="6" max="6"/>
    <col width="7.68359375" bestFit="1" customWidth="1" style="17" min="7" max="7"/>
    <col width="17.5234375" bestFit="1" customWidth="1" style="17" min="8" max="8"/>
    <col width="22.47265625" bestFit="1" customWidth="1" style="17" min="9" max="9"/>
    <col width="13.68359375" bestFit="1" customWidth="1" style="17" min="10" max="10"/>
    <col width="19.3125" bestFit="1" customWidth="1" style="17" min="11" max="11"/>
    <col width="11.7890625" bestFit="1" customWidth="1" style="17" min="12" max="12"/>
    <col width="8.68359375" bestFit="1" customWidth="1" style="17" min="13" max="13"/>
  </cols>
  <sheetData>
    <row r="1">
      <c r="A1" s="1" t="inlineStr">
        <is>
          <t>Date</t>
        </is>
      </c>
      <c r="B1" s="1" t="inlineStr">
        <is>
          <t>Net sales</t>
        </is>
      </c>
      <c r="C1" s="1" t="inlineStr">
        <is>
          <t>Gratuity</t>
        </is>
      </c>
      <c r="D1" s="1" t="inlineStr">
        <is>
          <t>Tax amount</t>
        </is>
      </c>
      <c r="E1" s="1" t="inlineStr">
        <is>
          <t>Fundraising Contributions</t>
        </is>
      </c>
      <c r="F1" s="1" t="inlineStr">
        <is>
          <t>Fundraising Contribution Refunds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15" t="n">
        <v>46026</v>
      </c>
      <c r="B2" t="n">
        <v>637.09</v>
      </c>
      <c r="C2" t="n">
        <v>0</v>
      </c>
      <c r="D2" t="n">
        <v>74.44</v>
      </c>
      <c r="G2" t="n">
        <v>126.03</v>
      </c>
      <c r="K2" t="n">
        <v>0</v>
      </c>
      <c r="L2" t="n">
        <v>0</v>
      </c>
      <c r="M2" t="n">
        <v>837.5599999999999</v>
      </c>
    </row>
    <row r="3">
      <c r="A3" s="15" t="n">
        <v>46022</v>
      </c>
      <c r="B3" t="n">
        <v>16960.47</v>
      </c>
      <c r="C3" t="n">
        <v>2161.35</v>
      </c>
      <c r="D3" t="n">
        <v>3233.85</v>
      </c>
      <c r="G3" t="n">
        <v>1284.1</v>
      </c>
      <c r="K3" t="n">
        <v>0</v>
      </c>
      <c r="L3" t="n">
        <v>0</v>
      </c>
      <c r="M3" t="n">
        <v>23639.77</v>
      </c>
    </row>
    <row r="4">
      <c r="A4" s="15" t="n">
        <v>46024</v>
      </c>
      <c r="B4" t="n">
        <v>1639.31</v>
      </c>
      <c r="C4" t="n">
        <v>108.06</v>
      </c>
      <c r="D4" t="n">
        <v>228.69</v>
      </c>
      <c r="G4" t="n">
        <v>215.68</v>
      </c>
      <c r="K4" t="n">
        <v>0</v>
      </c>
      <c r="L4" t="n">
        <v>0</v>
      </c>
      <c r="M4" t="n">
        <v>2191.74</v>
      </c>
    </row>
    <row r="5">
      <c r="A5" s="15" t="n">
        <v>46025</v>
      </c>
      <c r="B5" t="n">
        <v>6428.61</v>
      </c>
      <c r="C5" t="n">
        <v>868.97</v>
      </c>
      <c r="D5" t="n">
        <v>1297.84</v>
      </c>
      <c r="G5" t="n">
        <v>568.21</v>
      </c>
      <c r="K5" t="n">
        <v>0</v>
      </c>
      <c r="L5" t="n">
        <v>0</v>
      </c>
      <c r="M5" t="n">
        <v>9163.629999999999</v>
      </c>
    </row>
    <row r="6">
      <c r="A6" s="15" t="n">
        <v>46028</v>
      </c>
      <c r="B6" t="n">
        <v>169.85</v>
      </c>
      <c r="C6" t="n">
        <v>0</v>
      </c>
      <c r="D6" t="n">
        <v>23.55</v>
      </c>
      <c r="G6" t="n">
        <v>36</v>
      </c>
      <c r="K6" t="n">
        <v>0</v>
      </c>
      <c r="L6" t="n">
        <v>0</v>
      </c>
      <c r="M6" t="n">
        <v>229.4</v>
      </c>
    </row>
    <row r="7">
      <c r="A7" s="15" t="n">
        <v>46030</v>
      </c>
      <c r="B7" t="n">
        <v>13</v>
      </c>
      <c r="C7" t="n">
        <v>0</v>
      </c>
      <c r="D7" t="n">
        <v>2.53</v>
      </c>
      <c r="G7" t="n">
        <v>5</v>
      </c>
      <c r="K7" t="n">
        <v>0</v>
      </c>
      <c r="L7" t="n">
        <v>0</v>
      </c>
      <c r="M7" t="n">
        <v>20.53</v>
      </c>
    </row>
    <row r="8">
      <c r="A8" s="15" t="n">
        <v>46031</v>
      </c>
      <c r="B8" t="n">
        <v>889.23</v>
      </c>
      <c r="C8" t="n">
        <v>89.06</v>
      </c>
      <c r="D8" t="n">
        <v>135.56</v>
      </c>
      <c r="G8" t="n">
        <v>44.58</v>
      </c>
      <c r="K8" t="n">
        <v>0</v>
      </c>
      <c r="L8" t="n">
        <v>0</v>
      </c>
      <c r="M8" t="n">
        <v>1158.43</v>
      </c>
    </row>
    <row r="9">
      <c r="A9" s="15" t="n">
        <v>46032</v>
      </c>
      <c r="B9" t="n">
        <v>6129.34</v>
      </c>
      <c r="C9" t="n">
        <v>850.33</v>
      </c>
      <c r="D9" t="n">
        <v>1163.74</v>
      </c>
      <c r="G9" t="n">
        <v>514.41</v>
      </c>
      <c r="K9" t="n">
        <v>0</v>
      </c>
      <c r="L9" t="n">
        <v>0</v>
      </c>
      <c r="M9" t="n">
        <v>8657.82</v>
      </c>
    </row>
    <row r="10">
      <c r="A10" s="15" t="n">
        <v>46021</v>
      </c>
      <c r="B10" t="n">
        <v>1804.54</v>
      </c>
      <c r="C10" t="n">
        <v>143.4</v>
      </c>
      <c r="D10" t="n">
        <v>232.76</v>
      </c>
      <c r="G10" t="n">
        <v>178.83</v>
      </c>
      <c r="K10" t="n">
        <v>0</v>
      </c>
      <c r="L10" t="n">
        <v>0</v>
      </c>
      <c r="M10" t="n">
        <v>2359.53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6"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E20" sqref="E20"/>
    </sheetView>
  </sheetViews>
  <sheetFormatPr baseColWidth="8" defaultRowHeight="14.4"/>
  <cols>
    <col width="16.7890625" bestFit="1" customWidth="1" style="17" min="1" max="1"/>
    <col width="16.89453125" customWidth="1" style="17" min="2" max="2"/>
    <col width="5.26171875" bestFit="1" customWidth="1" style="17" min="3" max="3"/>
    <col width="8.68359375" bestFit="1" customWidth="1" style="17" min="4" max="4"/>
    <col width="15.3671875" bestFit="1" customWidth="1" style="17" min="5" max="5"/>
    <col width="14.15625" bestFit="1" customWidth="1" style="17" min="6" max="6"/>
    <col width="10.3125" bestFit="1" customWidth="1" style="17" min="7" max="7"/>
    <col width="11" bestFit="1" customWidth="1" style="17" min="8" max="8"/>
  </cols>
  <sheetData>
    <row r="1">
      <c r="A1" s="1" t="inlineStr">
        <is>
          <t>Date</t>
        </is>
      </c>
      <c r="B1" s="1" t="inlineStr">
        <is>
          <t>Sales category</t>
        </is>
      </c>
      <c r="C1" s="1" t="inlineStr">
        <is>
          <t>Items</t>
        </is>
      </c>
      <c r="D1" s="1" t="inlineStr">
        <is>
          <t>Net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Gross sales</t>
        </is>
      </c>
      <c r="H1" s="1" t="inlineStr">
        <is>
          <t>Tax amount</t>
        </is>
      </c>
    </row>
    <row r="2">
      <c r="A2" s="15" t="n">
        <v>46026</v>
      </c>
      <c r="B2" t="inlineStr">
        <is>
          <t>Bottled Beer</t>
        </is>
      </c>
      <c r="C2" t="n">
        <v>4</v>
      </c>
      <c r="D2" t="n">
        <v>31</v>
      </c>
      <c r="E2" t="n">
        <v>0</v>
      </c>
      <c r="F2" t="n">
        <v>0</v>
      </c>
      <c r="G2" t="n">
        <v>31</v>
      </c>
      <c r="H2" t="n">
        <v>3.17</v>
      </c>
    </row>
    <row r="3">
      <c r="A3" s="15" t="n">
        <v>46026</v>
      </c>
      <c r="B3" t="inlineStr">
        <is>
          <t>Food</t>
        </is>
      </c>
      <c r="C3" t="n">
        <v>19</v>
      </c>
      <c r="D3" t="n">
        <v>523.15</v>
      </c>
      <c r="E3" t="n">
        <v>0</v>
      </c>
      <c r="F3" t="n">
        <v>0</v>
      </c>
      <c r="G3" t="n">
        <v>523.15</v>
      </c>
      <c r="H3" t="n">
        <v>53.61</v>
      </c>
    </row>
    <row r="4">
      <c r="A4" s="15" t="n">
        <v>46026</v>
      </c>
      <c r="B4" t="inlineStr">
        <is>
          <t>Liquor</t>
        </is>
      </c>
      <c r="C4" t="n">
        <v>3</v>
      </c>
      <c r="D4" t="n">
        <v>61</v>
      </c>
      <c r="E4" t="n">
        <v>0</v>
      </c>
      <c r="F4" t="n">
        <v>0</v>
      </c>
      <c r="G4" t="n">
        <v>61</v>
      </c>
      <c r="H4" t="n">
        <v>15.4</v>
      </c>
    </row>
    <row r="5">
      <c r="A5" s="15" t="n">
        <v>46026</v>
      </c>
      <c r="B5" t="inlineStr">
        <is>
          <t>NA Beverage</t>
        </is>
      </c>
      <c r="C5" t="n">
        <v>3</v>
      </c>
      <c r="D5" t="n">
        <v>9</v>
      </c>
      <c r="E5" t="n">
        <v>0</v>
      </c>
      <c r="F5" t="n">
        <v>0</v>
      </c>
      <c r="G5" t="n">
        <v>9</v>
      </c>
      <c r="H5" t="n">
        <v>0.93</v>
      </c>
    </row>
    <row r="6">
      <c r="A6" s="15" t="n">
        <v>46026</v>
      </c>
      <c r="B6" t="inlineStr">
        <is>
          <t>Non-Grat Svc Charges</t>
        </is>
      </c>
      <c r="C6" t="n">
        <v>3</v>
      </c>
      <c r="D6" t="n">
        <v>12.94</v>
      </c>
      <c r="E6" t="n">
        <v>0</v>
      </c>
      <c r="F6" t="n">
        <v>0</v>
      </c>
      <c r="G6" t="n">
        <v>12.94</v>
      </c>
      <c r="H6" t="n">
        <v>1.33</v>
      </c>
    </row>
    <row r="7">
      <c r="A7" s="15" t="n">
        <v>46022</v>
      </c>
      <c r="B7" t="inlineStr">
        <is>
          <t>Bottled Beer</t>
        </is>
      </c>
      <c r="C7" t="n">
        <v>215</v>
      </c>
      <c r="D7" t="n">
        <v>1937</v>
      </c>
      <c r="E7" t="n">
        <v>18</v>
      </c>
      <c r="F7" t="n">
        <v>0</v>
      </c>
      <c r="G7" t="n">
        <v>1955</v>
      </c>
      <c r="H7" t="n">
        <v>199.01</v>
      </c>
    </row>
    <row r="8">
      <c r="A8" s="15" t="n">
        <v>46022</v>
      </c>
      <c r="B8" t="inlineStr">
        <is>
          <t>Food</t>
        </is>
      </c>
      <c r="C8" t="n">
        <v>149</v>
      </c>
      <c r="D8" t="n">
        <v>3886.04</v>
      </c>
      <c r="E8" t="n">
        <v>419.03</v>
      </c>
      <c r="F8" t="n">
        <v>0</v>
      </c>
      <c r="G8" t="n">
        <v>4305.07</v>
      </c>
      <c r="H8" t="n">
        <v>398.36</v>
      </c>
    </row>
    <row r="9">
      <c r="A9" s="15" t="n">
        <v>46022</v>
      </c>
      <c r="B9" t="inlineStr">
        <is>
          <t>Liquor</t>
        </is>
      </c>
      <c r="C9" t="n">
        <v>585</v>
      </c>
      <c r="D9" t="n">
        <v>10690.55</v>
      </c>
      <c r="E9" t="n">
        <v>487.55</v>
      </c>
      <c r="F9" t="n">
        <v>0</v>
      </c>
      <c r="G9" t="n">
        <v>11178.1</v>
      </c>
      <c r="H9" t="n">
        <v>2558.66</v>
      </c>
    </row>
    <row r="10">
      <c r="A10" s="15" t="n">
        <v>46022</v>
      </c>
      <c r="B10" t="inlineStr">
        <is>
          <t>NA Beverage</t>
        </is>
      </c>
      <c r="C10" t="n">
        <v>10</v>
      </c>
      <c r="D10" t="n">
        <v>33</v>
      </c>
      <c r="E10" t="n">
        <v>0</v>
      </c>
      <c r="F10" t="n">
        <v>0</v>
      </c>
      <c r="G10" t="n">
        <v>33</v>
      </c>
      <c r="H10" t="n">
        <v>3.4</v>
      </c>
    </row>
    <row r="11">
      <c r="A11" s="15" t="n">
        <v>46022</v>
      </c>
      <c r="B11" t="inlineStr">
        <is>
          <t>Non-Grat Svc Charges</t>
        </is>
      </c>
      <c r="C11" t="n">
        <v>96</v>
      </c>
      <c r="D11" t="n">
        <v>201.18</v>
      </c>
      <c r="E11" t="n">
        <v>0</v>
      </c>
      <c r="F11" t="n">
        <v>0</v>
      </c>
      <c r="G11" t="n">
        <v>201.18</v>
      </c>
      <c r="H11" t="n">
        <v>20.71</v>
      </c>
    </row>
    <row r="12">
      <c r="A12" s="15" t="n">
        <v>46022</v>
      </c>
      <c r="B12" t="inlineStr">
        <is>
          <t>Wine</t>
        </is>
      </c>
      <c r="C12" t="n">
        <v>14</v>
      </c>
      <c r="D12" t="n">
        <v>212.7</v>
      </c>
      <c r="E12" t="n">
        <v>24.3</v>
      </c>
      <c r="F12" t="n">
        <v>0</v>
      </c>
      <c r="G12" t="n">
        <v>237</v>
      </c>
      <c r="H12" t="n">
        <v>53.71</v>
      </c>
    </row>
    <row r="13">
      <c r="A13" s="15" t="n">
        <v>46024</v>
      </c>
      <c r="B13" t="inlineStr">
        <is>
          <t>Bottled Beer</t>
        </is>
      </c>
      <c r="C13" t="n">
        <v>5</v>
      </c>
      <c r="D13" t="n">
        <v>45</v>
      </c>
      <c r="E13" t="n">
        <v>0</v>
      </c>
      <c r="F13" t="n">
        <v>0</v>
      </c>
      <c r="G13" t="n">
        <v>45</v>
      </c>
      <c r="H13" t="n">
        <v>4.6</v>
      </c>
    </row>
    <row r="14">
      <c r="A14" s="15" t="n">
        <v>46024</v>
      </c>
      <c r="B14" t="inlineStr">
        <is>
          <t>Food</t>
        </is>
      </c>
      <c r="C14" t="n">
        <v>42</v>
      </c>
      <c r="D14" t="n">
        <v>1146.05</v>
      </c>
      <c r="E14" t="n">
        <v>0</v>
      </c>
      <c r="F14" t="n">
        <v>0</v>
      </c>
      <c r="G14" t="n">
        <v>1146.05</v>
      </c>
      <c r="H14" t="n">
        <v>117.48</v>
      </c>
    </row>
    <row r="15">
      <c r="A15" s="15" t="n">
        <v>46024</v>
      </c>
      <c r="B15" t="inlineStr">
        <is>
          <t>Liquor</t>
        </is>
      </c>
      <c r="C15" t="n">
        <v>20</v>
      </c>
      <c r="D15" t="n">
        <v>369</v>
      </c>
      <c r="E15" t="n">
        <v>0</v>
      </c>
      <c r="F15" t="n">
        <v>0</v>
      </c>
      <c r="G15" t="n">
        <v>369</v>
      </c>
      <c r="H15" t="n">
        <v>93.22</v>
      </c>
    </row>
    <row r="16">
      <c r="A16" s="15" t="n">
        <v>46024</v>
      </c>
      <c r="B16" t="inlineStr">
        <is>
          <t>NA Beverage</t>
        </is>
      </c>
      <c r="C16" t="n">
        <v>2</v>
      </c>
      <c r="D16" t="n">
        <v>6</v>
      </c>
      <c r="E16" t="n">
        <v>0</v>
      </c>
      <c r="F16" t="n">
        <v>0</v>
      </c>
      <c r="G16" t="n">
        <v>6</v>
      </c>
      <c r="H16" t="n">
        <v>0.62</v>
      </c>
    </row>
    <row r="17">
      <c r="A17" s="15" t="n">
        <v>46024</v>
      </c>
      <c r="B17" t="inlineStr">
        <is>
          <t>Non-Grat Svc Charges</t>
        </is>
      </c>
      <c r="C17" t="n">
        <v>6</v>
      </c>
      <c r="D17" t="n">
        <v>38.26</v>
      </c>
      <c r="E17" t="n">
        <v>0</v>
      </c>
      <c r="F17" t="n">
        <v>0</v>
      </c>
      <c r="G17" t="n">
        <v>38.26</v>
      </c>
      <c r="H17" t="n">
        <v>3.93</v>
      </c>
    </row>
    <row r="18">
      <c r="A18" s="15" t="n">
        <v>46024</v>
      </c>
      <c r="B18" t="inlineStr">
        <is>
          <t>Wine</t>
        </is>
      </c>
      <c r="C18" t="n">
        <v>3</v>
      </c>
      <c r="D18" t="n">
        <v>35</v>
      </c>
      <c r="E18" t="n">
        <v>0</v>
      </c>
      <c r="F18" t="n">
        <v>0</v>
      </c>
      <c r="G18" t="n">
        <v>35</v>
      </c>
      <c r="H18" t="n">
        <v>8.84</v>
      </c>
    </row>
    <row r="19">
      <c r="A19" s="15" t="n">
        <v>46025</v>
      </c>
      <c r="B19" t="inlineStr">
        <is>
          <t>Bottled Beer</t>
        </is>
      </c>
      <c r="C19" t="n">
        <v>107</v>
      </c>
      <c r="D19" t="n">
        <v>807</v>
      </c>
      <c r="E19" t="n">
        <v>0</v>
      </c>
      <c r="F19" t="n">
        <v>0</v>
      </c>
      <c r="G19" t="n">
        <v>807</v>
      </c>
      <c r="H19" t="n">
        <v>85.27</v>
      </c>
    </row>
    <row r="20">
      <c r="A20" s="15" t="n">
        <v>46025</v>
      </c>
      <c r="B20" t="inlineStr">
        <is>
          <t>Food</t>
        </is>
      </c>
      <c r="C20" t="n">
        <v>24</v>
      </c>
      <c r="D20" t="n">
        <v>455.46</v>
      </c>
      <c r="E20" t="n">
        <v>39.84</v>
      </c>
      <c r="F20" t="n">
        <v>0</v>
      </c>
      <c r="G20" t="n">
        <v>495.3</v>
      </c>
      <c r="H20" t="n">
        <v>46.66</v>
      </c>
    </row>
    <row r="21">
      <c r="A21" s="15" t="n">
        <v>46025</v>
      </c>
      <c r="B21" t="inlineStr">
        <is>
          <t>Liquor</t>
        </is>
      </c>
      <c r="C21" t="n">
        <v>280</v>
      </c>
      <c r="D21" t="n">
        <v>5075</v>
      </c>
      <c r="E21" t="n">
        <v>716.03</v>
      </c>
      <c r="F21" t="n">
        <v>0</v>
      </c>
      <c r="G21" t="n">
        <v>5791.03</v>
      </c>
      <c r="H21" t="n">
        <v>1156.58</v>
      </c>
    </row>
    <row r="22">
      <c r="A22" s="15" t="n">
        <v>46025</v>
      </c>
      <c r="B22" t="inlineStr">
        <is>
          <t>NA Beverage</t>
        </is>
      </c>
      <c r="C22" t="n">
        <v>7</v>
      </c>
      <c r="D22" t="n">
        <v>17</v>
      </c>
      <c r="E22" t="n">
        <v>8</v>
      </c>
      <c r="F22" t="n">
        <v>0</v>
      </c>
      <c r="G22" t="n">
        <v>25</v>
      </c>
      <c r="H22" t="n">
        <v>1.75</v>
      </c>
    </row>
    <row r="23">
      <c r="A23" s="15" t="n">
        <v>46025</v>
      </c>
      <c r="B23" t="inlineStr">
        <is>
          <t>Non-Grat Svc Charges</t>
        </is>
      </c>
      <c r="C23" t="n">
        <v>53</v>
      </c>
      <c r="D23" t="n">
        <v>74.15000000000001</v>
      </c>
      <c r="E23" t="n">
        <v>0</v>
      </c>
      <c r="F23" t="n">
        <v>0</v>
      </c>
      <c r="G23" t="n">
        <v>74.15000000000001</v>
      </c>
      <c r="H23" t="n">
        <v>7.58</v>
      </c>
    </row>
    <row r="24">
      <c r="A24" s="15" t="n">
        <v>46028</v>
      </c>
      <c r="B24" t="inlineStr">
        <is>
          <t>Food</t>
        </is>
      </c>
      <c r="C24" t="n">
        <v>6</v>
      </c>
      <c r="D24" t="n">
        <v>128.85</v>
      </c>
      <c r="E24" t="n">
        <v>0</v>
      </c>
      <c r="F24" t="n">
        <v>0</v>
      </c>
      <c r="G24" t="n">
        <v>128.85</v>
      </c>
      <c r="H24" t="n">
        <v>13.2</v>
      </c>
    </row>
    <row r="25">
      <c r="A25" s="15" t="n">
        <v>46028</v>
      </c>
      <c r="B25" t="inlineStr">
        <is>
          <t>Liquor</t>
        </is>
      </c>
      <c r="C25" t="n">
        <v>4</v>
      </c>
      <c r="D25" t="n">
        <v>41</v>
      </c>
      <c r="E25" t="n">
        <v>0</v>
      </c>
      <c r="F25" t="n">
        <v>0</v>
      </c>
      <c r="G25" t="n">
        <v>41</v>
      </c>
      <c r="H25" t="n">
        <v>10.35</v>
      </c>
    </row>
    <row r="26">
      <c r="A26" s="15" t="n">
        <v>46030</v>
      </c>
      <c r="B26" t="inlineStr">
        <is>
          <t>Bottled Beer</t>
        </is>
      </c>
      <c r="C26" t="n">
        <v>1</v>
      </c>
      <c r="D26" t="n">
        <v>5</v>
      </c>
      <c r="E26" t="n">
        <v>0</v>
      </c>
      <c r="F26" t="n">
        <v>0</v>
      </c>
      <c r="G26" t="n">
        <v>5</v>
      </c>
      <c r="H26" t="n">
        <v>0.51</v>
      </c>
    </row>
    <row r="27">
      <c r="A27" s="15" t="n">
        <v>46030</v>
      </c>
      <c r="B27" t="inlineStr">
        <is>
          <t>Food</t>
        </is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s="15" t="n">
        <v>46030</v>
      </c>
      <c r="B28" t="inlineStr">
        <is>
          <t>Liquor</t>
        </is>
      </c>
      <c r="C28" t="n">
        <v>1</v>
      </c>
      <c r="D28" t="n">
        <v>8</v>
      </c>
      <c r="E28" t="n">
        <v>0</v>
      </c>
      <c r="F28" t="n">
        <v>0</v>
      </c>
      <c r="G28" t="n">
        <v>8</v>
      </c>
      <c r="H28" t="n">
        <v>2.02</v>
      </c>
    </row>
    <row r="29">
      <c r="A29" s="15" t="n">
        <v>46031</v>
      </c>
      <c r="B29" t="inlineStr">
        <is>
          <t>Bottled Beer</t>
        </is>
      </c>
      <c r="C29" t="n">
        <v>10</v>
      </c>
      <c r="D29" t="n">
        <v>60</v>
      </c>
      <c r="E29" t="n">
        <v>0</v>
      </c>
      <c r="F29" t="n">
        <v>0</v>
      </c>
      <c r="G29" t="n">
        <v>60</v>
      </c>
      <c r="H29" t="n">
        <v>9.73</v>
      </c>
    </row>
    <row r="30">
      <c r="A30" s="15" t="n">
        <v>46031</v>
      </c>
      <c r="B30" t="inlineStr">
        <is>
          <t>Food</t>
        </is>
      </c>
      <c r="C30" t="n">
        <v>26</v>
      </c>
      <c r="D30" t="n">
        <v>524.05</v>
      </c>
      <c r="E30" t="n">
        <v>28.5</v>
      </c>
      <c r="F30" t="n">
        <v>0</v>
      </c>
      <c r="G30" t="n">
        <v>552.55</v>
      </c>
      <c r="H30" t="n">
        <v>53.73</v>
      </c>
    </row>
    <row r="31">
      <c r="A31" s="15" t="n">
        <v>46031</v>
      </c>
      <c r="B31" t="inlineStr">
        <is>
          <t>Liquor</t>
        </is>
      </c>
      <c r="C31" t="n">
        <v>16</v>
      </c>
      <c r="D31" t="n">
        <v>242</v>
      </c>
      <c r="E31" t="n">
        <v>0</v>
      </c>
      <c r="F31" t="n">
        <v>0</v>
      </c>
      <c r="G31" t="n">
        <v>242</v>
      </c>
      <c r="H31" t="n">
        <v>58.11</v>
      </c>
    </row>
    <row r="32">
      <c r="A32" s="15" t="n">
        <v>46031</v>
      </c>
      <c r="B32" t="inlineStr">
        <is>
          <t>NA Beverage</t>
        </is>
      </c>
      <c r="C32" t="n">
        <v>1</v>
      </c>
      <c r="D32" t="n">
        <v>4</v>
      </c>
      <c r="E32" t="n">
        <v>0</v>
      </c>
      <c r="F32" t="n">
        <v>0</v>
      </c>
      <c r="G32" t="n">
        <v>4</v>
      </c>
      <c r="H32" t="n">
        <v>0.41</v>
      </c>
    </row>
    <row r="33">
      <c r="A33" s="15" t="n">
        <v>46031</v>
      </c>
      <c r="B33" t="inlineStr">
        <is>
          <t>Non-Grat Svc Charges</t>
        </is>
      </c>
      <c r="C33" t="n">
        <v>5</v>
      </c>
      <c r="D33" t="n">
        <v>9.18</v>
      </c>
      <c r="E33" t="n">
        <v>0</v>
      </c>
      <c r="F33" t="n">
        <v>0</v>
      </c>
      <c r="G33" t="n">
        <v>9.18</v>
      </c>
      <c r="H33" t="n">
        <v>0.95</v>
      </c>
    </row>
    <row r="34">
      <c r="A34" s="15" t="n">
        <v>46031</v>
      </c>
      <c r="B34" t="inlineStr">
        <is>
          <t>Wine</t>
        </is>
      </c>
      <c r="C34" t="n">
        <v>4</v>
      </c>
      <c r="D34" t="n">
        <v>50</v>
      </c>
      <c r="E34" t="n">
        <v>0</v>
      </c>
      <c r="F34" t="n">
        <v>0</v>
      </c>
      <c r="G34" t="n">
        <v>50</v>
      </c>
      <c r="H34" t="n">
        <v>12.63</v>
      </c>
    </row>
    <row r="35">
      <c r="A35" s="15" t="n">
        <v>46032</v>
      </c>
      <c r="B35" t="inlineStr">
        <is>
          <t>Bottled Beer</t>
        </is>
      </c>
      <c r="C35" t="n">
        <v>146</v>
      </c>
      <c r="D35" t="n">
        <v>1156</v>
      </c>
      <c r="E35" t="n">
        <v>8</v>
      </c>
      <c r="F35" t="n">
        <v>0</v>
      </c>
      <c r="G35" t="n">
        <v>1164</v>
      </c>
      <c r="H35" t="n">
        <v>120.15</v>
      </c>
    </row>
    <row r="36">
      <c r="A36" s="15" t="n">
        <v>46032</v>
      </c>
      <c r="B36" t="inlineStr">
        <is>
          <t>Food</t>
        </is>
      </c>
      <c r="C36" t="n">
        <v>60</v>
      </c>
      <c r="D36" t="n">
        <v>1170.74</v>
      </c>
      <c r="E36" t="n">
        <v>18.3</v>
      </c>
      <c r="F36" t="n">
        <v>0</v>
      </c>
      <c r="G36" t="n">
        <v>1189.04</v>
      </c>
      <c r="H36" t="n">
        <v>119.93</v>
      </c>
    </row>
    <row r="37">
      <c r="A37" s="15" t="n">
        <v>46032</v>
      </c>
      <c r="B37" t="inlineStr">
        <is>
          <t>Liquor</t>
        </is>
      </c>
      <c r="C37" t="n">
        <v>240</v>
      </c>
      <c r="D37" t="n">
        <v>3664.2</v>
      </c>
      <c r="E37" t="n">
        <v>620.83</v>
      </c>
      <c r="F37" t="n">
        <v>0</v>
      </c>
      <c r="G37" t="n">
        <v>4285.03</v>
      </c>
      <c r="H37" t="n">
        <v>904.76</v>
      </c>
    </row>
    <row r="38">
      <c r="A38" s="15" t="n">
        <v>46032</v>
      </c>
      <c r="B38" t="inlineStr">
        <is>
          <t>NA Beverage</t>
        </is>
      </c>
      <c r="C38" t="n">
        <v>9</v>
      </c>
      <c r="D38" t="n">
        <v>31</v>
      </c>
      <c r="E38" t="n">
        <v>0</v>
      </c>
      <c r="F38" t="n">
        <v>0</v>
      </c>
      <c r="G38" t="n">
        <v>31</v>
      </c>
      <c r="H38" t="n">
        <v>3.2</v>
      </c>
    </row>
    <row r="39">
      <c r="A39" s="15" t="n">
        <v>46032</v>
      </c>
      <c r="B39" t="inlineStr">
        <is>
          <t>No Sales Category Assigned</t>
        </is>
      </c>
      <c r="C39" t="n">
        <v>2</v>
      </c>
      <c r="D39" t="n">
        <v>7.2</v>
      </c>
      <c r="E39" t="n">
        <v>0.8</v>
      </c>
      <c r="F39" t="n">
        <v>0</v>
      </c>
      <c r="G39" t="n">
        <v>8</v>
      </c>
      <c r="H39" t="n">
        <v>1.82</v>
      </c>
    </row>
    <row r="40">
      <c r="A40" s="15" t="n">
        <v>46032</v>
      </c>
      <c r="B40" t="inlineStr">
        <is>
          <t>Non-Grat Svc Charges</t>
        </is>
      </c>
      <c r="C40" t="n">
        <v>51</v>
      </c>
      <c r="D40" t="n">
        <v>76.2</v>
      </c>
      <c r="E40" t="n">
        <v>0</v>
      </c>
      <c r="F40" t="n">
        <v>0</v>
      </c>
      <c r="G40" t="n">
        <v>76.2</v>
      </c>
      <c r="H40" t="n">
        <v>7.82</v>
      </c>
    </row>
    <row r="41">
      <c r="A41" s="15" t="n">
        <v>46032</v>
      </c>
      <c r="B41" t="inlineStr">
        <is>
          <t>Wine</t>
        </is>
      </c>
      <c r="C41" t="n">
        <v>2</v>
      </c>
      <c r="D41" t="n">
        <v>24</v>
      </c>
      <c r="E41" t="n">
        <v>0</v>
      </c>
      <c r="F41" t="n">
        <v>0</v>
      </c>
      <c r="G41" t="n">
        <v>24</v>
      </c>
      <c r="H41" t="n">
        <v>6.06</v>
      </c>
    </row>
    <row r="42">
      <c r="A42" s="15" t="n">
        <v>46021</v>
      </c>
      <c r="B42" t="inlineStr">
        <is>
          <t>Bottled Beer</t>
        </is>
      </c>
      <c r="C42" t="n">
        <v>15</v>
      </c>
      <c r="D42" t="n">
        <v>122</v>
      </c>
      <c r="E42" t="n">
        <v>0</v>
      </c>
      <c r="F42" t="n">
        <v>0</v>
      </c>
      <c r="G42" t="n">
        <v>122</v>
      </c>
      <c r="H42" t="n">
        <v>13.39</v>
      </c>
    </row>
    <row r="43">
      <c r="A43" s="15" t="n">
        <v>46021</v>
      </c>
      <c r="B43" t="inlineStr">
        <is>
          <t>Food</t>
        </is>
      </c>
      <c r="C43" t="n">
        <v>56</v>
      </c>
      <c r="D43" t="n">
        <v>1315.15</v>
      </c>
      <c r="E43" t="n">
        <v>10</v>
      </c>
      <c r="F43" t="n">
        <v>0</v>
      </c>
      <c r="G43" t="n">
        <v>1325.15</v>
      </c>
      <c r="H43" t="n">
        <v>134.74</v>
      </c>
    </row>
    <row r="44">
      <c r="A44" s="15" t="n">
        <v>46021</v>
      </c>
      <c r="B44" t="inlineStr">
        <is>
          <t>Liquor</t>
        </is>
      </c>
      <c r="C44" t="n">
        <v>12</v>
      </c>
      <c r="D44" t="n">
        <v>215</v>
      </c>
      <c r="E44" t="n">
        <v>0</v>
      </c>
      <c r="F44" t="n">
        <v>0</v>
      </c>
      <c r="G44" t="n">
        <v>215</v>
      </c>
      <c r="H44" t="n">
        <v>54.29</v>
      </c>
    </row>
    <row r="45">
      <c r="A45" s="15" t="n">
        <v>46021</v>
      </c>
      <c r="B45" t="inlineStr">
        <is>
          <t>NA Beverage</t>
        </is>
      </c>
      <c r="C45" t="n">
        <v>5</v>
      </c>
      <c r="D45" t="n">
        <v>15</v>
      </c>
      <c r="E45" t="n">
        <v>0</v>
      </c>
      <c r="F45" t="n">
        <v>0</v>
      </c>
      <c r="G45" t="n">
        <v>15</v>
      </c>
      <c r="H45" t="n">
        <v>1.55</v>
      </c>
    </row>
    <row r="46">
      <c r="A46" s="15" t="n">
        <v>46021</v>
      </c>
      <c r="B46" t="inlineStr">
        <is>
          <t>Non-Grat Svc Charges</t>
        </is>
      </c>
      <c r="C46" t="n">
        <v>14</v>
      </c>
      <c r="D46" t="n">
        <v>39.39</v>
      </c>
      <c r="E46" t="n">
        <v>0</v>
      </c>
      <c r="F46" t="n">
        <v>0</v>
      </c>
      <c r="G46" t="n">
        <v>39.39</v>
      </c>
      <c r="H46" t="n">
        <v>4.04</v>
      </c>
    </row>
    <row r="47">
      <c r="A47" s="15" t="n">
        <v>46021</v>
      </c>
      <c r="B47" t="inlineStr">
        <is>
          <t>Wine</t>
        </is>
      </c>
      <c r="C47" t="n">
        <v>7</v>
      </c>
      <c r="D47" t="n">
        <v>98</v>
      </c>
      <c r="E47" t="n">
        <v>0</v>
      </c>
      <c r="F47" t="n">
        <v>0</v>
      </c>
      <c r="G47" t="n">
        <v>98</v>
      </c>
      <c r="H47" t="n">
        <v>24.75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7"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E24" sqref="E24"/>
    </sheetView>
  </sheetViews>
  <sheetFormatPr baseColWidth="8" defaultRowHeight="14.4"/>
  <cols>
    <col width="15.68359375" bestFit="1" customWidth="1" style="17" min="1" max="1"/>
    <col width="15.68359375" customWidth="1" style="17" min="2" max="2"/>
    <col width="6.20703125" bestFit="1" customWidth="1" style="17" min="3" max="3"/>
    <col width="8.05078125" bestFit="1" customWidth="1" style="17" min="4" max="4"/>
    <col width="14.62890625" bestFit="1" customWidth="1" style="17" min="5" max="5"/>
    <col width="13.41796875" bestFit="1" customWidth="1" style="17" min="6" max="6"/>
    <col width="9.68359375" bestFit="1" customWidth="1" style="17" min="7" max="7"/>
    <col width="10.26171875" bestFit="1" customWidth="1" style="17" min="8" max="8"/>
    <col width="11" bestFit="1" customWidth="1" style="17" min="9" max="9"/>
  </cols>
  <sheetData>
    <row r="1">
      <c r="A1" s="1" t="inlineStr">
        <is>
          <t>Date</t>
        </is>
      </c>
      <c r="B1" s="1" t="inlineStr">
        <is>
          <t>Service / day part</t>
        </is>
      </c>
      <c r="C1" s="1" t="inlineStr">
        <is>
          <t>Orders</t>
        </is>
      </c>
      <c r="D1" s="1" t="inlineStr">
        <is>
          <t>Net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Gross sales</t>
        </is>
      </c>
      <c r="H1" s="1" t="inlineStr">
        <is>
          <t>Tax amount</t>
        </is>
      </c>
    </row>
    <row r="2">
      <c r="A2" s="15" t="n">
        <v>46026</v>
      </c>
      <c r="B2" t="inlineStr">
        <is>
          <t>Dinner</t>
        </is>
      </c>
      <c r="C2" t="n">
        <v>4</v>
      </c>
      <c r="D2" t="n">
        <v>637.09</v>
      </c>
      <c r="E2" t="n">
        <v>0</v>
      </c>
      <c r="F2" t="n">
        <v>0</v>
      </c>
      <c r="G2" t="n">
        <v>637.09</v>
      </c>
      <c r="H2" t="n">
        <v>74.44</v>
      </c>
    </row>
    <row r="3">
      <c r="A3" s="15" t="n">
        <v>46022</v>
      </c>
      <c r="B3" t="inlineStr">
        <is>
          <t>Dinner</t>
        </is>
      </c>
      <c r="C3" t="n">
        <v>31</v>
      </c>
      <c r="D3" t="n">
        <v>5763.03</v>
      </c>
      <c r="E3" t="n">
        <v>635.5</v>
      </c>
      <c r="F3" t="n">
        <v>0</v>
      </c>
      <c r="G3" t="n">
        <v>6398.53</v>
      </c>
      <c r="H3" t="n">
        <v>861.95</v>
      </c>
    </row>
    <row r="4">
      <c r="A4" s="15" t="n">
        <v>46022</v>
      </c>
      <c r="B4" t="inlineStr">
        <is>
          <t>Late Night</t>
        </is>
      </c>
      <c r="C4" t="n">
        <v>340</v>
      </c>
      <c r="D4" t="n">
        <v>11119.49</v>
      </c>
      <c r="E4" t="n">
        <v>313.38</v>
      </c>
      <c r="F4" t="n">
        <v>0</v>
      </c>
      <c r="G4" t="n">
        <v>11432.87</v>
      </c>
      <c r="H4" t="n">
        <v>2363.91</v>
      </c>
    </row>
    <row r="5">
      <c r="A5" s="15" t="n">
        <v>46022</v>
      </c>
      <c r="B5" t="inlineStr">
        <is>
          <t>No Service</t>
        </is>
      </c>
      <c r="C5" t="n">
        <v>1</v>
      </c>
      <c r="D5" t="n">
        <v>77.95</v>
      </c>
      <c r="E5" t="n">
        <v>0</v>
      </c>
      <c r="F5" t="n">
        <v>0</v>
      </c>
      <c r="G5" t="n">
        <v>77.95</v>
      </c>
      <c r="H5" t="n">
        <v>7.99</v>
      </c>
    </row>
    <row r="6">
      <c r="A6" s="15" t="n">
        <v>46024</v>
      </c>
      <c r="B6" t="inlineStr">
        <is>
          <t>Dinner</t>
        </is>
      </c>
      <c r="C6" t="n">
        <v>9</v>
      </c>
      <c r="D6" t="n">
        <v>1639.31</v>
      </c>
      <c r="E6" t="n">
        <v>0</v>
      </c>
      <c r="F6" t="n">
        <v>0</v>
      </c>
      <c r="G6" t="n">
        <v>1639.31</v>
      </c>
      <c r="H6" t="n">
        <v>228.69</v>
      </c>
    </row>
    <row r="7">
      <c r="A7" s="15" t="n">
        <v>46025</v>
      </c>
      <c r="B7" t="inlineStr">
        <is>
          <t>Brunch</t>
        </is>
      </c>
      <c r="C7" t="n">
        <v>4</v>
      </c>
      <c r="D7" t="n">
        <v>271.61</v>
      </c>
      <c r="E7" t="n">
        <v>4.89</v>
      </c>
      <c r="F7" t="n">
        <v>0</v>
      </c>
      <c r="G7" t="n">
        <v>276.5</v>
      </c>
      <c r="H7" t="n">
        <v>36.67</v>
      </c>
    </row>
    <row r="8">
      <c r="A8" s="15" t="n">
        <v>46025</v>
      </c>
      <c r="B8" t="inlineStr">
        <is>
          <t>Dinner</t>
        </is>
      </c>
      <c r="C8" t="n">
        <v>5</v>
      </c>
      <c r="D8" t="n">
        <v>360.27</v>
      </c>
      <c r="E8" t="n">
        <v>35.95</v>
      </c>
      <c r="F8" t="n">
        <v>0</v>
      </c>
      <c r="G8" t="n">
        <v>396.22</v>
      </c>
      <c r="H8" t="n">
        <v>52.82</v>
      </c>
    </row>
    <row r="9">
      <c r="A9" s="15" t="n">
        <v>46025</v>
      </c>
      <c r="B9" t="inlineStr">
        <is>
          <t>Late Night</t>
        </is>
      </c>
      <c r="C9" t="n">
        <v>190</v>
      </c>
      <c r="D9" t="n">
        <v>5796.73</v>
      </c>
      <c r="E9" t="n">
        <v>723.03</v>
      </c>
      <c r="F9" t="n">
        <v>0</v>
      </c>
      <c r="G9" t="n">
        <v>6519.76</v>
      </c>
      <c r="H9" t="n">
        <v>1208.35</v>
      </c>
    </row>
    <row r="10">
      <c r="A10" s="15" t="n">
        <v>46028</v>
      </c>
      <c r="B10" t="inlineStr">
        <is>
          <t>Dinner</t>
        </is>
      </c>
      <c r="C10" t="n">
        <v>2</v>
      </c>
      <c r="D10" t="n">
        <v>169.85</v>
      </c>
      <c r="E10" t="n">
        <v>0</v>
      </c>
      <c r="F10" t="n">
        <v>0</v>
      </c>
      <c r="G10" t="n">
        <v>169.85</v>
      </c>
      <c r="H10" t="n">
        <v>23.55</v>
      </c>
    </row>
    <row r="11">
      <c r="A11" s="15" t="n">
        <v>46030</v>
      </c>
      <c r="B11" t="inlineStr">
        <is>
          <t>Dinner</t>
        </is>
      </c>
      <c r="C11" t="n">
        <v>1</v>
      </c>
      <c r="D11" t="n">
        <v>13</v>
      </c>
      <c r="E11" t="n">
        <v>0</v>
      </c>
      <c r="F11" t="n">
        <v>0</v>
      </c>
      <c r="G11" t="n">
        <v>13</v>
      </c>
      <c r="H11" t="n">
        <v>2.53</v>
      </c>
    </row>
    <row r="12">
      <c r="A12" s="15" t="n">
        <v>46031</v>
      </c>
      <c r="B12" t="inlineStr">
        <is>
          <t>Dinner</t>
        </is>
      </c>
      <c r="C12" t="n">
        <v>6</v>
      </c>
      <c r="D12" t="n">
        <v>889.23</v>
      </c>
      <c r="E12" t="n">
        <v>28.5</v>
      </c>
      <c r="F12" t="n">
        <v>0</v>
      </c>
      <c r="G12" t="n">
        <v>917.73</v>
      </c>
      <c r="H12" t="n">
        <v>135.56</v>
      </c>
    </row>
    <row r="13">
      <c r="A13" s="15" t="n">
        <v>46032</v>
      </c>
      <c r="B13" t="inlineStr">
        <is>
          <t>Brunch</t>
        </is>
      </c>
      <c r="C13" t="n">
        <v>9</v>
      </c>
      <c r="D13" t="n">
        <v>1061.87</v>
      </c>
      <c r="E13" t="n">
        <v>2.9</v>
      </c>
      <c r="F13" t="n">
        <v>0</v>
      </c>
      <c r="G13" t="n">
        <v>1064.77</v>
      </c>
      <c r="H13" t="n">
        <v>163.63</v>
      </c>
    </row>
    <row r="14">
      <c r="A14" s="15" t="n">
        <v>46032</v>
      </c>
      <c r="B14" t="inlineStr">
        <is>
          <t>Dinner</t>
        </is>
      </c>
      <c r="C14" t="n">
        <v>6</v>
      </c>
      <c r="D14" t="n">
        <v>655.33</v>
      </c>
      <c r="E14" t="n">
        <v>6.5</v>
      </c>
      <c r="F14" t="n">
        <v>0</v>
      </c>
      <c r="G14" t="n">
        <v>661.83</v>
      </c>
      <c r="H14" t="n">
        <v>103.81</v>
      </c>
    </row>
    <row r="15">
      <c r="A15" s="15" t="n">
        <v>46032</v>
      </c>
      <c r="B15" t="inlineStr">
        <is>
          <t>Late Night</t>
        </is>
      </c>
      <c r="C15" t="n">
        <v>165</v>
      </c>
      <c r="D15" t="n">
        <v>4412.14</v>
      </c>
      <c r="E15" t="n">
        <v>638.53</v>
      </c>
      <c r="F15" t="n">
        <v>0</v>
      </c>
      <c r="G15" t="n">
        <v>5050.67</v>
      </c>
      <c r="H15" t="n">
        <v>896.3</v>
      </c>
    </row>
    <row r="16">
      <c r="A16" s="15" t="n">
        <v>46021</v>
      </c>
      <c r="B16" t="inlineStr">
        <is>
          <t>Dinner</t>
        </is>
      </c>
      <c r="C16" t="n">
        <v>10</v>
      </c>
      <c r="D16" t="n">
        <v>1774.67</v>
      </c>
      <c r="E16" t="n">
        <v>10</v>
      </c>
      <c r="F16" t="n">
        <v>0</v>
      </c>
      <c r="G16" t="n">
        <v>1784.67</v>
      </c>
      <c r="H16" t="n">
        <v>229.7</v>
      </c>
    </row>
    <row r="17">
      <c r="A17" s="15" t="n">
        <v>46021</v>
      </c>
      <c r="B17" t="inlineStr">
        <is>
          <t>Late Night</t>
        </is>
      </c>
      <c r="C17" t="n">
        <v>1</v>
      </c>
      <c r="D17" t="n">
        <v>29.87</v>
      </c>
      <c r="E17" t="n">
        <v>0</v>
      </c>
      <c r="F17" t="n">
        <v>0</v>
      </c>
      <c r="G17" t="n">
        <v>29.87</v>
      </c>
      <c r="H17" t="n">
        <v>3.06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C2" sqref="C2"/>
    </sheetView>
  </sheetViews>
  <sheetFormatPr baseColWidth="8" defaultRowHeight="14.4"/>
  <cols>
    <col width="16.7890625" bestFit="1" customWidth="1" style="17" min="1" max="1"/>
    <col width="25.20703125" bestFit="1" customWidth="1" style="17" min="2" max="2"/>
    <col width="13.41796875" bestFit="1" customWidth="1" style="17" min="3" max="3"/>
    <col width="11.3125" bestFit="1" customWidth="1" style="17" min="4" max="4"/>
    <col width="12.62890625" bestFit="1" customWidth="1" style="17" min="5" max="5"/>
    <col width="14.15625" bestFit="1" customWidth="1" style="17" min="6" max="6"/>
    <col width="10.7890625" bestFit="1" customWidth="1" style="17" min="7" max="8"/>
    <col width="12.26171875" bestFit="1" customWidth="1" style="17" min="9" max="9"/>
    <col width="8.68359375" bestFit="1" customWidth="1" style="17" min="10" max="11"/>
  </cols>
  <sheetData>
    <row r="1">
      <c r="A1" s="1" t="inlineStr">
        <is>
          <t>Date</t>
        </is>
      </c>
      <c r="B1" s="1" t="inlineStr">
        <is>
          <t>Employee</t>
        </is>
      </c>
      <c r="C1" s="1" t="inlineStr">
        <is>
          <t>Job Title</t>
        </is>
      </c>
      <c r="D1" s="1" t="inlineStr">
        <is>
          <t>Clasification</t>
        </is>
      </c>
      <c r="E1" s="1" t="inlineStr">
        <is>
          <t>Regular Hours</t>
        </is>
      </c>
      <c r="F1" s="1" t="inlineStr">
        <is>
          <t>Overtime Hours</t>
        </is>
      </c>
      <c r="G1" s="1" t="inlineStr">
        <is>
          <t>Hourly Rate</t>
        </is>
      </c>
      <c r="H1" s="1" t="inlineStr">
        <is>
          <t>Regular Pay</t>
        </is>
      </c>
      <c r="I1" s="1" t="inlineStr">
        <is>
          <t>Overtime Pay</t>
        </is>
      </c>
      <c r="J1" s="1" t="inlineStr">
        <is>
          <t>Total Pay</t>
        </is>
      </c>
      <c r="K1" s="1" t="inlineStr">
        <is>
          <t>Net Sales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9">
    <outlinePr summaryBelow="1" summaryRight="1"/>
    <pageSetUpPr/>
  </sheetPr>
  <dimension ref="A1:J59"/>
  <sheetViews>
    <sheetView zoomScale="72" zoomScaleNormal="72" workbookViewId="0">
      <pane ySplit="23" topLeftCell="A32" activePane="bottomLeft" state="frozen"/>
      <selection pane="bottomLeft" activeCell="K40" sqref="K40"/>
    </sheetView>
  </sheetViews>
  <sheetFormatPr baseColWidth="8" defaultRowHeight="14.4"/>
  <cols>
    <col width="18" customWidth="1" style="17" min="1" max="1"/>
    <col width="20" customWidth="1" style="17" min="2" max="2"/>
    <col width="25" customWidth="1" style="17" min="3" max="3"/>
    <col width="18" customWidth="1" style="17" min="4" max="4"/>
    <col width="15" customWidth="1" style="17" min="5" max="5"/>
    <col width="18" customWidth="1" style="17" min="6" max="6"/>
    <col width="15" customWidth="1" style="17" min="7" max="7"/>
    <col hidden="1" width="25" customWidth="1" style="17" min="8" max="8"/>
    <col width="15" customWidth="1" style="17" min="9" max="9"/>
    <col hidden="1" width="13" customWidth="1" style="17" min="10" max="10"/>
  </cols>
  <sheetData>
    <row r="1">
      <c r="A1" s="1" t="inlineStr">
        <is>
          <t>Week_Ending_Date</t>
        </is>
      </c>
      <c r="B1" s="1" t="inlineStr">
        <is>
          <t>Category</t>
        </is>
      </c>
      <c r="C1" s="1" t="inlineStr">
        <is>
          <t>Vendor</t>
        </is>
      </c>
      <c r="D1" s="1" t="inlineStr">
        <is>
          <t>Beginning_Inventory</t>
        </is>
      </c>
      <c r="E1" s="1" t="inlineStr">
        <is>
          <t>Purchases</t>
        </is>
      </c>
      <c r="F1" s="1" t="inlineStr">
        <is>
          <t>Ending_Inventory</t>
        </is>
      </c>
      <c r="G1" s="1" t="inlineStr">
        <is>
          <t>Total_Cost</t>
        </is>
      </c>
      <c r="H1" t="inlineStr">
        <is>
          <t>Helper_Key</t>
        </is>
      </c>
      <c r="J1" t="inlineStr">
        <is>
          <t>Match_Row</t>
        </is>
      </c>
    </row>
    <row r="2">
      <c r="H2" t="inlineStr">
        <is>
          <t>Select Week Ending Date:</t>
        </is>
      </c>
      <c r="I2" s="15" t="n">
        <v>46041</v>
      </c>
      <c r="J2" s="3" t="inlineStr">
        <is>
          <t>(Format: YYYY-MM-DD or use Excel date picker)</t>
        </is>
      </c>
    </row>
    <row r="3">
      <c r="A3" s="23" t="n"/>
    </row>
    <row r="4">
      <c r="A4" s="15">
        <f>IF($I$2&lt;&gt;"", $I$2, "")</f>
        <v/>
      </c>
      <c r="B4" t="inlineStr">
        <is>
          <t>Food + NA Beverage</t>
        </is>
      </c>
      <c r="C4" t="inlineStr">
        <is>
          <t>Sysco</t>
        </is>
      </c>
      <c r="D4" s="4" t="n"/>
      <c r="E4" s="4" t="n"/>
      <c r="F4" s="4" t="n"/>
      <c r="G4" s="28">
        <f>IF(AND(ISNUMBER(D4), ISNUMBER(E4), ISNUMBER(F4)), D4+E4-F4, "")</f>
        <v/>
      </c>
      <c r="H4">
        <f>B4&amp;"|"&amp;C4</f>
        <v/>
      </c>
    </row>
    <row r="5">
      <c r="A5" s="15">
        <f>IF($I$2&lt;&gt;"", $I$2, "")</f>
        <v/>
      </c>
      <c r="B5" t="inlineStr">
        <is>
          <t>Food + NA Beverage</t>
        </is>
      </c>
      <c r="C5" t="inlineStr">
        <is>
          <t>Creation Garden (WOW)</t>
        </is>
      </c>
      <c r="D5" s="4" t="n"/>
      <c r="E5" s="4" t="n"/>
      <c r="F5" s="4" t="n"/>
      <c r="G5" s="28">
        <f>IF(AND(ISNUMBER(D5), ISNUMBER(E5), ISNUMBER(F5)), D5+E5-F5, "")</f>
        <v/>
      </c>
      <c r="H5">
        <f>B5&amp;"|"&amp;C5</f>
        <v/>
      </c>
    </row>
    <row r="6">
      <c r="A6" s="15">
        <f>IF($I$2&lt;&gt;"", $I$2, "")</f>
        <v/>
      </c>
      <c r="B6" t="inlineStr">
        <is>
          <t>Food + NA Beverage</t>
        </is>
      </c>
      <c r="C6" t="inlineStr">
        <is>
          <t>Restaurant Depot</t>
        </is>
      </c>
      <c r="D6" s="4" t="n"/>
      <c r="E6" s="4" t="n"/>
      <c r="F6" s="4" t="n"/>
      <c r="G6" s="28">
        <f>IF(AND(ISNUMBER(D6), ISNUMBER(E6), ISNUMBER(F6)), D6+E6-F6, "")</f>
        <v/>
      </c>
      <c r="H6">
        <f>B6&amp;"|"&amp;C6</f>
        <v/>
      </c>
    </row>
    <row r="7">
      <c r="A7" s="15">
        <f>IF($I$2&lt;&gt;"", $I$2, "")</f>
        <v/>
      </c>
      <c r="B7" t="inlineStr">
        <is>
          <t>Food + NA Beverage</t>
        </is>
      </c>
      <c r="C7" t="inlineStr">
        <is>
          <t>Others</t>
        </is>
      </c>
      <c r="D7" s="4" t="n"/>
      <c r="E7" s="4" t="n"/>
      <c r="F7" s="4" t="n"/>
      <c r="G7" s="28">
        <f>IF(AND(ISNUMBER(D7), ISNUMBER(E7), ISNUMBER(F7)), D7+E7-F7, "")</f>
        <v/>
      </c>
      <c r="H7">
        <f>B7&amp;"|"&amp;C7</f>
        <v/>
      </c>
    </row>
    <row r="8">
      <c r="A8" s="15">
        <f>IF($I$2&lt;&gt;"", $I$2, "")</f>
        <v/>
      </c>
      <c r="B8" t="inlineStr">
        <is>
          <t>Liquor + Wine</t>
        </is>
      </c>
      <c r="C8" t="inlineStr">
        <is>
          <t>Athens</t>
        </is>
      </c>
      <c r="D8" s="4" t="n"/>
      <c r="E8" s="4" t="n"/>
      <c r="F8" s="4" t="n"/>
      <c r="G8" s="28">
        <f>IF(AND(ISNUMBER(D8), ISNUMBER(E8), ISNUMBER(F8)), D8+E8-F8, "")</f>
        <v/>
      </c>
      <c r="H8">
        <f>B8&amp;"|"&amp;C8</f>
        <v/>
      </c>
    </row>
    <row r="9">
      <c r="A9" s="15">
        <f>IF($I$2&lt;&gt;"", $I$2, "")</f>
        <v/>
      </c>
      <c r="B9" t="inlineStr">
        <is>
          <t>Liquor + Wine</t>
        </is>
      </c>
      <c r="C9" t="inlineStr">
        <is>
          <t>Lipman Brothers</t>
        </is>
      </c>
      <c r="D9" s="4" t="n"/>
      <c r="E9" s="4" t="n"/>
      <c r="F9" s="4" t="n"/>
      <c r="G9" s="28">
        <f>IF(AND(ISNUMBER(D9), ISNUMBER(E9), ISNUMBER(F9)), D9+E9-F9, "")</f>
        <v/>
      </c>
      <c r="H9">
        <f>B9&amp;"|"&amp;C9</f>
        <v/>
      </c>
    </row>
    <row r="10">
      <c r="A10" s="15">
        <f>IF($I$2&lt;&gt;"", $I$2, "")</f>
        <v/>
      </c>
      <c r="B10" t="inlineStr">
        <is>
          <t>Liquor + Wine</t>
        </is>
      </c>
      <c r="C10" t="inlineStr">
        <is>
          <t>Best Brands</t>
        </is>
      </c>
      <c r="D10" s="4" t="n"/>
      <c r="E10" s="4" t="n"/>
      <c r="F10" s="4" t="n"/>
      <c r="G10" s="28">
        <f>IF(AND(ISNUMBER(D10), ISNUMBER(E10), ISNUMBER(F10)), D10+E10-F10, "")</f>
        <v/>
      </c>
      <c r="H10">
        <f>B10&amp;"|"&amp;C10</f>
        <v/>
      </c>
    </row>
    <row r="11">
      <c r="A11" s="15">
        <f>IF($I$2&lt;&gt;"", $I$2, "")</f>
        <v/>
      </c>
      <c r="B11" t="inlineStr">
        <is>
          <t>Liquor + Wine</t>
        </is>
      </c>
      <c r="C11" t="inlineStr">
        <is>
          <t>Tennessee Distributors</t>
        </is>
      </c>
      <c r="D11" s="4" t="n"/>
      <c r="E11" s="4" t="n"/>
      <c r="F11" s="4" t="n"/>
      <c r="G11" s="28">
        <f>IF(AND(ISNUMBER(D11), ISNUMBER(E11), ISNUMBER(F11)), D11+E11-F11, "")</f>
        <v/>
      </c>
      <c r="H11">
        <f>B11&amp;"|"&amp;C11</f>
        <v/>
      </c>
    </row>
    <row r="12">
      <c r="A12" s="15">
        <f>IF($I$2&lt;&gt;"", $I$2, "")</f>
        <v/>
      </c>
      <c r="B12" t="inlineStr">
        <is>
          <t>Liquor + Wine</t>
        </is>
      </c>
      <c r="C12" t="inlineStr">
        <is>
          <t>Empire</t>
        </is>
      </c>
      <c r="D12" s="4" t="n"/>
      <c r="E12" s="4" t="n"/>
      <c r="F12" s="4" t="n"/>
      <c r="G12" s="28">
        <f>IF(AND(ISNUMBER(D12), ISNUMBER(E12), ISNUMBER(F12)), D12+E12-F12, "")</f>
        <v/>
      </c>
      <c r="H12">
        <f>B12&amp;"|"&amp;C12</f>
        <v/>
      </c>
    </row>
    <row r="13">
      <c r="A13" s="15">
        <f>IF($I$2&lt;&gt;"", $I$2, "")</f>
        <v/>
      </c>
      <c r="B13" t="inlineStr">
        <is>
          <t>Liquor + Wine</t>
        </is>
      </c>
      <c r="C13" t="inlineStr">
        <is>
          <t>Others</t>
        </is>
      </c>
      <c r="D13" s="4" t="n"/>
      <c r="E13" s="4" t="n"/>
      <c r="F13" s="4" t="n"/>
      <c r="G13" s="28">
        <f>IF(AND(ISNUMBER(D13), ISNUMBER(E13), ISNUMBER(F13)), D13+E13-F13, "")</f>
        <v/>
      </c>
      <c r="H13">
        <f>B13&amp;"|"&amp;C13</f>
        <v/>
      </c>
    </row>
    <row r="14">
      <c r="A14" s="15">
        <f>IF($I$2&lt;&gt;"", $I$2, "")</f>
        <v/>
      </c>
      <c r="B14" t="inlineStr">
        <is>
          <t>Beer</t>
        </is>
      </c>
      <c r="C14" t="inlineStr">
        <is>
          <t>DET</t>
        </is>
      </c>
      <c r="D14" s="4" t="n"/>
      <c r="E14" s="4" t="n"/>
      <c r="F14" s="4" t="n"/>
      <c r="G14" s="28">
        <f>IF(AND(ISNUMBER(D14), ISNUMBER(E14), ISNUMBER(F14)), D14+E14-F14, "")</f>
        <v/>
      </c>
      <c r="H14">
        <f>B14&amp;"|"&amp;C14</f>
        <v/>
      </c>
    </row>
    <row r="15">
      <c r="A15" s="15">
        <f>IF($I$2&lt;&gt;"", $I$2, "")</f>
        <v/>
      </c>
      <c r="B15" t="inlineStr">
        <is>
          <t>Beer</t>
        </is>
      </c>
      <c r="C15" t="inlineStr">
        <is>
          <t>Ajax Turner</t>
        </is>
      </c>
      <c r="D15" s="4" t="n"/>
      <c r="E15" s="4" t="n"/>
      <c r="F15" s="4" t="n"/>
      <c r="G15" s="28">
        <f>IF(AND(ISNUMBER(D15), ISNUMBER(E15), ISNUMBER(F15)), D15+E15-F15, "")</f>
        <v/>
      </c>
      <c r="H15">
        <f>B15&amp;"|"&amp;C15</f>
        <v/>
      </c>
    </row>
    <row r="16">
      <c r="A16" s="15">
        <f>IF($I$2&lt;&gt;"", $I$2, "")</f>
        <v/>
      </c>
      <c r="B16" t="inlineStr">
        <is>
          <t>Beer</t>
        </is>
      </c>
      <c r="C16" t="inlineStr">
        <is>
          <t>Bounty Bev</t>
        </is>
      </c>
      <c r="D16" s="4" t="n"/>
      <c r="E16" s="4" t="n"/>
      <c r="F16" s="4" t="n"/>
      <c r="G16" s="28">
        <f>IF(AND(ISNUMBER(D16), ISNUMBER(E16), ISNUMBER(F16)), D16+E16-F16, "")</f>
        <v/>
      </c>
      <c r="H16">
        <f>B16&amp;"|"&amp;C16</f>
        <v/>
      </c>
    </row>
    <row r="17">
      <c r="A17" s="15">
        <f>IF($I$2&lt;&gt;"", $I$2, "")</f>
        <v/>
      </c>
      <c r="B17" t="inlineStr">
        <is>
          <t>Beer</t>
        </is>
      </c>
      <c r="C17" t="inlineStr">
        <is>
          <t>Others</t>
        </is>
      </c>
      <c r="D17" s="4" t="n"/>
      <c r="E17" s="4" t="n"/>
      <c r="F17" s="4" t="n"/>
      <c r="G17" s="28">
        <f>IF(AND(ISNUMBER(D17), ISNUMBER(E17), ISNUMBER(F17)), D17+E17-F17, "")</f>
        <v/>
      </c>
      <c r="H17">
        <f>B17&amp;"|"&amp;C17</f>
        <v/>
      </c>
    </row>
    <row r="18">
      <c r="A18" s="15">
        <f>IF($I$2&lt;&gt;"", $I$2, "")</f>
        <v/>
      </c>
      <c r="B18" t="inlineStr">
        <is>
          <t>Paper Goods</t>
        </is>
      </c>
      <c r="C18" t="inlineStr">
        <is>
          <t>Barnes Supply</t>
        </is>
      </c>
      <c r="D18" s="4" t="n"/>
      <c r="E18" s="4" t="n"/>
      <c r="F18" s="4" t="n"/>
      <c r="G18" s="28">
        <f>IF(AND(ISNUMBER(D18), ISNUMBER(E18), ISNUMBER(F18)), D18+E18-F18, "")</f>
        <v/>
      </c>
      <c r="H18">
        <f>B18&amp;"|"&amp;C18</f>
        <v/>
      </c>
    </row>
    <row r="19">
      <c r="A19" s="15">
        <f>IF($I$2&lt;&gt;"", $I$2, "")</f>
        <v/>
      </c>
      <c r="B19" t="inlineStr">
        <is>
          <t>Paper Goods</t>
        </is>
      </c>
      <c r="C19" t="inlineStr">
        <is>
          <t>Others</t>
        </is>
      </c>
      <c r="D19" s="4" t="n"/>
      <c r="E19" s="4" t="n"/>
      <c r="F19" s="4" t="n"/>
      <c r="G19" s="28">
        <f>IF(AND(ISNUMBER(D19), ISNUMBER(E19), ISNUMBER(F19)), D19+E19-F19, "")</f>
        <v/>
      </c>
      <c r="H19">
        <f>B19&amp;"|"&amp;C19</f>
        <v/>
      </c>
    </row>
    <row r="20">
      <c r="A20" s="15">
        <f>IF($I$2&lt;&gt;"", $I$2, "")</f>
        <v/>
      </c>
      <c r="B20" t="inlineStr">
        <is>
          <t>Retail</t>
        </is>
      </c>
      <c r="C20" t="inlineStr">
        <is>
          <t>Others</t>
        </is>
      </c>
      <c r="D20" s="4" t="n"/>
      <c r="E20" s="4" t="n"/>
      <c r="F20" s="4" t="n"/>
      <c r="G20" s="28">
        <f>IF(AND(ISNUMBER(D20), ISNUMBER(E20), ISNUMBER(F20)), D20+E20-F20, "")</f>
        <v/>
      </c>
      <c r="H20">
        <f>B20&amp;"|"&amp;C20</f>
        <v/>
      </c>
    </row>
    <row r="21" ht="38.1" customHeight="1" s="17">
      <c r="A21" s="24" t="inlineStr">
        <is>
          <t>INSTRUCTIONS: 1) Select/enter week ending date in cell I2  2) Enter values in template rows 4-20  3) Select rows 4-20 (template), Copy  4) Scroll to week section below, find/create week section, Paste as VALUES  5) To edit existing week: Select that week date in I2, copy week data back to template, edit, then paste back</t>
        </is>
      </c>
    </row>
    <row r="22">
      <c r="A22" s="25" t="inlineStr">
        <is>
          <t>[COPY TEMPLATE →] Then paste below in appropriate week section</t>
        </is>
      </c>
    </row>
    <row r="23">
      <c r="A23" s="27" t="n"/>
    </row>
    <row r="24">
      <c r="A24" s="26" t="inlineStr">
        <is>
          <t>Week Ending: 2026-01-12</t>
        </is>
      </c>
    </row>
    <row r="25">
      <c r="A25" s="14" t="n">
        <v>46034</v>
      </c>
      <c r="B25" t="inlineStr">
        <is>
          <t>Food + NA Beverage</t>
        </is>
      </c>
      <c r="C25" t="inlineStr">
        <is>
          <t>Sysco</t>
        </is>
      </c>
      <c r="D25" s="4" t="n">
        <v>30</v>
      </c>
      <c r="E25" s="4" t="n">
        <v>50</v>
      </c>
      <c r="F25" s="4" t="n">
        <v>10</v>
      </c>
      <c r="G25" s="29">
        <f>IF(AND(ISNUMBER(D25), ISNUMBER(E25), ISNUMBER(F25)), D25+E25-F25, "")</f>
        <v/>
      </c>
    </row>
    <row r="26">
      <c r="A26" s="14" t="n">
        <v>46034</v>
      </c>
      <c r="B26" t="inlineStr">
        <is>
          <t>Food + NA Beverage</t>
        </is>
      </c>
      <c r="C26" t="inlineStr">
        <is>
          <t>Creation Garden (WOW)</t>
        </is>
      </c>
      <c r="D26" s="4" t="n">
        <v>40</v>
      </c>
      <c r="E26" s="4" t="n">
        <v>100</v>
      </c>
      <c r="F26" s="4" t="n">
        <v>30</v>
      </c>
      <c r="G26" s="29">
        <f>IF(AND(ISNUMBER(D26), ISNUMBER(E26), ISNUMBER(F26)), D26+E26-F26, "")</f>
        <v/>
      </c>
    </row>
    <row r="27">
      <c r="A27" s="14" t="n">
        <v>46034</v>
      </c>
      <c r="B27" t="inlineStr">
        <is>
          <t>Food + NA Beverage</t>
        </is>
      </c>
      <c r="C27" t="inlineStr">
        <is>
          <t>Restaurant Depot</t>
        </is>
      </c>
      <c r="D27" s="4" t="n"/>
      <c r="E27" s="4" t="n"/>
      <c r="F27" s="4" t="n"/>
      <c r="G27" s="29">
        <f>IF(AND(ISNUMBER(D27), ISNUMBER(E27), ISNUMBER(F27)), D27+E27-F27, "")</f>
        <v/>
      </c>
    </row>
    <row r="28">
      <c r="A28" s="14" t="n">
        <v>46034</v>
      </c>
      <c r="B28" t="inlineStr">
        <is>
          <t>Food + NA Beverage</t>
        </is>
      </c>
      <c r="C28" t="inlineStr">
        <is>
          <t>Others</t>
        </is>
      </c>
      <c r="D28" s="4" t="n"/>
      <c r="E28" s="4" t="n"/>
      <c r="F28" s="4" t="n"/>
      <c r="G28" s="29">
        <f>IF(AND(ISNUMBER(D28), ISNUMBER(E28), ISNUMBER(F28)), D28+E28-F28, "")</f>
        <v/>
      </c>
    </row>
    <row r="29">
      <c r="A29" s="14" t="n">
        <v>46034</v>
      </c>
      <c r="B29" t="inlineStr">
        <is>
          <t>Liquor + Wine</t>
        </is>
      </c>
      <c r="C29" t="inlineStr">
        <is>
          <t>Athens</t>
        </is>
      </c>
      <c r="D29" s="4" t="n"/>
      <c r="E29" s="4" t="n"/>
      <c r="F29" s="4" t="n"/>
      <c r="G29" s="29">
        <f>IF(AND(ISNUMBER(D29), ISNUMBER(E29), ISNUMBER(F29)), D29+E29-F29, "")</f>
        <v/>
      </c>
    </row>
    <row r="30">
      <c r="A30" s="14" t="n">
        <v>46034</v>
      </c>
      <c r="B30" t="inlineStr">
        <is>
          <t>Liquor + Wine</t>
        </is>
      </c>
      <c r="C30" t="inlineStr">
        <is>
          <t>Lipman Brothers</t>
        </is>
      </c>
      <c r="D30" s="4" t="n"/>
      <c r="E30" s="4" t="n"/>
      <c r="F30" s="4" t="n"/>
      <c r="G30" s="29">
        <f>IF(AND(ISNUMBER(D30), ISNUMBER(E30), ISNUMBER(F30)), D30+E30-F30, "")</f>
        <v/>
      </c>
    </row>
    <row r="31">
      <c r="A31" s="14" t="n">
        <v>46034</v>
      </c>
      <c r="B31" t="inlineStr">
        <is>
          <t>Liquor + Wine</t>
        </is>
      </c>
      <c r="C31" t="inlineStr">
        <is>
          <t>Best Brands</t>
        </is>
      </c>
      <c r="D31" s="4" t="n"/>
      <c r="E31" s="4" t="n"/>
      <c r="F31" s="4" t="n"/>
      <c r="G31" s="29">
        <f>IF(AND(ISNUMBER(D31), ISNUMBER(E31), ISNUMBER(F31)), D31+E31-F31, "")</f>
        <v/>
      </c>
    </row>
    <row r="32">
      <c r="A32" s="14" t="n">
        <v>46034</v>
      </c>
      <c r="B32" t="inlineStr">
        <is>
          <t>Liquor + Wine</t>
        </is>
      </c>
      <c r="C32" t="inlineStr">
        <is>
          <t>Tennessee Distributors</t>
        </is>
      </c>
      <c r="D32" s="4" t="n"/>
      <c r="E32" s="4" t="n"/>
      <c r="F32" s="4" t="n"/>
      <c r="G32" s="29">
        <f>IF(AND(ISNUMBER(D32), ISNUMBER(E32), ISNUMBER(F32)), D32+E32-F32, "")</f>
        <v/>
      </c>
    </row>
    <row r="33">
      <c r="A33" s="14" t="n">
        <v>46034</v>
      </c>
      <c r="B33" t="inlineStr">
        <is>
          <t>Liquor + Wine</t>
        </is>
      </c>
      <c r="C33" t="inlineStr">
        <is>
          <t>Empire</t>
        </is>
      </c>
      <c r="D33" s="4" t="n"/>
      <c r="E33" s="4" t="n"/>
      <c r="F33" s="4" t="n"/>
      <c r="G33" s="29">
        <f>IF(AND(ISNUMBER(D33), ISNUMBER(E33), ISNUMBER(F33)), D33+E33-F33, "")</f>
        <v/>
      </c>
    </row>
    <row r="34">
      <c r="A34" s="14" t="n">
        <v>46034</v>
      </c>
      <c r="B34" t="inlineStr">
        <is>
          <t>Liquor + Wine</t>
        </is>
      </c>
      <c r="C34" t="inlineStr">
        <is>
          <t>Others</t>
        </is>
      </c>
      <c r="D34" s="4" t="n"/>
      <c r="E34" s="4" t="n"/>
      <c r="F34" s="4" t="n"/>
      <c r="G34" s="29">
        <f>IF(AND(ISNUMBER(D34), ISNUMBER(E34), ISNUMBER(F34)), D34+E34-F34, "")</f>
        <v/>
      </c>
    </row>
    <row r="35">
      <c r="A35" s="14" t="n">
        <v>46034</v>
      </c>
      <c r="B35" t="inlineStr">
        <is>
          <t>Beer</t>
        </is>
      </c>
      <c r="C35" t="inlineStr">
        <is>
          <t>DET</t>
        </is>
      </c>
      <c r="D35" s="4" t="n"/>
      <c r="E35" s="4" t="n"/>
      <c r="F35" s="4" t="n"/>
      <c r="G35" s="29">
        <f>IF(AND(ISNUMBER(D35), ISNUMBER(E35), ISNUMBER(F35)), D35+E35-F35, "")</f>
        <v/>
      </c>
    </row>
    <row r="36">
      <c r="A36" s="14" t="n">
        <v>46034</v>
      </c>
      <c r="B36" t="inlineStr">
        <is>
          <t>Beer</t>
        </is>
      </c>
      <c r="C36" t="inlineStr">
        <is>
          <t>Ajax Turner</t>
        </is>
      </c>
      <c r="D36" s="4" t="n"/>
      <c r="E36" s="4" t="n"/>
      <c r="F36" s="4" t="n"/>
      <c r="G36" s="29">
        <f>IF(AND(ISNUMBER(D36), ISNUMBER(E36), ISNUMBER(F36)), D36+E36-F36, "")</f>
        <v/>
      </c>
    </row>
    <row r="37">
      <c r="A37" s="14" t="n">
        <v>46034</v>
      </c>
      <c r="B37" t="inlineStr">
        <is>
          <t>Beer</t>
        </is>
      </c>
      <c r="C37" t="inlineStr">
        <is>
          <t>Bounty Bev</t>
        </is>
      </c>
      <c r="D37" s="4" t="n"/>
      <c r="E37" s="4" t="n"/>
      <c r="F37" s="4" t="n"/>
      <c r="G37" s="29">
        <f>IF(AND(ISNUMBER(D37), ISNUMBER(E37), ISNUMBER(F37)), D37+E37-F37, "")</f>
        <v/>
      </c>
    </row>
    <row r="38">
      <c r="A38" s="14" t="n">
        <v>46034</v>
      </c>
      <c r="B38" t="inlineStr">
        <is>
          <t>Beer</t>
        </is>
      </c>
      <c r="C38" t="inlineStr">
        <is>
          <t>Others</t>
        </is>
      </c>
      <c r="D38" s="4" t="n"/>
      <c r="E38" s="4" t="n"/>
      <c r="F38" s="4" t="n"/>
      <c r="G38" s="29">
        <f>IF(AND(ISNUMBER(D38), ISNUMBER(E38), ISNUMBER(F38)), D38+E38-F38, "")</f>
        <v/>
      </c>
    </row>
    <row r="39">
      <c r="A39" s="14" t="n">
        <v>46034</v>
      </c>
      <c r="B39" t="inlineStr">
        <is>
          <t>Paper Goods</t>
        </is>
      </c>
      <c r="C39" t="inlineStr">
        <is>
          <t>Barnes Supply</t>
        </is>
      </c>
      <c r="D39" s="4" t="n"/>
      <c r="E39" s="4" t="n"/>
      <c r="F39" s="4" t="n"/>
      <c r="G39" s="29">
        <f>IF(AND(ISNUMBER(D39), ISNUMBER(E39), ISNUMBER(F39)), D39+E39-F39, "")</f>
        <v/>
      </c>
    </row>
    <row r="40">
      <c r="A40" s="14" t="n">
        <v>46034</v>
      </c>
      <c r="B40" t="inlineStr">
        <is>
          <t>Paper Goods</t>
        </is>
      </c>
      <c r="C40" t="inlineStr">
        <is>
          <t>Others</t>
        </is>
      </c>
      <c r="D40" s="4" t="n"/>
      <c r="E40" s="4" t="n"/>
      <c r="F40" s="4" t="n"/>
      <c r="G40" s="29">
        <f>IF(AND(ISNUMBER(D40), ISNUMBER(E40), ISNUMBER(F40)), D40+E40-F40, "")</f>
        <v/>
      </c>
    </row>
    <row r="41">
      <c r="A41" s="14" t="n">
        <v>46034</v>
      </c>
      <c r="B41" t="inlineStr">
        <is>
          <t>Retail</t>
        </is>
      </c>
      <c r="C41" t="inlineStr">
        <is>
          <t>Others</t>
        </is>
      </c>
      <c r="D41" s="4" t="n"/>
      <c r="E41" s="4" t="n"/>
      <c r="F41" s="4" t="n"/>
      <c r="G41" s="29">
        <f>IF(AND(ISNUMBER(D41), ISNUMBER(E41), ISNUMBER(F41)), D41+E41-F41, "")</f>
        <v/>
      </c>
    </row>
    <row r="42">
      <c r="A42" s="26" t="inlineStr">
        <is>
          <t>Week Ending: 2026-01-05</t>
        </is>
      </c>
    </row>
    <row r="43">
      <c r="A43" s="14" t="n">
        <v>46027</v>
      </c>
      <c r="B43" t="inlineStr">
        <is>
          <t>Food + NA Beverage</t>
        </is>
      </c>
      <c r="C43" t="inlineStr">
        <is>
          <t>Sysco</t>
        </is>
      </c>
      <c r="D43" s="4" t="n">
        <v>10</v>
      </c>
      <c r="E43" s="4" t="n">
        <v>20</v>
      </c>
      <c r="F43" s="4" t="n">
        <v>8</v>
      </c>
      <c r="G43" s="29">
        <f>IF(AND(ISNUMBER(D43), ISNUMBER(E43), ISNUMBER(F43)), D43+E43-F43, "")</f>
        <v/>
      </c>
    </row>
    <row r="44">
      <c r="A44" s="14" t="n">
        <v>46027</v>
      </c>
      <c r="B44" t="inlineStr">
        <is>
          <t>Food + NA Beverage</t>
        </is>
      </c>
      <c r="C44" t="inlineStr">
        <is>
          <t>Creation Garden (WOW)</t>
        </is>
      </c>
      <c r="D44" s="4" t="n">
        <v>10</v>
      </c>
      <c r="E44" s="4" t="n">
        <v>20</v>
      </c>
      <c r="F44" s="4" t="n">
        <v>8</v>
      </c>
      <c r="G44" s="29">
        <f>IF(AND(ISNUMBER(D44), ISNUMBER(E44), ISNUMBER(F44)), D44+E44-F44, "")</f>
        <v/>
      </c>
    </row>
    <row r="45">
      <c r="A45" s="14" t="n">
        <v>46027</v>
      </c>
      <c r="B45" t="inlineStr">
        <is>
          <t>Food + NA Beverage</t>
        </is>
      </c>
      <c r="C45" t="inlineStr">
        <is>
          <t>Restaurant Depot</t>
        </is>
      </c>
      <c r="D45" s="4" t="n">
        <v>10</v>
      </c>
      <c r="E45" s="4" t="n">
        <v>20</v>
      </c>
      <c r="F45" s="4" t="n">
        <v>8</v>
      </c>
      <c r="G45" s="29">
        <f>IF(AND(ISNUMBER(D45), ISNUMBER(E45), ISNUMBER(F45)), D45+E45-F45, "")</f>
        <v/>
      </c>
    </row>
    <row r="46">
      <c r="A46" s="14" t="n">
        <v>46027</v>
      </c>
      <c r="B46" t="inlineStr">
        <is>
          <t>Food + NA Beverage</t>
        </is>
      </c>
      <c r="C46" t="inlineStr">
        <is>
          <t>Others</t>
        </is>
      </c>
      <c r="D46" s="4" t="n"/>
      <c r="E46" s="4" t="n"/>
      <c r="F46" s="4" t="n"/>
      <c r="G46" s="29">
        <f>IF(AND(ISNUMBER(D46), ISNUMBER(E46), ISNUMBER(F46)), D46+E46-F46, "")</f>
        <v/>
      </c>
    </row>
    <row r="47">
      <c r="A47" s="14" t="n">
        <v>46027</v>
      </c>
      <c r="B47" t="inlineStr">
        <is>
          <t>Liquor + Wine</t>
        </is>
      </c>
      <c r="C47" t="inlineStr">
        <is>
          <t>Athens</t>
        </is>
      </c>
      <c r="D47" s="4" t="n"/>
      <c r="E47" s="4" t="n"/>
      <c r="F47" s="4" t="n"/>
      <c r="G47" s="29">
        <f>IF(AND(ISNUMBER(D47), ISNUMBER(E47), ISNUMBER(F47)), D47+E47-F47, "")</f>
        <v/>
      </c>
    </row>
    <row r="48">
      <c r="A48" s="14" t="n">
        <v>46027</v>
      </c>
      <c r="B48" t="inlineStr">
        <is>
          <t>Liquor + Wine</t>
        </is>
      </c>
      <c r="C48" t="inlineStr">
        <is>
          <t>Lipman Brothers</t>
        </is>
      </c>
      <c r="D48" s="4" t="n"/>
      <c r="E48" s="4" t="n"/>
      <c r="F48" s="4" t="n"/>
      <c r="G48" s="29">
        <f>IF(AND(ISNUMBER(D48), ISNUMBER(E48), ISNUMBER(F48)), D48+E48-F48, "")</f>
        <v/>
      </c>
    </row>
    <row r="49">
      <c r="A49" s="14" t="n">
        <v>46027</v>
      </c>
      <c r="B49" t="inlineStr">
        <is>
          <t>Liquor + Wine</t>
        </is>
      </c>
      <c r="C49" t="inlineStr">
        <is>
          <t>Best Brands</t>
        </is>
      </c>
      <c r="D49" s="4" t="n"/>
      <c r="E49" s="4" t="n"/>
      <c r="F49" s="4" t="n"/>
      <c r="G49" s="29">
        <f>IF(AND(ISNUMBER(D49), ISNUMBER(E49), ISNUMBER(F49)), D49+E49-F49, "")</f>
        <v/>
      </c>
    </row>
    <row r="50">
      <c r="A50" s="14" t="n">
        <v>46027</v>
      </c>
      <c r="B50" t="inlineStr">
        <is>
          <t>Liquor + Wine</t>
        </is>
      </c>
      <c r="C50" t="inlineStr">
        <is>
          <t>Tennessee Distributors</t>
        </is>
      </c>
      <c r="D50" s="4" t="n"/>
      <c r="E50" s="4" t="n"/>
      <c r="F50" s="4" t="n"/>
      <c r="G50" s="29">
        <f>IF(AND(ISNUMBER(D50), ISNUMBER(E50), ISNUMBER(F50)), D50+E50-F50, "")</f>
        <v/>
      </c>
    </row>
    <row r="51">
      <c r="A51" s="14" t="n">
        <v>46027</v>
      </c>
      <c r="B51" t="inlineStr">
        <is>
          <t>Liquor + Wine</t>
        </is>
      </c>
      <c r="C51" t="inlineStr">
        <is>
          <t>Empire</t>
        </is>
      </c>
      <c r="D51" s="4" t="n"/>
      <c r="E51" s="4" t="n"/>
      <c r="F51" s="4" t="n"/>
      <c r="G51" s="29">
        <f>IF(AND(ISNUMBER(D51), ISNUMBER(E51), ISNUMBER(F51)), D51+E51-F51, "")</f>
        <v/>
      </c>
    </row>
    <row r="52">
      <c r="A52" s="14" t="n">
        <v>46027</v>
      </c>
      <c r="B52" t="inlineStr">
        <is>
          <t>Liquor + Wine</t>
        </is>
      </c>
      <c r="C52" t="inlineStr">
        <is>
          <t>Others</t>
        </is>
      </c>
      <c r="D52" s="4" t="n"/>
      <c r="E52" s="4" t="n"/>
      <c r="F52" s="4" t="n"/>
      <c r="G52" s="29">
        <f>IF(AND(ISNUMBER(D52), ISNUMBER(E52), ISNUMBER(F52)), D52+E52-F52, "")</f>
        <v/>
      </c>
    </row>
    <row r="53">
      <c r="A53" s="14" t="n">
        <v>46027</v>
      </c>
      <c r="B53" t="inlineStr">
        <is>
          <t>Beer</t>
        </is>
      </c>
      <c r="C53" t="inlineStr">
        <is>
          <t>DET</t>
        </is>
      </c>
      <c r="D53" s="4" t="n"/>
      <c r="E53" s="4" t="n"/>
      <c r="F53" s="4" t="n"/>
      <c r="G53" s="29">
        <f>IF(AND(ISNUMBER(D53), ISNUMBER(E53), ISNUMBER(F53)), D53+E53-F53, "")</f>
        <v/>
      </c>
    </row>
    <row r="54">
      <c r="A54" s="14" t="n">
        <v>46027</v>
      </c>
      <c r="B54" t="inlineStr">
        <is>
          <t>Beer</t>
        </is>
      </c>
      <c r="C54" t="inlineStr">
        <is>
          <t>Ajax Turner</t>
        </is>
      </c>
      <c r="D54" s="4" t="n"/>
      <c r="E54" s="4" t="n"/>
      <c r="F54" s="4" t="n"/>
      <c r="G54" s="29">
        <f>IF(AND(ISNUMBER(D54), ISNUMBER(E54), ISNUMBER(F54)), D54+E54-F54, "")</f>
        <v/>
      </c>
    </row>
    <row r="55">
      <c r="A55" s="14" t="n">
        <v>46027</v>
      </c>
      <c r="B55" t="inlineStr">
        <is>
          <t>Beer</t>
        </is>
      </c>
      <c r="C55" t="inlineStr">
        <is>
          <t>Bounty Bev</t>
        </is>
      </c>
      <c r="D55" s="4" t="n"/>
      <c r="E55" s="4" t="n"/>
      <c r="F55" s="4" t="n"/>
      <c r="G55" s="29">
        <f>IF(AND(ISNUMBER(D55), ISNUMBER(E55), ISNUMBER(F55)), D55+E55-F55, "")</f>
        <v/>
      </c>
    </row>
    <row r="56">
      <c r="A56" s="14" t="n">
        <v>46027</v>
      </c>
      <c r="B56" t="inlineStr">
        <is>
          <t>Beer</t>
        </is>
      </c>
      <c r="C56" t="inlineStr">
        <is>
          <t>Others</t>
        </is>
      </c>
      <c r="D56" s="4" t="n"/>
      <c r="E56" s="4" t="n"/>
      <c r="F56" s="4" t="n"/>
      <c r="G56" s="29">
        <f>IF(AND(ISNUMBER(D56), ISNUMBER(E56), ISNUMBER(F56)), D56+E56-F56, "")</f>
        <v/>
      </c>
    </row>
    <row r="57">
      <c r="A57" s="14" t="n">
        <v>46027</v>
      </c>
      <c r="B57" t="inlineStr">
        <is>
          <t>Paper Goods</t>
        </is>
      </c>
      <c r="C57" t="inlineStr">
        <is>
          <t>Barnes Supply</t>
        </is>
      </c>
      <c r="D57" s="4" t="n"/>
      <c r="E57" s="4" t="n"/>
      <c r="F57" s="4" t="n"/>
      <c r="G57" s="29">
        <f>IF(AND(ISNUMBER(D57), ISNUMBER(E57), ISNUMBER(F57)), D57+E57-F57, "")</f>
        <v/>
      </c>
    </row>
    <row r="58">
      <c r="A58" s="14" t="n">
        <v>46027</v>
      </c>
      <c r="B58" t="inlineStr">
        <is>
          <t>Paper Goods</t>
        </is>
      </c>
      <c r="C58" t="inlineStr">
        <is>
          <t>Others</t>
        </is>
      </c>
      <c r="D58" s="4" t="n"/>
      <c r="E58" s="4" t="n"/>
      <c r="F58" s="4" t="n"/>
      <c r="G58" s="29">
        <f>IF(AND(ISNUMBER(D58), ISNUMBER(E58), ISNUMBER(F58)), D58+E58-F58, "")</f>
        <v/>
      </c>
    </row>
    <row r="59">
      <c r="A59" s="14" t="n">
        <v>46027</v>
      </c>
      <c r="B59" t="inlineStr">
        <is>
          <t>Retail</t>
        </is>
      </c>
      <c r="C59" t="inlineStr">
        <is>
          <t>Others</t>
        </is>
      </c>
      <c r="D59" s="4" t="n"/>
      <c r="E59" s="4" t="n"/>
      <c r="F59" s="4" t="n"/>
      <c r="G59" s="29">
        <f>IF(AND(ISNUMBER(D59), ISNUMBER(E59), ISNUMBER(F59)), D59+E59-F59, "")</f>
        <v/>
      </c>
    </row>
  </sheetData>
  <mergeCells count="6">
    <mergeCell ref="A3:G3"/>
    <mergeCell ref="A21:G21"/>
    <mergeCell ref="A22:G22"/>
    <mergeCell ref="A24:G24"/>
    <mergeCell ref="A42:G42"/>
    <mergeCell ref="A23:G23"/>
  </mergeCells>
  <dataValidations count="1">
    <dataValidation sqref="B4:B20" showDropDown="1" showInputMessage="0" showErrorMessage="0" allowBlank="0" type="list">
      <formula1>"Food + NA Beverage,Liquor + Wine,Beer,Paper Goods,Retail"</formula1>
    </dataValidation>
  </dataValidations>
  <pageMargins left="0.75" right="0.75" top="1" bottom="1" header="0.5" footer="0.5"/>
  <pageSetup orientation="portrait" horizontalDpi="1200" verticalDpi="1200"/>
</worksheet>
</file>

<file path=xl/worksheets/sheet8.xml><?xml version="1.0" encoding="utf-8"?>
<worksheet xmlns="http://schemas.openxmlformats.org/spreadsheetml/2006/main">
  <sheetPr codeName="Sheet10">
    <outlinePr summaryBelow="1" summaryRight="1"/>
    <pageSetUpPr/>
  </sheetPr>
  <dimension ref="A1:AP1"/>
  <sheetViews>
    <sheetView workbookViewId="0">
      <pane ySplit="1" topLeftCell="A2" activePane="bottomLeft" state="frozen"/>
      <selection pane="bottomLeft" activeCell="E21" sqref="E21"/>
    </sheetView>
  </sheetViews>
  <sheetFormatPr baseColWidth="8" defaultRowHeight="14.4"/>
  <cols>
    <col width="6.20703125" bestFit="1" customWidth="1" style="17" min="1" max="1"/>
    <col width="24.62890625" bestFit="1" customWidth="1" style="17" min="2" max="2"/>
    <col width="16.3671875" bestFit="1" customWidth="1" style="17" min="3" max="3"/>
    <col width="12.734375" bestFit="1" customWidth="1" style="17" min="4" max="4"/>
    <col width="20.68359375" bestFit="1" customWidth="1" style="17" min="5" max="5"/>
    <col width="20.47265625" bestFit="1" customWidth="1" style="17" min="6" max="6"/>
    <col width="17.62890625" bestFit="1" customWidth="1" style="17" min="7" max="7"/>
    <col width="29.578125" bestFit="1" customWidth="1" style="17" min="8" max="8"/>
    <col width="15.578125" bestFit="1" customWidth="1" style="17" min="9" max="9"/>
    <col width="13.9453125" bestFit="1" customWidth="1" style="17" min="10" max="10"/>
    <col width="23.1015625" bestFit="1" customWidth="1" style="17" min="11" max="11"/>
    <col width="8.62890625" bestFit="1" customWidth="1" style="17" min="12" max="12"/>
    <col width="14.41796875" bestFit="1" customWidth="1" style="17" min="13" max="13"/>
    <col width="13.578125" bestFit="1" customWidth="1" style="17" min="14" max="14"/>
    <col width="25.15625" bestFit="1" customWidth="1" style="17" min="15" max="15"/>
    <col width="8.578125" bestFit="1" customWidth="1" style="17" min="16" max="16"/>
    <col width="23.7890625" bestFit="1" customWidth="1" style="17" min="17" max="17"/>
    <col width="5.1015625" bestFit="1" customWidth="1" style="17" min="18" max="18"/>
    <col width="17.68359375" bestFit="1" customWidth="1" style="17" min="19" max="19"/>
    <col width="8.5234375" bestFit="1" customWidth="1" style="17" min="20" max="20"/>
    <col width="19.734375" bestFit="1" customWidth="1" style="17" min="21" max="21"/>
    <col width="22.15625" bestFit="1" customWidth="1" style="17" min="22" max="22"/>
    <col width="12" bestFit="1" customWidth="1" style="17" min="23" max="23"/>
    <col width="22.62890625" bestFit="1" customWidth="1" style="17" min="24" max="24"/>
    <col width="9.41796875" bestFit="1" customWidth="1" style="17" min="25" max="25"/>
    <col width="22.47265625" bestFit="1" customWidth="1" style="17" min="26" max="26"/>
    <col width="16.89453125" bestFit="1" customWidth="1" style="17" min="27" max="27"/>
    <col width="13.3671875" bestFit="1" customWidth="1" style="17" min="28" max="28"/>
    <col width="22.9453125" bestFit="1" customWidth="1" style="17" min="29" max="29"/>
    <col width="11.3125" bestFit="1" customWidth="1" style="17" min="30" max="30"/>
    <col width="30.5234375" bestFit="1" customWidth="1" style="17" min="31" max="31"/>
    <col width="26.578125" bestFit="1" customWidth="1" style="17" min="32" max="32"/>
    <col width="26.83984375" bestFit="1" customWidth="1" style="17" min="33" max="33"/>
    <col width="34.5234375" bestFit="1" customWidth="1" style="17" min="34" max="34"/>
    <col width="23.1015625" bestFit="1" customWidth="1" style="17" min="35" max="35"/>
    <col width="30.05078125" bestFit="1" customWidth="1" style="17" min="36" max="36"/>
    <col width="16.83984375" bestFit="1" customWidth="1" style="17" min="37" max="37"/>
    <col width="5.68359375" bestFit="1" customWidth="1" style="17" min="38" max="38"/>
    <col width="19.68359375" bestFit="1" customWidth="1" style="17" min="39" max="39"/>
    <col width="7" bestFit="1" customWidth="1" style="17" min="40" max="40"/>
    <col width="15.05078125" bestFit="1" customWidth="1" style="17" min="41" max="41"/>
    <col width="4.7890625" bestFit="1" customWidth="1" style="17" min="42" max="42"/>
  </cols>
  <sheetData>
    <row r="1">
      <c r="A1" s="1" t="inlineStr">
        <is>
          <t>Month</t>
        </is>
      </c>
      <c r="B1" s="1" t="inlineStr">
        <is>
          <t>Accounting and legal Services</t>
        </is>
      </c>
      <c r="C1" s="1" t="inlineStr">
        <is>
          <t>Admin and General</t>
        </is>
      </c>
      <c r="D1" s="1" t="inlineStr">
        <is>
          <t>Administrative</t>
        </is>
      </c>
      <c r="E1" s="1" t="inlineStr">
        <is>
          <t>Advertising &amp; Marketing</t>
        </is>
      </c>
      <c r="F1" s="1" t="inlineStr">
        <is>
          <t>Auto Chlor / dishwasher</t>
        </is>
      </c>
      <c r="G1" s="1" t="inlineStr">
        <is>
          <t>Bank Charges &amp; Fees</t>
        </is>
      </c>
      <c r="H1" s="1" t="inlineStr">
        <is>
          <t>Car &amp; Truck/ Gas, Parking expenses</t>
        </is>
      </c>
      <c r="I1" s="1" t="inlineStr">
        <is>
          <t>Comcast/ Internet</t>
        </is>
      </c>
      <c r="J1" s="1" t="inlineStr">
        <is>
          <t>Credit Card Fees</t>
        </is>
      </c>
      <c r="K1" s="1" t="inlineStr">
        <is>
          <t>Credit Card Processing Fees</t>
        </is>
      </c>
      <c r="L1" s="1" t="inlineStr">
        <is>
          <t>Electricity</t>
        </is>
      </c>
      <c r="M1" s="1" t="inlineStr">
        <is>
          <t>Facility expenses</t>
        </is>
      </c>
      <c r="N1" s="1" t="inlineStr">
        <is>
          <t>Fintech Charges</t>
        </is>
      </c>
      <c r="O1" s="1" t="inlineStr">
        <is>
          <t>Fire inspection/Hood cleaning</t>
        </is>
      </c>
      <c r="P1" s="1" t="inlineStr">
        <is>
          <t>Insurance</t>
        </is>
      </c>
      <c r="Q1" s="1" t="inlineStr">
        <is>
          <t>Job Supplies bar and kitchen</t>
        </is>
      </c>
      <c r="R1" s="1" t="inlineStr">
        <is>
          <t>Lenin</t>
        </is>
      </c>
      <c r="S1" s="1" t="inlineStr">
        <is>
          <t>Licenses and permits</t>
        </is>
      </c>
      <c r="T1" s="1" t="inlineStr">
        <is>
          <t>Live Band</t>
        </is>
      </c>
      <c r="U1" s="1" t="inlineStr">
        <is>
          <t>Meals &amp; Entertainment</t>
        </is>
      </c>
      <c r="V1" s="1" t="inlineStr">
        <is>
          <t>Music and Entertainments</t>
        </is>
      </c>
      <c r="W1" s="1" t="inlineStr">
        <is>
          <t>Nca Alarm Co.</t>
        </is>
      </c>
      <c r="X1" s="1" t="inlineStr">
        <is>
          <t>Non Controllable expenses</t>
        </is>
      </c>
      <c r="Y1" s="1" t="inlineStr">
        <is>
          <t>Occupancy</t>
        </is>
      </c>
      <c r="Z1" s="1" t="inlineStr">
        <is>
          <t>Office Supplies &amp; Software</t>
        </is>
      </c>
      <c r="AA1" s="1" t="inlineStr">
        <is>
          <t>Operating Expenses</t>
        </is>
      </c>
      <c r="AB1" s="1" t="inlineStr">
        <is>
          <t>Over Draft Fees</t>
        </is>
      </c>
      <c r="AC1" s="1" t="inlineStr">
        <is>
          <t>QuickBooks Payments Fees</t>
        </is>
      </c>
      <c r="AD1" s="1" t="inlineStr">
        <is>
          <t>Rent &amp; Lease</t>
        </is>
      </c>
      <c r="AE1" s="1" t="inlineStr">
        <is>
          <t>Repairs &amp; Maintenance/ Renovation</t>
        </is>
      </c>
      <c r="AF1" s="1" t="inlineStr">
        <is>
          <t>Sp+ Property tax + Water+Trash</t>
        </is>
      </c>
      <c r="AG1" s="1" t="inlineStr">
        <is>
          <t>Toast Pos Software Monthly fee</t>
        </is>
      </c>
      <c r="AH1" s="1" t="inlineStr">
        <is>
          <t>Total for Direct Operation Expences(DOE)</t>
        </is>
      </c>
      <c r="AI1" s="1" t="inlineStr">
        <is>
          <t>Total for Income Taxes Paid</t>
        </is>
      </c>
      <c r="AJ1" s="1" t="inlineStr">
        <is>
          <t>Total for Non Controllable expenses</t>
        </is>
      </c>
      <c r="AK1" s="1" t="inlineStr">
        <is>
          <t>Total for Occupancy</t>
        </is>
      </c>
      <c r="AL1" s="1" t="inlineStr">
        <is>
          <t>Travel</t>
        </is>
      </c>
      <c r="AM1" s="1" t="inlineStr">
        <is>
          <t>Uncategorized Expense</t>
        </is>
      </c>
      <c r="AN1" s="1" t="inlineStr">
        <is>
          <t>Utilities</t>
        </is>
      </c>
      <c r="AO1" s="1" t="inlineStr">
        <is>
          <t>Window Cleaning</t>
        </is>
      </c>
      <c r="AP1" s="1" t="inlineStr">
        <is>
          <t>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 codeName="Sheet2"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E18" sqref="E18"/>
    </sheetView>
  </sheetViews>
  <sheetFormatPr baseColWidth="8" defaultRowHeight="14.4"/>
  <cols>
    <col width="14.734375" bestFit="1" customWidth="1" style="17" min="1" max="1"/>
    <col width="11.47265625" bestFit="1" customWidth="1" style="17" min="2" max="2"/>
    <col width="6.734375" bestFit="1" customWidth="1" style="17" min="3" max="3"/>
  </cols>
  <sheetData>
    <row r="1">
      <c r="A1" s="1" t="inlineStr">
        <is>
          <t>Metric</t>
        </is>
      </c>
      <c r="B1" s="1" t="inlineStr">
        <is>
          <t>Target_Value</t>
        </is>
      </c>
      <c r="C1" s="1" t="inlineStr">
        <is>
          <t>Unit</t>
        </is>
      </c>
    </row>
    <row r="2">
      <c r="A2" t="inlineStr">
        <is>
          <t>Food_Cost_Pct</t>
        </is>
      </c>
      <c r="B2" s="2" t="n">
        <v>0.25</v>
      </c>
      <c r="C2" t="inlineStr">
        <is>
          <t>Percent</t>
        </is>
      </c>
    </row>
    <row r="3">
      <c r="A3" t="inlineStr">
        <is>
          <t>Liquor_Cost_Pct</t>
        </is>
      </c>
      <c r="B3" s="2" t="n">
        <v>0.12</v>
      </c>
      <c r="C3" t="inlineStr">
        <is>
          <t>Percent</t>
        </is>
      </c>
    </row>
    <row r="4">
      <c r="A4" t="inlineStr">
        <is>
          <t>Beer_Cost_Pct</t>
        </is>
      </c>
      <c r="B4" s="2" t="n">
        <v>0.15</v>
      </c>
      <c r="C4" t="inlineStr">
        <is>
          <t>Percent</t>
        </is>
      </c>
    </row>
    <row r="5">
      <c r="A5" t="inlineStr">
        <is>
          <t>COGS_Pct</t>
        </is>
      </c>
      <c r="B5" s="2" t="n">
        <v>0.15</v>
      </c>
      <c r="C5" t="inlineStr">
        <is>
          <t>Percent</t>
        </is>
      </c>
    </row>
    <row r="6">
      <c r="A6" t="inlineStr">
        <is>
          <t>Labor_Pct</t>
        </is>
      </c>
      <c r="B6" s="2" t="n">
        <v>0.25</v>
      </c>
      <c r="C6" t="inlineStr">
        <is>
          <t>Percent</t>
        </is>
      </c>
    </row>
    <row r="7">
      <c r="A7" t="inlineStr">
        <is>
          <t>FOH_Pct</t>
        </is>
      </c>
      <c r="B7" s="2" t="n">
        <v>0.1</v>
      </c>
      <c r="C7" t="inlineStr">
        <is>
          <t>Percent</t>
        </is>
      </c>
    </row>
    <row r="8">
      <c r="A8" t="inlineStr">
        <is>
          <t>BOH_Pct</t>
        </is>
      </c>
      <c r="B8" s="2" t="n">
        <v>0.1</v>
      </c>
      <c r="C8" t="inlineStr">
        <is>
          <t>Percent</t>
        </is>
      </c>
    </row>
    <row r="9">
      <c r="A9" t="inlineStr">
        <is>
          <t>Management_Pct</t>
        </is>
      </c>
      <c r="B9" s="2" t="n">
        <v>0.1</v>
      </c>
      <c r="C9" t="inlineStr">
        <is>
          <t>Percent</t>
        </is>
      </c>
    </row>
    <row r="10">
      <c r="A10" t="inlineStr">
        <is>
          <t>Prime_Cost_Pct</t>
        </is>
      </c>
      <c r="B10" s="2" t="n">
        <v>0.45</v>
      </c>
      <c r="C10" t="inlineStr">
        <is>
          <t>Percent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 codeName="Sheet3"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E11" sqref="E11"/>
    </sheetView>
  </sheetViews>
  <sheetFormatPr baseColWidth="8" defaultRowHeight="14.4"/>
  <cols>
    <col width="16.62890625" bestFit="1" customWidth="1" style="17" min="1" max="1"/>
    <col width="20.1015625" bestFit="1" customWidth="1" style="17" min="2" max="2"/>
    <col width="5.734375" bestFit="1" customWidth="1" style="17" min="3" max="3"/>
  </cols>
  <sheetData>
    <row r="1">
      <c r="A1" s="1" t="inlineStr">
        <is>
          <t>Category</t>
        </is>
      </c>
      <c r="B1" s="1" t="inlineStr">
        <is>
          <t>Vendor</t>
        </is>
      </c>
      <c r="C1" s="1" t="inlineStr">
        <is>
          <t>Active</t>
        </is>
      </c>
    </row>
    <row r="2">
      <c r="A2" t="inlineStr">
        <is>
          <t>Food + NA Beverage</t>
        </is>
      </c>
      <c r="B2" t="inlineStr">
        <is>
          <t>Sysco</t>
        </is>
      </c>
      <c r="C2" t="inlineStr">
        <is>
          <t>Y</t>
        </is>
      </c>
    </row>
    <row r="3">
      <c r="A3" t="inlineStr">
        <is>
          <t>Food + NA Beverage</t>
        </is>
      </c>
      <c r="B3" t="inlineStr">
        <is>
          <t>Creation Garden (WOW)</t>
        </is>
      </c>
      <c r="C3" t="inlineStr">
        <is>
          <t>Y</t>
        </is>
      </c>
    </row>
    <row r="4">
      <c r="A4" t="inlineStr">
        <is>
          <t>Food + NA Beverage</t>
        </is>
      </c>
      <c r="B4" t="inlineStr">
        <is>
          <t>Restaurant Depot</t>
        </is>
      </c>
      <c r="C4" t="inlineStr">
        <is>
          <t>Y</t>
        </is>
      </c>
    </row>
    <row r="5">
      <c r="A5" t="inlineStr">
        <is>
          <t>Food + NA Beverage</t>
        </is>
      </c>
      <c r="B5" t="inlineStr">
        <is>
          <t>Others</t>
        </is>
      </c>
      <c r="C5" t="inlineStr">
        <is>
          <t>Y</t>
        </is>
      </c>
    </row>
    <row r="6">
      <c r="A6" t="inlineStr">
        <is>
          <t>Liquor + Wine</t>
        </is>
      </c>
      <c r="B6" t="inlineStr">
        <is>
          <t>Athens</t>
        </is>
      </c>
      <c r="C6" t="inlineStr">
        <is>
          <t>Y</t>
        </is>
      </c>
    </row>
    <row r="7">
      <c r="A7" t="inlineStr">
        <is>
          <t>Liquor + Wine</t>
        </is>
      </c>
      <c r="B7" t="inlineStr">
        <is>
          <t>Lipman Brothers</t>
        </is>
      </c>
      <c r="C7" t="inlineStr">
        <is>
          <t>Y</t>
        </is>
      </c>
    </row>
    <row r="8">
      <c r="A8" t="inlineStr">
        <is>
          <t>Liquor + Wine</t>
        </is>
      </c>
      <c r="B8" t="inlineStr">
        <is>
          <t>Best Brands</t>
        </is>
      </c>
      <c r="C8" t="inlineStr">
        <is>
          <t>Y</t>
        </is>
      </c>
    </row>
    <row r="9">
      <c r="A9" t="inlineStr">
        <is>
          <t>Liquor + Wine</t>
        </is>
      </c>
      <c r="B9" t="inlineStr">
        <is>
          <t>Tennessee Distributors</t>
        </is>
      </c>
      <c r="C9" t="inlineStr">
        <is>
          <t>Y</t>
        </is>
      </c>
    </row>
    <row r="10">
      <c r="A10" t="inlineStr">
        <is>
          <t>Liquor + Wine</t>
        </is>
      </c>
      <c r="B10" t="inlineStr">
        <is>
          <t>Empire</t>
        </is>
      </c>
      <c r="C10" t="inlineStr">
        <is>
          <t>Y</t>
        </is>
      </c>
    </row>
    <row r="11">
      <c r="A11" t="inlineStr">
        <is>
          <t>Liquor + Wine</t>
        </is>
      </c>
      <c r="B11" t="inlineStr">
        <is>
          <t>Others</t>
        </is>
      </c>
      <c r="C11" t="inlineStr">
        <is>
          <t>Y</t>
        </is>
      </c>
    </row>
    <row r="12">
      <c r="A12" t="inlineStr">
        <is>
          <t>Beer</t>
        </is>
      </c>
      <c r="B12" t="inlineStr">
        <is>
          <t>DET</t>
        </is>
      </c>
      <c r="C12" t="inlineStr">
        <is>
          <t>Y</t>
        </is>
      </c>
    </row>
    <row r="13">
      <c r="A13" t="inlineStr">
        <is>
          <t>Beer</t>
        </is>
      </c>
      <c r="B13" t="inlineStr">
        <is>
          <t>Ajax Turner</t>
        </is>
      </c>
      <c r="C13" t="inlineStr">
        <is>
          <t>Y</t>
        </is>
      </c>
    </row>
    <row r="14">
      <c r="A14" t="inlineStr">
        <is>
          <t>Beer</t>
        </is>
      </c>
      <c r="B14" t="inlineStr">
        <is>
          <t>Bounty Bev</t>
        </is>
      </c>
      <c r="C14" t="inlineStr">
        <is>
          <t>Y</t>
        </is>
      </c>
    </row>
    <row r="15">
      <c r="A15" t="inlineStr">
        <is>
          <t>Beer</t>
        </is>
      </c>
      <c r="B15" t="inlineStr">
        <is>
          <t>Others</t>
        </is>
      </c>
      <c r="C15" t="inlineStr">
        <is>
          <t>Y</t>
        </is>
      </c>
    </row>
    <row r="16">
      <c r="A16" t="inlineStr">
        <is>
          <t>Paper Goods</t>
        </is>
      </c>
      <c r="B16" t="inlineStr">
        <is>
          <t>Barnes Supply</t>
        </is>
      </c>
      <c r="C16" t="inlineStr">
        <is>
          <t>Y</t>
        </is>
      </c>
    </row>
    <row r="17">
      <c r="A17" t="inlineStr">
        <is>
          <t>Paper Goods</t>
        </is>
      </c>
      <c r="B17" t="inlineStr">
        <is>
          <t>Others</t>
        </is>
      </c>
      <c r="C17" t="inlineStr">
        <is>
          <t>Y</t>
        </is>
      </c>
    </row>
    <row r="18">
      <c r="A18" t="inlineStr">
        <is>
          <t>Retail</t>
        </is>
      </c>
      <c r="B18" t="inlineStr">
        <is>
          <t>Others</t>
        </is>
      </c>
      <c r="C18" t="inlineStr">
        <is>
          <t>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Sheet1"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E13" sqref="E13"/>
    </sheetView>
  </sheetViews>
  <sheetFormatPr baseColWidth="8" defaultRowHeight="14.4"/>
  <cols>
    <col width="19.1015625" bestFit="1" customWidth="1" style="17" min="1" max="1"/>
    <col width="11.3125" bestFit="1" customWidth="1" style="17" min="2" max="2"/>
  </cols>
  <sheetData>
    <row r="1">
      <c r="A1" s="1" t="inlineStr">
        <is>
          <t>Job_Title</t>
        </is>
      </c>
      <c r="B1" s="1" t="inlineStr">
        <is>
          <t>Classification</t>
        </is>
      </c>
    </row>
    <row r="2">
      <c r="A2" t="inlineStr">
        <is>
          <t>Cook</t>
        </is>
      </c>
      <c r="B2" t="inlineStr">
        <is>
          <t>BOH</t>
        </is>
      </c>
    </row>
    <row r="3">
      <c r="A3" t="inlineStr">
        <is>
          <t>Dishwasher</t>
        </is>
      </c>
      <c r="B3" t="inlineStr">
        <is>
          <t>BOH</t>
        </is>
      </c>
    </row>
    <row r="4">
      <c r="A4" t="inlineStr">
        <is>
          <t>BOH Support</t>
        </is>
      </c>
      <c r="B4" t="inlineStr">
        <is>
          <t>BOH</t>
        </is>
      </c>
    </row>
    <row r="5">
      <c r="A5" t="inlineStr">
        <is>
          <t>Kitchen Manager</t>
        </is>
      </c>
      <c r="B5" t="inlineStr">
        <is>
          <t>BOH</t>
        </is>
      </c>
    </row>
    <row r="6">
      <c r="A6" t="inlineStr">
        <is>
          <t>Server</t>
        </is>
      </c>
      <c r="B6" t="inlineStr">
        <is>
          <t>FOH</t>
        </is>
      </c>
    </row>
    <row r="7">
      <c r="A7" t="inlineStr">
        <is>
          <t>Bartender</t>
        </is>
      </c>
      <c r="B7" t="inlineStr">
        <is>
          <t>FOH</t>
        </is>
      </c>
    </row>
    <row r="8">
      <c r="A8" t="inlineStr">
        <is>
          <t>Event Server</t>
        </is>
      </c>
      <c r="B8" t="inlineStr">
        <is>
          <t>FOH</t>
        </is>
      </c>
    </row>
    <row r="9">
      <c r="A9" t="inlineStr">
        <is>
          <t>Event Bartender</t>
        </is>
      </c>
      <c r="B9" t="inlineStr">
        <is>
          <t>FOH</t>
        </is>
      </c>
    </row>
    <row r="10">
      <c r="A10" t="inlineStr">
        <is>
          <t>Event bartender</t>
        </is>
      </c>
      <c r="B10" t="inlineStr">
        <is>
          <t>FOH</t>
        </is>
      </c>
    </row>
    <row r="11">
      <c r="A11" t="inlineStr">
        <is>
          <t>Floor Manager</t>
        </is>
      </c>
      <c r="B11" t="inlineStr">
        <is>
          <t>FOH</t>
        </is>
      </c>
    </row>
    <row r="12">
      <c r="A12" t="inlineStr">
        <is>
          <t>Shift Manager</t>
        </is>
      </c>
      <c r="B12" t="inlineStr">
        <is>
          <t>FOH</t>
        </is>
      </c>
    </row>
    <row r="13">
      <c r="A13" t="inlineStr">
        <is>
          <t>Late Night Event Server</t>
        </is>
      </c>
      <c r="B13" t="inlineStr">
        <is>
          <t>FOH</t>
        </is>
      </c>
    </row>
    <row r="14">
      <c r="A14" t="inlineStr">
        <is>
          <t>Late Night Security</t>
        </is>
      </c>
      <c r="B14" t="inlineStr">
        <is>
          <t>Security</t>
        </is>
      </c>
    </row>
    <row r="15">
      <c r="A15" t="inlineStr">
        <is>
          <t>Host</t>
        </is>
      </c>
      <c r="B15" t="inlineStr">
        <is>
          <t>FOH</t>
        </is>
      </c>
    </row>
    <row r="16">
      <c r="A16" t="inlineStr">
        <is>
          <t>Server Assist</t>
        </is>
      </c>
      <c r="B16" t="inlineStr">
        <is>
          <t>FOH</t>
        </is>
      </c>
    </row>
    <row r="17">
      <c r="A17" t="inlineStr">
        <is>
          <t>Lead Server</t>
        </is>
      </c>
      <c r="B17" t="inlineStr">
        <is>
          <t>FOH</t>
        </is>
      </c>
    </row>
    <row r="18">
      <c r="A18" t="inlineStr">
        <is>
          <t>General Manager</t>
        </is>
      </c>
      <c r="B18" t="inlineStr">
        <is>
          <t>Management</t>
        </is>
      </c>
    </row>
    <row r="19">
      <c r="A19" t="inlineStr">
        <is>
          <t>GM</t>
        </is>
      </c>
      <c r="B19" t="inlineStr">
        <is>
          <t>Management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 codeName="Sheet11"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sheetData>
    <row r="1">
      <c r="A1" s="5" t="inlineStr">
        <is>
          <t>Week_Ending_Date</t>
        </is>
      </c>
      <c r="B1" s="5" t="inlineStr">
        <is>
          <t>Net_Sales_Total</t>
        </is>
      </c>
      <c r="C1" s="5" t="inlineStr">
        <is>
          <t>Food_Sales</t>
        </is>
      </c>
      <c r="D1" s="5" t="inlineStr">
        <is>
          <t>Liquor_Sales</t>
        </is>
      </c>
      <c r="E1" s="5" t="inlineStr">
        <is>
          <t>Beer_Sales</t>
        </is>
      </c>
      <c r="F1" s="5" t="inlineStr">
        <is>
          <t>Food_COGS</t>
        </is>
      </c>
      <c r="G1" s="5" t="inlineStr">
        <is>
          <t>Liquor_COGS</t>
        </is>
      </c>
      <c r="H1" s="5" t="inlineStr">
        <is>
          <t>Beer_COGS</t>
        </is>
      </c>
      <c r="I1" s="5" t="inlineStr">
        <is>
          <t>Total_COGS</t>
        </is>
      </c>
      <c r="J1" s="5" t="inlineStr">
        <is>
          <t>FOH_Labor</t>
        </is>
      </c>
      <c r="K1" s="5" t="inlineStr">
        <is>
          <t>BOH_Labor</t>
        </is>
      </c>
      <c r="L1" s="5" t="inlineStr">
        <is>
          <t>Management_Labor</t>
        </is>
      </c>
      <c r="M1" s="5" t="inlineStr">
        <is>
          <t>Security_Labor</t>
        </is>
      </c>
      <c r="N1" s="5" t="inlineStr">
        <is>
          <t>Labor_Tax</t>
        </is>
      </c>
      <c r="O1" s="5" t="inlineStr">
        <is>
          <t>Total_Labor</t>
        </is>
      </c>
      <c r="P1" s="5" t="inlineStr">
        <is>
          <t>Week_Number</t>
        </is>
      </c>
      <c r="Q1" s="5" t="inlineStr">
        <is>
          <t>Year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2026-01-10T22:27:36Z</dcterms:created>
  <dcterms:modified xsi:type="dcterms:W3CDTF">2026-01-17T20:24:07Z</dcterms:modified>
  <cp:lastModifiedBy>new</cp:lastModifiedBy>
</cp:coreProperties>
</file>