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Daily Ops" sheetId="2" r:id="rId5"/>
    <sheet state="visible" name="Labor Log" sheetId="3" r:id="rId6"/>
    <sheet state="visible" name="Inventory &amp; COGS" sheetId="4" r:id="rId7"/>
    <sheet state="visible" name="Cash Control" sheetId="5" r:id="rId8"/>
    <sheet state="visible" name="Issues Log" sheetId="6" r:id="rId9"/>
    <sheet state="visible" name="Weekly Rollup" sheetId="7" r:id="rId10"/>
    <sheet state="visible" name="Monthly Rollup" sheetId="8" r:id="rId11"/>
    <sheet state="visible" name="Settings" sheetId="9" r:id="rId12"/>
  </sheets>
  <definedNames/>
  <calcPr/>
  <extLst>
    <ext uri="GoogleSheetsCustomDataVersion2">
      <go:sheetsCustomData xmlns:go="http://customooxmlschemas.google.com/" r:id="rId13" roundtripDataChecksum="jQW+Ty7w+gUFpT/G7KdaFDBfFXvz/ps3ct2hRiD768Y="/>
    </ext>
  </extLst>
</workbook>
</file>

<file path=xl/sharedStrings.xml><?xml version="1.0" encoding="utf-8"?>
<sst xmlns="http://schemas.openxmlformats.org/spreadsheetml/2006/main" count="159" uniqueCount="107">
  <si>
    <t>Daily + Rollup Dashboard</t>
  </si>
  <si>
    <t>Selected Date:</t>
  </si>
  <si>
    <t>(Change this date to view KPIs)</t>
  </si>
  <si>
    <t>Week Start:</t>
  </si>
  <si>
    <t>Month Start:</t>
  </si>
  <si>
    <t>Daily KPIs</t>
  </si>
  <si>
    <t>Metric</t>
  </si>
  <si>
    <t>Actual</t>
  </si>
  <si>
    <t>Target</t>
  </si>
  <si>
    <t>Status</t>
  </si>
  <si>
    <t>Net Sales ($)</t>
  </si>
  <si>
    <t>Food Sales ($)</t>
  </si>
  <si>
    <t>Alcohol Sales ($)</t>
  </si>
  <si>
    <t>Total Covers</t>
  </si>
  <si>
    <t>Avg Check ($)</t>
  </si>
  <si>
    <t>Food % of Net</t>
  </si>
  <si>
    <t>Alcohol % of Net</t>
  </si>
  <si>
    <t>Labor Cost ($)</t>
  </si>
  <si>
    <t>Labor %</t>
  </si>
  <si>
    <t>Food COGS ($)</t>
  </si>
  <si>
    <t>Food Cost %</t>
  </si>
  <si>
    <t>Liquor/Bev COGS ($)</t>
  </si>
  <si>
    <t>Liquor/Bev Cost %</t>
  </si>
  <si>
    <t>Prime Cost %</t>
  </si>
  <si>
    <t>WTD / MTD Summary</t>
  </si>
  <si>
    <t>Period</t>
  </si>
  <si>
    <t>Food %</t>
  </si>
  <si>
    <t>WTD</t>
  </si>
  <si>
    <t>MTD</t>
  </si>
  <si>
    <t>Date</t>
  </si>
  <si>
    <t>Day</t>
  </si>
  <si>
    <t>Opening Manager</t>
  </si>
  <si>
    <t>Closing Manager</t>
  </si>
  <si>
    <t>Notes</t>
  </si>
  <si>
    <t>Gross Sales ($)</t>
  </si>
  <si>
    <t>Discounts/Comps ($)</t>
  </si>
  <si>
    <t>Non-Alc Sales ($)</t>
  </si>
  <si>
    <t>Sales Tax ($)</t>
  </si>
  <si>
    <t>Total Collected ($)</t>
  </si>
  <si>
    <t>Cash ($)</t>
  </si>
  <si>
    <t>Card ($)</t>
  </si>
  <si>
    <t>Other Payments ($)</t>
  </si>
  <si>
    <t>Payments Total ($)</t>
  </si>
  <si>
    <t>Over/Short ($)</t>
  </si>
  <si>
    <t>Lunch Covers</t>
  </si>
  <si>
    <t>Dinner Covers</t>
  </si>
  <si>
    <t>Labor % of Net</t>
  </si>
  <si>
    <t>Bev COGS ($)</t>
  </si>
  <si>
    <t>Total COGS ($)</t>
  </si>
  <si>
    <t>Bev Cost %</t>
  </si>
  <si>
    <t>Prime Cost ($)</t>
  </si>
  <si>
    <t>Week Start</t>
  </si>
  <si>
    <t>Month End</t>
  </si>
  <si>
    <t>Month Key</t>
  </si>
  <si>
    <t>Employee</t>
  </si>
  <si>
    <t>Role (FOH/BOH)</t>
  </si>
  <si>
    <t>In Time</t>
  </si>
  <si>
    <t>Out Time</t>
  </si>
  <si>
    <t>Break (hrs)</t>
  </si>
  <si>
    <t>Hours</t>
  </si>
  <si>
    <t>Hourly Rate ($)</t>
  </si>
  <si>
    <t>Type (Food/Beverage)</t>
  </si>
  <si>
    <t>Category</t>
  </si>
  <si>
    <t>Item</t>
  </si>
  <si>
    <t>Vendor</t>
  </si>
  <si>
    <t>Qty Used</t>
  </si>
  <si>
    <t>Unit Cost ($)</t>
  </si>
  <si>
    <t>Cost Used ($)</t>
  </si>
  <si>
    <t>Opening Cash ($)</t>
  </si>
  <si>
    <t>Cash Sales ($)</t>
  </si>
  <si>
    <t>Paid Outs ($)</t>
  </si>
  <si>
    <t>Deposits ($)</t>
  </si>
  <si>
    <t>Closing Cash Count ($)</t>
  </si>
  <si>
    <t>Expected Closing ($)</t>
  </si>
  <si>
    <t>Issue Type</t>
  </si>
  <si>
    <t>Description</t>
  </si>
  <si>
    <t>Action Taken</t>
  </si>
  <si>
    <t>Responsible</t>
  </si>
  <si>
    <t>Resolved (Y/N)</t>
  </si>
  <si>
    <t>Week End</t>
  </si>
  <si>
    <t>Alcohol %</t>
  </si>
  <si>
    <t>Month</t>
  </si>
  <si>
    <t>Restaurant Ops Template — Settings</t>
  </si>
  <si>
    <t>Setting</t>
  </si>
  <si>
    <t>Value</t>
  </si>
  <si>
    <t>Model version</t>
  </si>
  <si>
    <t>v1.0 (Excel/Google Sheets compatible)</t>
  </si>
  <si>
    <t>Start Date (for rollups)</t>
  </si>
  <si>
    <t>Weekly Rollup starts here (one row per week).</t>
  </si>
  <si>
    <t>Start Month (first day)</t>
  </si>
  <si>
    <t>Monthly Rollup starts here (one row per month).</t>
  </si>
  <si>
    <t>Food sales mix target</t>
  </si>
  <si>
    <t>Target: 60% of Net Sales</t>
  </si>
  <si>
    <t>Alcohol sales mix target</t>
  </si>
  <si>
    <t>Target: 40% of Net Sales</t>
  </si>
  <si>
    <t>Mix tolerance (±)</t>
  </si>
  <si>
    <t>Dashboard flags mix as OFF if outside tolerance.</t>
  </si>
  <si>
    <t>Labor % target</t>
  </si>
  <si>
    <t>Target labor cost as % of Net Sales</t>
  </si>
  <si>
    <t>Food cost % target</t>
  </si>
  <si>
    <t>Target food cost as % of Food Sales</t>
  </si>
  <si>
    <t>Liquor/Bev cost % target</t>
  </si>
  <si>
    <t>Target liquor/beverage cost as % of Alcohol Sales</t>
  </si>
  <si>
    <t>Prime cost % target</t>
  </si>
  <si>
    <t>Prime cost target = Labor + Food COGS + Bev COGS as % of Net Sales (editable)</t>
  </si>
  <si>
    <t>Sales tax rate (optional)</t>
  </si>
  <si>
    <t>If you want, enter your tax rate and manually use it for Sales Tax.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</si>
</sst>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 d, yyyy"/>
    <numFmt numFmtId="165" formatCode="0.0%"/>
    <numFmt numFmtId="166" formatCode="ddd"/>
    <numFmt numFmtId="167" formatCode="yyyy-mm"/>
    <numFmt numFmtId="168" formatCode="$#,##0.00"/>
    <numFmt numFmtId="169" formatCode="mmm yyyy"/>
  </numFmts>
  <fonts count="9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color theme="1"/>
      <name val="Calibri"/>
      <scheme val="minor"/>
    </font>
    <font>
      <color rgb="FF1F4E79"/>
      <name val="Calibri"/>
      <scheme val="minor"/>
    </font>
    <font>
      <sz val="11.0"/>
      <color theme="1"/>
      <name val="Calibri"/>
    </font>
    <font>
      <color rgb="FF6A5ACD"/>
      <name val="Calibri"/>
      <scheme val="minor"/>
    </font>
    <font>
      <b/>
      <color rgb="FFFFFFFF"/>
      <name val="Calibri"/>
      <scheme val="minor"/>
    </font>
    <font/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</fills>
  <borders count="5">
    <border/>
    <border>
      <left style="thin">
        <color rgb="FF9E9E9E"/>
      </left>
      <top style="thin">
        <color rgb="FF9E9E9E"/>
      </top>
      <bottom style="thin">
        <color rgb="FF9E9E9E"/>
      </bottom>
    </border>
    <border>
      <top style="thin">
        <color rgb="FF9E9E9E"/>
      </top>
      <bottom style="thin">
        <color rgb="FF9E9E9E"/>
      </bottom>
    </border>
    <border>
      <right style="thin">
        <color rgb="FF9E9E9E"/>
      </right>
      <top style="thin">
        <color rgb="FF9E9E9E"/>
      </top>
      <bottom style="thin">
        <color rgb="FF9E9E9E"/>
      </bottom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Font="1"/>
    <xf borderId="0" fillId="0" fontId="3" numFmtId="164" xfId="0" applyFont="1" applyNumberFormat="1"/>
    <xf borderId="0" fillId="0" fontId="4" numFmtId="0" xfId="0" applyAlignment="1" applyFont="1">
      <alignment horizontal="left" shrinkToFit="0" vertical="center" wrapText="1"/>
    </xf>
    <xf borderId="0" fillId="0" fontId="5" numFmtId="164" xfId="0" applyFont="1" applyNumberFormat="1"/>
    <xf borderId="1" fillId="2" fontId="6" numFmtId="0" xfId="0" applyAlignment="1" applyBorder="1" applyFill="1" applyFont="1">
      <alignment horizontal="left" shrinkToFit="0" vertical="center" wrapText="1"/>
    </xf>
    <xf borderId="2" fillId="0" fontId="7" numFmtId="0" xfId="0" applyBorder="1" applyFont="1"/>
    <xf borderId="3" fillId="0" fontId="7" numFmtId="0" xfId="0" applyBorder="1" applyFont="1"/>
    <xf borderId="4" fillId="3" fontId="2" numFmtId="0" xfId="0" applyAlignment="1" applyBorder="1" applyFill="1" applyFont="1">
      <alignment horizontal="center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4" fillId="0" fontId="4" numFmtId="8" xfId="0" applyAlignment="1" applyBorder="1" applyFont="1" applyNumberFormat="1">
      <alignment horizontal="right" shrinkToFit="0" vertical="center" wrapText="1"/>
    </xf>
    <xf borderId="4" fillId="0" fontId="4" numFmtId="0" xfId="0" applyAlignment="1" applyBorder="1" applyFont="1">
      <alignment horizontal="right" shrinkToFit="0" vertical="center" wrapText="1"/>
    </xf>
    <xf borderId="4" fillId="0" fontId="4" numFmtId="1" xfId="0" applyAlignment="1" applyBorder="1" applyFont="1" applyNumberFormat="1">
      <alignment horizontal="right" shrinkToFit="0" vertical="center" wrapText="1"/>
    </xf>
    <xf borderId="4" fillId="0" fontId="4" numFmtId="165" xfId="0" applyAlignment="1" applyBorder="1" applyFont="1" applyNumberFormat="1">
      <alignment horizontal="right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0" fillId="0" fontId="4" numFmtId="166" xfId="0" applyFont="1" applyNumberFormat="1"/>
    <xf borderId="0" fillId="0" fontId="3" numFmtId="0" xfId="0" applyFont="1"/>
    <xf borderId="0" fillId="0" fontId="3" numFmtId="8" xfId="0" applyFont="1" applyNumberFormat="1"/>
    <xf borderId="0" fillId="0" fontId="4" numFmtId="8" xfId="0" applyFont="1" applyNumberFormat="1"/>
    <xf borderId="0" fillId="0" fontId="3" numFmtId="1" xfId="0" applyFont="1" applyNumberFormat="1"/>
    <xf borderId="0" fillId="0" fontId="4" numFmtId="1" xfId="0" applyFont="1" applyNumberFormat="1"/>
    <xf borderId="0" fillId="0" fontId="4" numFmtId="165" xfId="0" applyFont="1" applyNumberFormat="1"/>
    <xf borderId="0" fillId="0" fontId="4" numFmtId="164" xfId="0" applyFont="1" applyNumberFormat="1"/>
    <xf borderId="0" fillId="0" fontId="4" numFmtId="167" xfId="0" applyFont="1" applyNumberFormat="1"/>
    <xf borderId="0" fillId="0" fontId="3" numFmtId="18" xfId="0" applyFont="1" applyNumberFormat="1"/>
    <xf borderId="0" fillId="0" fontId="3" numFmtId="2" xfId="0" applyFont="1" applyNumberFormat="1"/>
    <xf borderId="0" fillId="0" fontId="4" numFmtId="2" xfId="0" applyAlignment="1" applyFont="1" applyNumberFormat="1">
      <alignment readingOrder="0"/>
    </xf>
    <xf borderId="0" fillId="0" fontId="3" numFmtId="168" xfId="0" applyFont="1" applyNumberFormat="1"/>
    <xf borderId="0" fillId="0" fontId="4" numFmtId="2" xfId="0" applyFont="1" applyNumberFormat="1"/>
    <xf borderId="0" fillId="0" fontId="4" numFmtId="169" xfId="0" applyFont="1" applyNumberFormat="1"/>
    <xf borderId="0" fillId="0" fontId="8" numFmtId="0" xfId="0" applyFont="1"/>
    <xf borderId="4" fillId="0" fontId="3" numFmtId="0" xfId="0" applyAlignment="1" applyBorder="1" applyFont="1">
      <alignment horizontal="left" shrinkToFit="0" vertical="center" wrapText="1"/>
    </xf>
    <xf borderId="4" fillId="0" fontId="3" numFmtId="164" xfId="0" applyAlignment="1" applyBorder="1" applyFont="1" applyNumberFormat="1">
      <alignment horizontal="left" shrinkToFit="0" vertical="center" wrapText="1"/>
    </xf>
    <xf borderId="4" fillId="0" fontId="3" numFmtId="165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2"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4" width="12.0"/>
    <col customWidth="1" min="5" max="5" width="2.0"/>
    <col customWidth="1" min="6" max="6" width="14.0"/>
    <col customWidth="1" min="7" max="7" width="16.0"/>
    <col customWidth="1" min="8" max="26" width="8.71"/>
  </cols>
  <sheetData>
    <row r="1">
      <c r="A1" s="1" t="s">
        <v>0</v>
      </c>
    </row>
    <row r="3">
      <c r="A3" s="2" t="s">
        <v>1</v>
      </c>
      <c r="B3" s="3">
        <v>46029.0</v>
      </c>
      <c r="C3" s="4" t="s">
        <v>2</v>
      </c>
      <c r="F3" s="2" t="s">
        <v>3</v>
      </c>
      <c r="G3" s="5">
        <f>IF($B$3="","",$B$3-WEEKDAY($B$3,2)+1)</f>
        <v>46027</v>
      </c>
    </row>
    <row r="4">
      <c r="F4" s="2" t="s">
        <v>4</v>
      </c>
      <c r="G4" s="5">
        <f>IF($B$3="","",EOMONTH($B$3,-1)+1)</f>
        <v>46023</v>
      </c>
    </row>
    <row r="5">
      <c r="A5" s="6" t="s">
        <v>5</v>
      </c>
      <c r="B5" s="7"/>
      <c r="C5" s="7"/>
      <c r="D5" s="8"/>
    </row>
    <row r="6">
      <c r="A6" s="9" t="s">
        <v>6</v>
      </c>
      <c r="B6" s="9" t="s">
        <v>7</v>
      </c>
      <c r="C6" s="9" t="s">
        <v>8</v>
      </c>
      <c r="D6" s="9" t="s">
        <v>9</v>
      </c>
    </row>
    <row r="7">
      <c r="A7" s="10" t="s">
        <v>10</v>
      </c>
      <c r="B7" s="11">
        <f>SUMIFS('Daily Ops'!$H$2:$H$401,'Daily Ops'!$A$2:$A$401,$B$3)</f>
        <v>0</v>
      </c>
      <c r="C7" s="12"/>
      <c r="D7" s="12"/>
    </row>
    <row r="8">
      <c r="A8" s="10" t="s">
        <v>11</v>
      </c>
      <c r="B8" s="11">
        <f>SUMIFS('Daily Ops'!$I$2:$I$401,'Daily Ops'!$A$2:$A$401,$B$3)</f>
        <v>0</v>
      </c>
      <c r="C8" s="12"/>
      <c r="D8" s="12"/>
    </row>
    <row r="9">
      <c r="A9" s="10" t="s">
        <v>12</v>
      </c>
      <c r="B9" s="11">
        <f>SUMIFS('Daily Ops'!$J$2:$J$401,'Daily Ops'!$A$2:$A$401,$B$3)</f>
        <v>0</v>
      </c>
      <c r="C9" s="12"/>
      <c r="D9" s="12"/>
    </row>
    <row r="10">
      <c r="A10" s="10" t="s">
        <v>13</v>
      </c>
      <c r="B10" s="13">
        <f>SUMIFS('Daily Ops'!$U$2:$U$401,'Daily Ops'!$A$2:$A$401,$B$3)</f>
        <v>0</v>
      </c>
      <c r="C10" s="12"/>
      <c r="D10" s="12"/>
    </row>
    <row r="11">
      <c r="A11" s="10" t="s">
        <v>14</v>
      </c>
      <c r="B11" s="11" t="str">
        <f>IF(N(B10)=0,"",N(B7)/N(B10))</f>
        <v/>
      </c>
      <c r="C11" s="12"/>
      <c r="D11" s="12"/>
    </row>
    <row r="12">
      <c r="A12" s="10" t="s">
        <v>15</v>
      </c>
      <c r="B12" s="14" t="str">
        <f>IF(N(B7)=0,"",N(B8)/N(B7))</f>
        <v/>
      </c>
      <c r="C12" s="14">
        <f>Settings!$B$7</f>
        <v>0.6</v>
      </c>
      <c r="D12" s="15" t="str">
        <f>IF(C12="","",IF(ABS(N(B12)-N(C12))&lt;=Settings!$B$9,"OK","OFF"))</f>
        <v>OFF</v>
      </c>
    </row>
    <row r="13">
      <c r="A13" s="10" t="s">
        <v>16</v>
      </c>
      <c r="B13" s="14" t="str">
        <f>IF(N(B7)=0,"",N(B9)/N(B7))</f>
        <v/>
      </c>
      <c r="C13" s="14">
        <f>Settings!$B$8</f>
        <v>0.4</v>
      </c>
      <c r="D13" s="15" t="str">
        <f>IF(C13="","",IF(ABS(N(B13)-N(C13))&lt;=Settings!$B$9,"OK","OFF"))</f>
        <v>OFF</v>
      </c>
    </row>
    <row r="14">
      <c r="A14" s="10" t="s">
        <v>17</v>
      </c>
      <c r="B14" s="11">
        <f>SUMIFS('Daily Ops'!$Y$2:$Y$401,'Daily Ops'!$A$2:$A$401,$B$3)</f>
        <v>0</v>
      </c>
      <c r="C14" s="12"/>
      <c r="D14" s="12"/>
    </row>
    <row r="15">
      <c r="A15" s="10" t="s">
        <v>18</v>
      </c>
      <c r="B15" s="14" t="str">
        <f>IF(N(B7)=0,"",N(B14)/N(B7))</f>
        <v/>
      </c>
      <c r="C15" s="14">
        <f>Settings!$B$10</f>
        <v>0.25</v>
      </c>
      <c r="D15" s="15" t="str">
        <f>IF(C15="","",IF(N(B15)&lt;=N(C15),"OK","HIGH"))</f>
        <v>OK</v>
      </c>
    </row>
    <row r="16">
      <c r="A16" s="10" t="s">
        <v>19</v>
      </c>
      <c r="B16" s="11">
        <f>SUMIFS('Daily Ops'!$AA$2:$AA$401,'Daily Ops'!$A$2:$A$401,$B$3)</f>
        <v>0</v>
      </c>
      <c r="C16" s="12"/>
      <c r="D16" s="12"/>
    </row>
    <row r="17">
      <c r="A17" s="10" t="s">
        <v>20</v>
      </c>
      <c r="B17" s="14" t="str">
        <f>IF(N(B8)=0,"",N(B16)/N(B8))</f>
        <v/>
      </c>
      <c r="C17" s="14">
        <f>Settings!$B$11</f>
        <v>0.2</v>
      </c>
      <c r="D17" s="15" t="str">
        <f>IF(C17="","",IF(N(B17)&lt;=N(C17),"OK","HIGH"))</f>
        <v>OK</v>
      </c>
    </row>
    <row r="18">
      <c r="A18" s="10" t="s">
        <v>21</v>
      </c>
      <c r="B18" s="11">
        <f>SUMIFS('Daily Ops'!$AB$2:$AB$401,'Daily Ops'!$A$2:$A$401,$B$3)</f>
        <v>0</v>
      </c>
      <c r="C18" s="12"/>
      <c r="D18" s="12"/>
    </row>
    <row r="19">
      <c r="A19" s="10" t="s">
        <v>22</v>
      </c>
      <c r="B19" s="14" t="str">
        <f>IF(N(B9)=0,"",N(B18)/N(B9))</f>
        <v/>
      </c>
      <c r="C19" s="14">
        <f>Settings!$B$12</f>
        <v>0.15</v>
      </c>
      <c r="D19" s="15" t="str">
        <f t="shared" ref="D19:D20" si="1">IF(C19="","",IF(N(B19)&lt;=N(C19),"OK","HIGH"))</f>
        <v>OK</v>
      </c>
    </row>
    <row r="20">
      <c r="A20" s="10" t="s">
        <v>23</v>
      </c>
      <c r="B20" s="14" t="str">
        <f>IF(N(B7)=0,"",(N(B14)+N(B16)+N(B18))/N(B7))</f>
        <v/>
      </c>
      <c r="C20" s="14">
        <f>Settings!$B$13</f>
        <v>0.45</v>
      </c>
      <c r="D20" s="15" t="str">
        <f t="shared" si="1"/>
        <v>OK</v>
      </c>
    </row>
    <row r="21" ht="15.75" customHeight="1"/>
    <row r="22" ht="15.75" customHeight="1">
      <c r="A22" s="6" t="s">
        <v>24</v>
      </c>
      <c r="B22" s="7"/>
      <c r="C22" s="7"/>
      <c r="D22" s="8"/>
    </row>
    <row r="23" ht="15.75" customHeight="1">
      <c r="A23" s="9" t="s">
        <v>25</v>
      </c>
      <c r="B23" s="9" t="s">
        <v>10</v>
      </c>
      <c r="C23" s="9" t="s">
        <v>26</v>
      </c>
      <c r="D23" s="9" t="s">
        <v>18</v>
      </c>
    </row>
    <row r="24" ht="15.75" customHeight="1">
      <c r="A24" s="16" t="s">
        <v>27</v>
      </c>
      <c r="B24" s="11">
        <f>IF($B$3="","",SUMIFS('Daily Ops'!$H$2:$H$401,'Daily Ops'!$A$2:$A$401,"&gt;="&amp;$G$3,'Daily Ops'!$A$2:$A$401,"&lt;="&amp;$B$3))</f>
        <v>0</v>
      </c>
      <c r="C24" s="14" t="str">
        <f>IF(N(B24)=0,"",SUMIFS('Daily Ops'!$I$2:$I$401,'Daily Ops'!$A$2:$A$401,"&gt;="&amp;$G$3,'Daily Ops'!$A$2:$A$401,"&lt;="&amp;$B$3)/N(B24))</f>
        <v/>
      </c>
      <c r="D24" s="14" t="str">
        <f>IF(N(B24)=0,"",SUMIFS('Daily Ops'!$Y$2:$Y$401,'Daily Ops'!$A$2:$A$401,"&gt;="&amp;$G$3,'Daily Ops'!$A$2:$A$401,"&lt;="&amp;$B$3)/N(B24))</f>
        <v/>
      </c>
    </row>
    <row r="25" ht="15.75" customHeight="1">
      <c r="A25" s="16" t="s">
        <v>28</v>
      </c>
      <c r="B25" s="11">
        <f>IF($B$3="","",SUMIFS('Daily Ops'!$H$2:$H$401,'Daily Ops'!$A$2:$A$401,"&gt;="&amp;$G$4,'Daily Ops'!$A$2:$A$401,"&lt;="&amp;$B$3))</f>
        <v>0</v>
      </c>
      <c r="C25" s="14" t="str">
        <f>IF(N(B25)=0,"",SUMIFS('Daily Ops'!$I$2:$I$401,'Daily Ops'!$A$2:$A$401,"&gt;="&amp;$G$4,'Daily Ops'!$A$2:$A$401,"&lt;="&amp;$B$3)/N(B25))</f>
        <v/>
      </c>
      <c r="D25" s="14" t="str">
        <f>IF(N(B25)=0,"",SUMIFS('Daily Ops'!$Y$2:$Y$401,'Daily Ops'!$A$2:$A$401,"&gt;="&amp;$G$4,'Daily Ops'!$A$2:$A$401,"&lt;="&amp;$B$3)/N(B25))</f>
        <v/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5:D5"/>
    <mergeCell ref="A22:D22"/>
  </mergeCells>
  <conditionalFormatting sqref="D12:D20">
    <cfRule type="expression" dxfId="0" priority="1">
      <formula>D12="OK"</formula>
    </cfRule>
  </conditionalFormatting>
  <conditionalFormatting sqref="D12:D20">
    <cfRule type="expression" dxfId="1" priority="2">
      <formula>D12&lt;&gt;"OK"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8.0"/>
    <col customWidth="1" min="3" max="4" width="18.0"/>
    <col customWidth="1" min="5" max="5" width="24.0"/>
    <col customWidth="1" min="6" max="6" width="14.0"/>
    <col customWidth="1" min="7" max="7" width="18.0"/>
    <col customWidth="1" min="8" max="9" width="14.0"/>
    <col customWidth="1" min="10" max="11" width="16.0"/>
    <col customWidth="1" min="12" max="12" width="12.0"/>
    <col customWidth="1" min="13" max="13" width="16.0"/>
    <col customWidth="1" min="14" max="15" width="12.0"/>
    <col customWidth="1" min="16" max="16" width="16.0"/>
    <col customWidth="1" min="17" max="17" width="18.0"/>
    <col customWidth="1" min="18" max="18" width="14.0"/>
    <col customWidth="1" min="19" max="23" width="12.0"/>
    <col customWidth="1" min="24" max="25" width="14.0"/>
    <col customWidth="1" min="26" max="26" width="12.0"/>
    <col customWidth="1" min="27" max="29" width="14.0"/>
    <col customWidth="1" min="30" max="31" width="12.0"/>
    <col customWidth="1" min="32" max="32" width="14.0"/>
    <col customWidth="1" min="33" max="36" width="12.0"/>
  </cols>
  <sheetData>
    <row r="1">
      <c r="A1" s="17" t="s">
        <v>29</v>
      </c>
      <c r="B1" s="17" t="s">
        <v>30</v>
      </c>
      <c r="C1" s="17" t="s">
        <v>31</v>
      </c>
      <c r="D1" s="17" t="s">
        <v>32</v>
      </c>
      <c r="E1" s="17" t="s">
        <v>33</v>
      </c>
      <c r="F1" s="17" t="s">
        <v>34</v>
      </c>
      <c r="G1" s="17" t="s">
        <v>35</v>
      </c>
      <c r="H1" s="17" t="s">
        <v>10</v>
      </c>
      <c r="I1" s="17" t="s">
        <v>11</v>
      </c>
      <c r="J1" s="17" t="s">
        <v>12</v>
      </c>
      <c r="K1" s="17" t="s">
        <v>36</v>
      </c>
      <c r="L1" s="17" t="s">
        <v>37</v>
      </c>
      <c r="M1" s="17" t="s">
        <v>38</v>
      </c>
      <c r="N1" s="17" t="s">
        <v>39</v>
      </c>
      <c r="O1" s="17" t="s">
        <v>40</v>
      </c>
      <c r="P1" s="17" t="s">
        <v>41</v>
      </c>
      <c r="Q1" s="17" t="s">
        <v>42</v>
      </c>
      <c r="R1" s="17" t="s">
        <v>43</v>
      </c>
      <c r="S1" s="17" t="s">
        <v>44</v>
      </c>
      <c r="T1" s="17" t="s">
        <v>45</v>
      </c>
      <c r="U1" s="17" t="s">
        <v>13</v>
      </c>
      <c r="V1" s="17" t="s">
        <v>14</v>
      </c>
      <c r="W1" s="17" t="s">
        <v>15</v>
      </c>
      <c r="X1" s="17" t="s">
        <v>16</v>
      </c>
      <c r="Y1" s="17" t="s">
        <v>17</v>
      </c>
      <c r="Z1" s="17" t="s">
        <v>46</v>
      </c>
      <c r="AA1" s="17" t="s">
        <v>19</v>
      </c>
      <c r="AB1" s="17" t="s">
        <v>47</v>
      </c>
      <c r="AC1" s="17" t="s">
        <v>48</v>
      </c>
      <c r="AD1" s="17" t="s">
        <v>20</v>
      </c>
      <c r="AE1" s="17" t="s">
        <v>49</v>
      </c>
      <c r="AF1" s="17" t="s">
        <v>50</v>
      </c>
      <c r="AG1" s="17" t="s">
        <v>23</v>
      </c>
      <c r="AH1" s="17" t="s">
        <v>51</v>
      </c>
      <c r="AI1" s="17" t="s">
        <v>52</v>
      </c>
      <c r="AJ1" s="17" t="s">
        <v>53</v>
      </c>
    </row>
    <row r="2">
      <c r="A2" s="3"/>
      <c r="B2" s="18" t="str">
        <f t="shared" ref="B2:B401" si="2">IF(A2="","",TEXT(A2,"ddd"))</f>
        <v/>
      </c>
      <c r="C2" s="19"/>
      <c r="D2" s="19"/>
      <c r="E2" s="19"/>
      <c r="F2" s="20"/>
      <c r="G2" s="20"/>
      <c r="H2" s="21" t="str">
        <f t="shared" ref="H2:H401" si="3">IF(F2="","",F2-G2)</f>
        <v/>
      </c>
      <c r="I2" s="20"/>
      <c r="J2" s="20"/>
      <c r="K2" s="20"/>
      <c r="L2" s="20"/>
      <c r="M2" s="21" t="str">
        <f t="shared" ref="M2:M401" si="4">IF(H2="","",H2+L2)</f>
        <v/>
      </c>
      <c r="N2" s="20"/>
      <c r="O2" s="20"/>
      <c r="P2" s="20"/>
      <c r="Q2" s="21" t="str">
        <f t="shared" ref="Q2:Q401" si="5">IF(A2="","",SUM(N2:P2))</f>
        <v/>
      </c>
      <c r="R2" s="21" t="str">
        <f t="shared" ref="R2:R401" si="6">IF(A2="","",Q2-M2)</f>
        <v/>
      </c>
      <c r="S2" s="22"/>
      <c r="T2" s="22"/>
      <c r="U2" s="23" t="str">
        <f t="shared" ref="U2:U401" si="7">IF(A2="","",SUM(S2:T2))</f>
        <v/>
      </c>
      <c r="V2" s="21" t="str">
        <f t="shared" ref="V2:V401" si="8">IF(U2=0,"",H2/U2)</f>
        <v>#DIV/0!</v>
      </c>
      <c r="W2" s="24" t="str">
        <f t="shared" ref="W2:W401" si="9">IF(H2=0,"",I2/H2)</f>
        <v>#DIV/0!</v>
      </c>
      <c r="X2" s="24" t="str">
        <f t="shared" ref="X2:X401" si="10">IF(H2=0,"",J2/H2)</f>
        <v>#DIV/0!</v>
      </c>
      <c r="Y2" s="21" t="str">
        <f>IF(A2="","",SUMIFS('Labor Log'!$I$2:$I$2001,'Labor Log'!$A$2:$A$2001,A2))</f>
        <v/>
      </c>
      <c r="Z2" s="24" t="str">
        <f t="shared" ref="Z2:Z401" si="11">IF(H2=0,"",Y2/H2)</f>
        <v>#DIV/0!</v>
      </c>
      <c r="AA2" s="21" t="str">
        <f>IF(A2="","",SUMIFS('Inventory &amp; COGS'!$H$2:$H$2001,'Inventory &amp; COGS'!$A$2:$A$2001,A2,'Inventory &amp; COGS'!$B$2:$B$2001,"Food"))</f>
        <v/>
      </c>
      <c r="AB2" s="21" t="str">
        <f>IF(A2="","",SUMIFS('Inventory &amp; COGS'!$H$2:$H$2001,'Inventory &amp; COGS'!$A$2:$A$2001,A2,'Inventory &amp; COGS'!$B$2:$B$2001,"Beverage"))</f>
        <v/>
      </c>
      <c r="AC2" s="21" t="str">
        <f t="shared" ref="AC2:AC401" si="12">IF(A2="","",AA2+AB2)</f>
        <v/>
      </c>
      <c r="AD2" s="24" t="str">
        <f t="shared" ref="AD2:AE2" si="1">IF(I2=0,"",AA2/I2)</f>
        <v/>
      </c>
      <c r="AE2" s="24" t="str">
        <f t="shared" si="1"/>
        <v/>
      </c>
      <c r="AF2" s="21" t="str">
        <f t="shared" ref="AF2:AF401" si="14">IF(A2="","",Y2+AC2)</f>
        <v/>
      </c>
      <c r="AG2" s="24" t="str">
        <f t="shared" ref="AG2:AG401" si="15">IF(H2=0,"",AF2/H2)</f>
        <v>#DIV/0!</v>
      </c>
      <c r="AH2" s="25" t="str">
        <f t="shared" ref="AH2:AH401" si="16">IF(A2="","",A2-WEEKDAY(A2,2)+1)</f>
        <v/>
      </c>
      <c r="AI2" s="25" t="str">
        <f t="shared" ref="AI2:AI401" si="17">IF(A2="","",EOMONTH(A2,0))</f>
        <v/>
      </c>
      <c r="AJ2" s="26" t="str">
        <f t="shared" ref="AJ2:AJ401" si="18">IF(A2="","",TEXT(A2,"yyyy-mm"))</f>
        <v/>
      </c>
    </row>
    <row r="3">
      <c r="A3" s="3"/>
      <c r="B3" s="18" t="str">
        <f t="shared" si="2"/>
        <v/>
      </c>
      <c r="C3" s="19"/>
      <c r="D3" s="19"/>
      <c r="E3" s="19"/>
      <c r="F3" s="20"/>
      <c r="G3" s="20"/>
      <c r="H3" s="21" t="str">
        <f t="shared" si="3"/>
        <v/>
      </c>
      <c r="I3" s="20"/>
      <c r="J3" s="20"/>
      <c r="K3" s="20"/>
      <c r="L3" s="20"/>
      <c r="M3" s="21" t="str">
        <f t="shared" si="4"/>
        <v/>
      </c>
      <c r="N3" s="20"/>
      <c r="O3" s="20"/>
      <c r="P3" s="20"/>
      <c r="Q3" s="21" t="str">
        <f t="shared" si="5"/>
        <v/>
      </c>
      <c r="R3" s="21" t="str">
        <f t="shared" si="6"/>
        <v/>
      </c>
      <c r="S3" s="22"/>
      <c r="T3" s="22"/>
      <c r="U3" s="23" t="str">
        <f t="shared" si="7"/>
        <v/>
      </c>
      <c r="V3" s="21" t="str">
        <f t="shared" si="8"/>
        <v>#DIV/0!</v>
      </c>
      <c r="W3" s="24" t="str">
        <f t="shared" si="9"/>
        <v>#DIV/0!</v>
      </c>
      <c r="X3" s="24" t="str">
        <f t="shared" si="10"/>
        <v>#DIV/0!</v>
      </c>
      <c r="Y3" s="21" t="str">
        <f>IF(A3="","",SUMIFS('Labor Log'!$I$2:$I$2001,'Labor Log'!$A$2:$A$2001,A3))</f>
        <v/>
      </c>
      <c r="Z3" s="24" t="str">
        <f t="shared" si="11"/>
        <v>#DIV/0!</v>
      </c>
      <c r="AA3" s="21" t="str">
        <f>IF(A3="","",SUMIFS('Inventory &amp; COGS'!$H$2:$H$2001,'Inventory &amp; COGS'!$A$2:$A$2001,A3,'Inventory &amp; COGS'!$B$2:$B$2001,"Food"))</f>
        <v/>
      </c>
      <c r="AB3" s="21" t="str">
        <f>IF(A3="","",SUMIFS('Inventory &amp; COGS'!$H$2:$H$2001,'Inventory &amp; COGS'!$A$2:$A$2001,A3,'Inventory &amp; COGS'!$B$2:$B$2001,"Beverage"))</f>
        <v/>
      </c>
      <c r="AC3" s="21" t="str">
        <f t="shared" si="12"/>
        <v/>
      </c>
      <c r="AD3" s="24" t="str">
        <f t="shared" ref="AD3:AE3" si="13">IF(I3=0,"",AA3/I3)</f>
        <v/>
      </c>
      <c r="AE3" s="24" t="str">
        <f t="shared" si="13"/>
        <v/>
      </c>
      <c r="AF3" s="21" t="str">
        <f t="shared" si="14"/>
        <v/>
      </c>
      <c r="AG3" s="24" t="str">
        <f t="shared" si="15"/>
        <v>#DIV/0!</v>
      </c>
      <c r="AH3" s="25" t="str">
        <f t="shared" si="16"/>
        <v/>
      </c>
      <c r="AI3" s="25" t="str">
        <f t="shared" si="17"/>
        <v/>
      </c>
      <c r="AJ3" s="26" t="str">
        <f t="shared" si="18"/>
        <v/>
      </c>
    </row>
    <row r="4">
      <c r="A4" s="3"/>
      <c r="B4" s="18" t="str">
        <f t="shared" si="2"/>
        <v/>
      </c>
      <c r="C4" s="19"/>
      <c r="D4" s="19"/>
      <c r="E4" s="19"/>
      <c r="F4" s="20"/>
      <c r="G4" s="20"/>
      <c r="H4" s="21" t="str">
        <f t="shared" si="3"/>
        <v/>
      </c>
      <c r="I4" s="20"/>
      <c r="J4" s="20"/>
      <c r="K4" s="20"/>
      <c r="L4" s="20"/>
      <c r="M4" s="21" t="str">
        <f t="shared" si="4"/>
        <v/>
      </c>
      <c r="N4" s="20"/>
      <c r="O4" s="20"/>
      <c r="P4" s="20"/>
      <c r="Q4" s="21" t="str">
        <f t="shared" si="5"/>
        <v/>
      </c>
      <c r="R4" s="21" t="str">
        <f t="shared" si="6"/>
        <v/>
      </c>
      <c r="S4" s="22"/>
      <c r="T4" s="22"/>
      <c r="U4" s="23" t="str">
        <f t="shared" si="7"/>
        <v/>
      </c>
      <c r="V4" s="21" t="str">
        <f t="shared" si="8"/>
        <v>#DIV/0!</v>
      </c>
      <c r="W4" s="24" t="str">
        <f t="shared" si="9"/>
        <v>#DIV/0!</v>
      </c>
      <c r="X4" s="24" t="str">
        <f t="shared" si="10"/>
        <v>#DIV/0!</v>
      </c>
      <c r="Y4" s="21" t="str">
        <f>IF(A4="","",SUMIFS('Labor Log'!$I$2:$I$2001,'Labor Log'!$A$2:$A$2001,A4))</f>
        <v/>
      </c>
      <c r="Z4" s="24" t="str">
        <f t="shared" si="11"/>
        <v>#DIV/0!</v>
      </c>
      <c r="AA4" s="21" t="str">
        <f>IF(A4="","",SUMIFS('Inventory &amp; COGS'!$H$2:$H$2001,'Inventory &amp; COGS'!$A$2:$A$2001,A4,'Inventory &amp; COGS'!$B$2:$B$2001,"Food"))</f>
        <v/>
      </c>
      <c r="AB4" s="21" t="str">
        <f>IF(A4="","",SUMIFS('Inventory &amp; COGS'!$H$2:$H$2001,'Inventory &amp; COGS'!$A$2:$A$2001,A4,'Inventory &amp; COGS'!$B$2:$B$2001,"Beverage"))</f>
        <v/>
      </c>
      <c r="AC4" s="21" t="str">
        <f t="shared" si="12"/>
        <v/>
      </c>
      <c r="AD4" s="24" t="str">
        <f t="shared" ref="AD4:AE4" si="19">IF(I4=0,"",AA4/I4)</f>
        <v/>
      </c>
      <c r="AE4" s="24" t="str">
        <f t="shared" si="19"/>
        <v/>
      </c>
      <c r="AF4" s="21" t="str">
        <f t="shared" si="14"/>
        <v/>
      </c>
      <c r="AG4" s="24" t="str">
        <f t="shared" si="15"/>
        <v>#DIV/0!</v>
      </c>
      <c r="AH4" s="25" t="str">
        <f t="shared" si="16"/>
        <v/>
      </c>
      <c r="AI4" s="25" t="str">
        <f t="shared" si="17"/>
        <v/>
      </c>
      <c r="AJ4" s="26" t="str">
        <f t="shared" si="18"/>
        <v/>
      </c>
    </row>
    <row r="5">
      <c r="A5" s="3"/>
      <c r="B5" s="18" t="str">
        <f t="shared" si="2"/>
        <v/>
      </c>
      <c r="C5" s="19"/>
      <c r="D5" s="19"/>
      <c r="E5" s="19"/>
      <c r="F5" s="20"/>
      <c r="G5" s="20"/>
      <c r="H5" s="21" t="str">
        <f t="shared" si="3"/>
        <v/>
      </c>
      <c r="I5" s="20"/>
      <c r="J5" s="20"/>
      <c r="K5" s="20"/>
      <c r="L5" s="20"/>
      <c r="M5" s="21" t="str">
        <f t="shared" si="4"/>
        <v/>
      </c>
      <c r="N5" s="20"/>
      <c r="O5" s="20"/>
      <c r="P5" s="20"/>
      <c r="Q5" s="21" t="str">
        <f t="shared" si="5"/>
        <v/>
      </c>
      <c r="R5" s="21" t="str">
        <f t="shared" si="6"/>
        <v/>
      </c>
      <c r="S5" s="22"/>
      <c r="T5" s="22"/>
      <c r="U5" s="23" t="str">
        <f t="shared" si="7"/>
        <v/>
      </c>
      <c r="V5" s="21" t="str">
        <f t="shared" si="8"/>
        <v>#DIV/0!</v>
      </c>
      <c r="W5" s="24" t="str">
        <f t="shared" si="9"/>
        <v>#DIV/0!</v>
      </c>
      <c r="X5" s="24" t="str">
        <f t="shared" si="10"/>
        <v>#DIV/0!</v>
      </c>
      <c r="Y5" s="21" t="str">
        <f>IF(A5="","",SUMIFS('Labor Log'!$I$2:$I$2001,'Labor Log'!$A$2:$A$2001,A5))</f>
        <v/>
      </c>
      <c r="Z5" s="24" t="str">
        <f t="shared" si="11"/>
        <v>#DIV/0!</v>
      </c>
      <c r="AA5" s="21" t="str">
        <f>IF(A5="","",SUMIFS('Inventory &amp; COGS'!$H$2:$H$2001,'Inventory &amp; COGS'!$A$2:$A$2001,A5,'Inventory &amp; COGS'!$B$2:$B$2001,"Food"))</f>
        <v/>
      </c>
      <c r="AB5" s="21" t="str">
        <f>IF(A5="","",SUMIFS('Inventory &amp; COGS'!$H$2:$H$2001,'Inventory &amp; COGS'!$A$2:$A$2001,A5,'Inventory &amp; COGS'!$B$2:$B$2001,"Beverage"))</f>
        <v/>
      </c>
      <c r="AC5" s="21" t="str">
        <f t="shared" si="12"/>
        <v/>
      </c>
      <c r="AD5" s="24" t="str">
        <f t="shared" ref="AD5:AE5" si="20">IF(I5=0,"",AA5/I5)</f>
        <v/>
      </c>
      <c r="AE5" s="24" t="str">
        <f t="shared" si="20"/>
        <v/>
      </c>
      <c r="AF5" s="21" t="str">
        <f t="shared" si="14"/>
        <v/>
      </c>
      <c r="AG5" s="24" t="str">
        <f t="shared" si="15"/>
        <v>#DIV/0!</v>
      </c>
      <c r="AH5" s="25" t="str">
        <f t="shared" si="16"/>
        <v/>
      </c>
      <c r="AI5" s="25" t="str">
        <f t="shared" si="17"/>
        <v/>
      </c>
      <c r="AJ5" s="26" t="str">
        <f t="shared" si="18"/>
        <v/>
      </c>
    </row>
    <row r="6">
      <c r="A6" s="3"/>
      <c r="B6" s="18" t="str">
        <f t="shared" si="2"/>
        <v/>
      </c>
      <c r="C6" s="19"/>
      <c r="D6" s="19"/>
      <c r="E6" s="19"/>
      <c r="F6" s="20"/>
      <c r="G6" s="20"/>
      <c r="H6" s="21" t="str">
        <f t="shared" si="3"/>
        <v/>
      </c>
      <c r="I6" s="20"/>
      <c r="J6" s="20"/>
      <c r="K6" s="20"/>
      <c r="L6" s="20"/>
      <c r="M6" s="21" t="str">
        <f t="shared" si="4"/>
        <v/>
      </c>
      <c r="N6" s="20"/>
      <c r="O6" s="20"/>
      <c r="P6" s="20"/>
      <c r="Q6" s="21" t="str">
        <f t="shared" si="5"/>
        <v/>
      </c>
      <c r="R6" s="21" t="str">
        <f t="shared" si="6"/>
        <v/>
      </c>
      <c r="S6" s="22"/>
      <c r="T6" s="22"/>
      <c r="U6" s="23" t="str">
        <f t="shared" si="7"/>
        <v/>
      </c>
      <c r="V6" s="21" t="str">
        <f t="shared" si="8"/>
        <v>#DIV/0!</v>
      </c>
      <c r="W6" s="24" t="str">
        <f t="shared" si="9"/>
        <v>#DIV/0!</v>
      </c>
      <c r="X6" s="24" t="str">
        <f t="shared" si="10"/>
        <v>#DIV/0!</v>
      </c>
      <c r="Y6" s="21" t="str">
        <f>IF(A6="","",SUMIFS('Labor Log'!$I$2:$I$2001,'Labor Log'!$A$2:$A$2001,A6))</f>
        <v/>
      </c>
      <c r="Z6" s="24" t="str">
        <f t="shared" si="11"/>
        <v>#DIV/0!</v>
      </c>
      <c r="AA6" s="21" t="str">
        <f>IF(A6="","",SUMIFS('Inventory &amp; COGS'!$H$2:$H$2001,'Inventory &amp; COGS'!$A$2:$A$2001,A6,'Inventory &amp; COGS'!$B$2:$B$2001,"Food"))</f>
        <v/>
      </c>
      <c r="AB6" s="21" t="str">
        <f>IF(A6="","",SUMIFS('Inventory &amp; COGS'!$H$2:$H$2001,'Inventory &amp; COGS'!$A$2:$A$2001,A6,'Inventory &amp; COGS'!$B$2:$B$2001,"Beverage"))</f>
        <v/>
      </c>
      <c r="AC6" s="21" t="str">
        <f t="shared" si="12"/>
        <v/>
      </c>
      <c r="AD6" s="24" t="str">
        <f t="shared" ref="AD6:AE6" si="21">IF(I6=0,"",AA6/I6)</f>
        <v/>
      </c>
      <c r="AE6" s="24" t="str">
        <f t="shared" si="21"/>
        <v/>
      </c>
      <c r="AF6" s="21" t="str">
        <f t="shared" si="14"/>
        <v/>
      </c>
      <c r="AG6" s="24" t="str">
        <f t="shared" si="15"/>
        <v>#DIV/0!</v>
      </c>
      <c r="AH6" s="25" t="str">
        <f t="shared" si="16"/>
        <v/>
      </c>
      <c r="AI6" s="25" t="str">
        <f t="shared" si="17"/>
        <v/>
      </c>
      <c r="AJ6" s="26" t="str">
        <f t="shared" si="18"/>
        <v/>
      </c>
    </row>
    <row r="7">
      <c r="A7" s="3"/>
      <c r="B7" s="18" t="str">
        <f t="shared" si="2"/>
        <v/>
      </c>
      <c r="C7" s="19"/>
      <c r="D7" s="19"/>
      <c r="E7" s="19"/>
      <c r="F7" s="20"/>
      <c r="G7" s="20"/>
      <c r="H7" s="21" t="str">
        <f t="shared" si="3"/>
        <v/>
      </c>
      <c r="I7" s="20"/>
      <c r="J7" s="20"/>
      <c r="K7" s="20"/>
      <c r="L7" s="20"/>
      <c r="M7" s="21" t="str">
        <f t="shared" si="4"/>
        <v/>
      </c>
      <c r="N7" s="20"/>
      <c r="O7" s="20"/>
      <c r="P7" s="20"/>
      <c r="Q7" s="21" t="str">
        <f t="shared" si="5"/>
        <v/>
      </c>
      <c r="R7" s="21" t="str">
        <f t="shared" si="6"/>
        <v/>
      </c>
      <c r="S7" s="22"/>
      <c r="T7" s="22"/>
      <c r="U7" s="23" t="str">
        <f t="shared" si="7"/>
        <v/>
      </c>
      <c r="V7" s="21" t="str">
        <f t="shared" si="8"/>
        <v>#DIV/0!</v>
      </c>
      <c r="W7" s="24" t="str">
        <f t="shared" si="9"/>
        <v>#DIV/0!</v>
      </c>
      <c r="X7" s="24" t="str">
        <f t="shared" si="10"/>
        <v>#DIV/0!</v>
      </c>
      <c r="Y7" s="21" t="str">
        <f>IF(A7="","",SUMIFS('Labor Log'!$I$2:$I$2001,'Labor Log'!$A$2:$A$2001,A7))</f>
        <v/>
      </c>
      <c r="Z7" s="24" t="str">
        <f t="shared" si="11"/>
        <v>#DIV/0!</v>
      </c>
      <c r="AA7" s="21" t="str">
        <f>IF(A7="","",SUMIFS('Inventory &amp; COGS'!$H$2:$H$2001,'Inventory &amp; COGS'!$A$2:$A$2001,A7,'Inventory &amp; COGS'!$B$2:$B$2001,"Food"))</f>
        <v/>
      </c>
      <c r="AB7" s="21" t="str">
        <f>IF(A7="","",SUMIFS('Inventory &amp; COGS'!$H$2:$H$2001,'Inventory &amp; COGS'!$A$2:$A$2001,A7,'Inventory &amp; COGS'!$B$2:$B$2001,"Beverage"))</f>
        <v/>
      </c>
      <c r="AC7" s="21" t="str">
        <f t="shared" si="12"/>
        <v/>
      </c>
      <c r="AD7" s="24" t="str">
        <f t="shared" ref="AD7:AE7" si="22">IF(I7=0,"",AA7/I7)</f>
        <v/>
      </c>
      <c r="AE7" s="24" t="str">
        <f t="shared" si="22"/>
        <v/>
      </c>
      <c r="AF7" s="21" t="str">
        <f t="shared" si="14"/>
        <v/>
      </c>
      <c r="AG7" s="24" t="str">
        <f t="shared" si="15"/>
        <v>#DIV/0!</v>
      </c>
      <c r="AH7" s="25" t="str">
        <f t="shared" si="16"/>
        <v/>
      </c>
      <c r="AI7" s="25" t="str">
        <f t="shared" si="17"/>
        <v/>
      </c>
      <c r="AJ7" s="26" t="str">
        <f t="shared" si="18"/>
        <v/>
      </c>
    </row>
    <row r="8">
      <c r="A8" s="3"/>
      <c r="B8" s="18" t="str">
        <f t="shared" si="2"/>
        <v/>
      </c>
      <c r="C8" s="19"/>
      <c r="D8" s="19"/>
      <c r="E8" s="19"/>
      <c r="F8" s="20"/>
      <c r="G8" s="20"/>
      <c r="H8" s="21" t="str">
        <f t="shared" si="3"/>
        <v/>
      </c>
      <c r="I8" s="20"/>
      <c r="J8" s="20"/>
      <c r="K8" s="20"/>
      <c r="L8" s="20"/>
      <c r="M8" s="21" t="str">
        <f t="shared" si="4"/>
        <v/>
      </c>
      <c r="N8" s="20"/>
      <c r="O8" s="20"/>
      <c r="P8" s="20"/>
      <c r="Q8" s="21" t="str">
        <f t="shared" si="5"/>
        <v/>
      </c>
      <c r="R8" s="21" t="str">
        <f t="shared" si="6"/>
        <v/>
      </c>
      <c r="S8" s="22"/>
      <c r="T8" s="22"/>
      <c r="U8" s="23" t="str">
        <f t="shared" si="7"/>
        <v/>
      </c>
      <c r="V8" s="21" t="str">
        <f t="shared" si="8"/>
        <v>#DIV/0!</v>
      </c>
      <c r="W8" s="24" t="str">
        <f t="shared" si="9"/>
        <v>#DIV/0!</v>
      </c>
      <c r="X8" s="24" t="str">
        <f t="shared" si="10"/>
        <v>#DIV/0!</v>
      </c>
      <c r="Y8" s="21" t="str">
        <f>IF(A8="","",SUMIFS('Labor Log'!$I$2:$I$2001,'Labor Log'!$A$2:$A$2001,A8))</f>
        <v/>
      </c>
      <c r="Z8" s="24" t="str">
        <f t="shared" si="11"/>
        <v>#DIV/0!</v>
      </c>
      <c r="AA8" s="21" t="str">
        <f>IF(A8="","",SUMIFS('Inventory &amp; COGS'!$H$2:$H$2001,'Inventory &amp; COGS'!$A$2:$A$2001,A8,'Inventory &amp; COGS'!$B$2:$B$2001,"Food"))</f>
        <v/>
      </c>
      <c r="AB8" s="21" t="str">
        <f>IF(A8="","",SUMIFS('Inventory &amp; COGS'!$H$2:$H$2001,'Inventory &amp; COGS'!$A$2:$A$2001,A8,'Inventory &amp; COGS'!$B$2:$B$2001,"Beverage"))</f>
        <v/>
      </c>
      <c r="AC8" s="21" t="str">
        <f t="shared" si="12"/>
        <v/>
      </c>
      <c r="AD8" s="24" t="str">
        <f t="shared" ref="AD8:AE8" si="23">IF(I8=0,"",AA8/I8)</f>
        <v/>
      </c>
      <c r="AE8" s="24" t="str">
        <f t="shared" si="23"/>
        <v/>
      </c>
      <c r="AF8" s="21" t="str">
        <f t="shared" si="14"/>
        <v/>
      </c>
      <c r="AG8" s="24" t="str">
        <f t="shared" si="15"/>
        <v>#DIV/0!</v>
      </c>
      <c r="AH8" s="25" t="str">
        <f t="shared" si="16"/>
        <v/>
      </c>
      <c r="AI8" s="25" t="str">
        <f t="shared" si="17"/>
        <v/>
      </c>
      <c r="AJ8" s="26" t="str">
        <f t="shared" si="18"/>
        <v/>
      </c>
    </row>
    <row r="9">
      <c r="A9" s="3"/>
      <c r="B9" s="18" t="str">
        <f t="shared" si="2"/>
        <v/>
      </c>
      <c r="C9" s="19"/>
      <c r="D9" s="19"/>
      <c r="E9" s="19"/>
      <c r="F9" s="20"/>
      <c r="G9" s="20"/>
      <c r="H9" s="21" t="str">
        <f t="shared" si="3"/>
        <v/>
      </c>
      <c r="I9" s="20"/>
      <c r="J9" s="20"/>
      <c r="K9" s="20"/>
      <c r="L9" s="20"/>
      <c r="M9" s="21" t="str">
        <f t="shared" si="4"/>
        <v/>
      </c>
      <c r="N9" s="20"/>
      <c r="O9" s="20"/>
      <c r="P9" s="20"/>
      <c r="Q9" s="21" t="str">
        <f t="shared" si="5"/>
        <v/>
      </c>
      <c r="R9" s="21" t="str">
        <f t="shared" si="6"/>
        <v/>
      </c>
      <c r="S9" s="22"/>
      <c r="T9" s="22"/>
      <c r="U9" s="23" t="str">
        <f t="shared" si="7"/>
        <v/>
      </c>
      <c r="V9" s="21" t="str">
        <f t="shared" si="8"/>
        <v>#DIV/0!</v>
      </c>
      <c r="W9" s="24" t="str">
        <f t="shared" si="9"/>
        <v>#DIV/0!</v>
      </c>
      <c r="X9" s="24" t="str">
        <f t="shared" si="10"/>
        <v>#DIV/0!</v>
      </c>
      <c r="Y9" s="21" t="str">
        <f>IF(A9="","",SUMIFS('Labor Log'!$I$2:$I$2001,'Labor Log'!$A$2:$A$2001,A9))</f>
        <v/>
      </c>
      <c r="Z9" s="24" t="str">
        <f t="shared" si="11"/>
        <v>#DIV/0!</v>
      </c>
      <c r="AA9" s="21" t="str">
        <f>IF(A9="","",SUMIFS('Inventory &amp; COGS'!$H$2:$H$2001,'Inventory &amp; COGS'!$A$2:$A$2001,A9,'Inventory &amp; COGS'!$B$2:$B$2001,"Food"))</f>
        <v/>
      </c>
      <c r="AB9" s="21" t="str">
        <f>IF(A9="","",SUMIFS('Inventory &amp; COGS'!$H$2:$H$2001,'Inventory &amp; COGS'!$A$2:$A$2001,A9,'Inventory &amp; COGS'!$B$2:$B$2001,"Beverage"))</f>
        <v/>
      </c>
      <c r="AC9" s="21" t="str">
        <f t="shared" si="12"/>
        <v/>
      </c>
      <c r="AD9" s="24" t="str">
        <f t="shared" ref="AD9:AE9" si="24">IF(I9=0,"",AA9/I9)</f>
        <v/>
      </c>
      <c r="AE9" s="24" t="str">
        <f t="shared" si="24"/>
        <v/>
      </c>
      <c r="AF9" s="21" t="str">
        <f t="shared" si="14"/>
        <v/>
      </c>
      <c r="AG9" s="24" t="str">
        <f t="shared" si="15"/>
        <v>#DIV/0!</v>
      </c>
      <c r="AH9" s="25" t="str">
        <f t="shared" si="16"/>
        <v/>
      </c>
      <c r="AI9" s="25" t="str">
        <f t="shared" si="17"/>
        <v/>
      </c>
      <c r="AJ9" s="26" t="str">
        <f t="shared" si="18"/>
        <v/>
      </c>
    </row>
    <row r="10">
      <c r="A10" s="3"/>
      <c r="B10" s="18" t="str">
        <f t="shared" si="2"/>
        <v/>
      </c>
      <c r="C10" s="19"/>
      <c r="D10" s="19"/>
      <c r="E10" s="19"/>
      <c r="F10" s="20"/>
      <c r="G10" s="20"/>
      <c r="H10" s="21" t="str">
        <f t="shared" si="3"/>
        <v/>
      </c>
      <c r="I10" s="20"/>
      <c r="J10" s="20"/>
      <c r="K10" s="20"/>
      <c r="L10" s="20"/>
      <c r="M10" s="21" t="str">
        <f t="shared" si="4"/>
        <v/>
      </c>
      <c r="N10" s="20"/>
      <c r="O10" s="20"/>
      <c r="P10" s="20"/>
      <c r="Q10" s="21" t="str">
        <f t="shared" si="5"/>
        <v/>
      </c>
      <c r="R10" s="21" t="str">
        <f t="shared" si="6"/>
        <v/>
      </c>
      <c r="S10" s="22"/>
      <c r="T10" s="22"/>
      <c r="U10" s="23" t="str">
        <f t="shared" si="7"/>
        <v/>
      </c>
      <c r="V10" s="21" t="str">
        <f t="shared" si="8"/>
        <v>#DIV/0!</v>
      </c>
      <c r="W10" s="24" t="str">
        <f t="shared" si="9"/>
        <v>#DIV/0!</v>
      </c>
      <c r="X10" s="24" t="str">
        <f t="shared" si="10"/>
        <v>#DIV/0!</v>
      </c>
      <c r="Y10" s="21" t="str">
        <f>IF(A10="","",SUMIFS('Labor Log'!$I$2:$I$2001,'Labor Log'!$A$2:$A$2001,A10))</f>
        <v/>
      </c>
      <c r="Z10" s="24" t="str">
        <f t="shared" si="11"/>
        <v>#DIV/0!</v>
      </c>
      <c r="AA10" s="21" t="str">
        <f>IF(A10="","",SUMIFS('Inventory &amp; COGS'!$H$2:$H$2001,'Inventory &amp; COGS'!$A$2:$A$2001,A10,'Inventory &amp; COGS'!$B$2:$B$2001,"Food"))</f>
        <v/>
      </c>
      <c r="AB10" s="21" t="str">
        <f>IF(A10="","",SUMIFS('Inventory &amp; COGS'!$H$2:$H$2001,'Inventory &amp; COGS'!$A$2:$A$2001,A10,'Inventory &amp; COGS'!$B$2:$B$2001,"Beverage"))</f>
        <v/>
      </c>
      <c r="AC10" s="21" t="str">
        <f t="shared" si="12"/>
        <v/>
      </c>
      <c r="AD10" s="24" t="str">
        <f t="shared" ref="AD10:AE10" si="25">IF(I10=0,"",AA10/I10)</f>
        <v/>
      </c>
      <c r="AE10" s="24" t="str">
        <f t="shared" si="25"/>
        <v/>
      </c>
      <c r="AF10" s="21" t="str">
        <f t="shared" si="14"/>
        <v/>
      </c>
      <c r="AG10" s="24" t="str">
        <f t="shared" si="15"/>
        <v>#DIV/0!</v>
      </c>
      <c r="AH10" s="25" t="str">
        <f t="shared" si="16"/>
        <v/>
      </c>
      <c r="AI10" s="25" t="str">
        <f t="shared" si="17"/>
        <v/>
      </c>
      <c r="AJ10" s="26" t="str">
        <f t="shared" si="18"/>
        <v/>
      </c>
    </row>
    <row r="11">
      <c r="A11" s="3"/>
      <c r="B11" s="18" t="str">
        <f t="shared" si="2"/>
        <v/>
      </c>
      <c r="C11" s="19"/>
      <c r="D11" s="19"/>
      <c r="E11" s="19"/>
      <c r="F11" s="20"/>
      <c r="G11" s="20"/>
      <c r="H11" s="21" t="str">
        <f t="shared" si="3"/>
        <v/>
      </c>
      <c r="I11" s="20"/>
      <c r="J11" s="20"/>
      <c r="K11" s="20"/>
      <c r="L11" s="20"/>
      <c r="M11" s="21" t="str">
        <f t="shared" si="4"/>
        <v/>
      </c>
      <c r="N11" s="20"/>
      <c r="O11" s="20"/>
      <c r="P11" s="20"/>
      <c r="Q11" s="21" t="str">
        <f t="shared" si="5"/>
        <v/>
      </c>
      <c r="R11" s="21" t="str">
        <f t="shared" si="6"/>
        <v/>
      </c>
      <c r="S11" s="22"/>
      <c r="T11" s="22"/>
      <c r="U11" s="23" t="str">
        <f t="shared" si="7"/>
        <v/>
      </c>
      <c r="V11" s="21" t="str">
        <f t="shared" si="8"/>
        <v>#DIV/0!</v>
      </c>
      <c r="W11" s="24" t="str">
        <f t="shared" si="9"/>
        <v>#DIV/0!</v>
      </c>
      <c r="X11" s="24" t="str">
        <f t="shared" si="10"/>
        <v>#DIV/0!</v>
      </c>
      <c r="Y11" s="21" t="str">
        <f>IF(A11="","",SUMIFS('Labor Log'!$I$2:$I$2001,'Labor Log'!$A$2:$A$2001,A11))</f>
        <v/>
      </c>
      <c r="Z11" s="24" t="str">
        <f t="shared" si="11"/>
        <v>#DIV/0!</v>
      </c>
      <c r="AA11" s="21" t="str">
        <f>IF(A11="","",SUMIFS('Inventory &amp; COGS'!$H$2:$H$2001,'Inventory &amp; COGS'!$A$2:$A$2001,A11,'Inventory &amp; COGS'!$B$2:$B$2001,"Food"))</f>
        <v/>
      </c>
      <c r="AB11" s="21" t="str">
        <f>IF(A11="","",SUMIFS('Inventory &amp; COGS'!$H$2:$H$2001,'Inventory &amp; COGS'!$A$2:$A$2001,A11,'Inventory &amp; COGS'!$B$2:$B$2001,"Beverage"))</f>
        <v/>
      </c>
      <c r="AC11" s="21" t="str">
        <f t="shared" si="12"/>
        <v/>
      </c>
      <c r="AD11" s="24" t="str">
        <f t="shared" ref="AD11:AE11" si="26">IF(I11=0,"",AA11/I11)</f>
        <v/>
      </c>
      <c r="AE11" s="24" t="str">
        <f t="shared" si="26"/>
        <v/>
      </c>
      <c r="AF11" s="21" t="str">
        <f t="shared" si="14"/>
        <v/>
      </c>
      <c r="AG11" s="24" t="str">
        <f t="shared" si="15"/>
        <v>#DIV/0!</v>
      </c>
      <c r="AH11" s="25" t="str">
        <f t="shared" si="16"/>
        <v/>
      </c>
      <c r="AI11" s="25" t="str">
        <f t="shared" si="17"/>
        <v/>
      </c>
      <c r="AJ11" s="26" t="str">
        <f t="shared" si="18"/>
        <v/>
      </c>
    </row>
    <row r="12">
      <c r="A12" s="3"/>
      <c r="B12" s="18" t="str">
        <f t="shared" si="2"/>
        <v/>
      </c>
      <c r="C12" s="19"/>
      <c r="D12" s="19"/>
      <c r="E12" s="19"/>
      <c r="F12" s="20"/>
      <c r="G12" s="20"/>
      <c r="H12" s="21" t="str">
        <f t="shared" si="3"/>
        <v/>
      </c>
      <c r="I12" s="20"/>
      <c r="J12" s="20"/>
      <c r="K12" s="20"/>
      <c r="L12" s="20"/>
      <c r="M12" s="21" t="str">
        <f t="shared" si="4"/>
        <v/>
      </c>
      <c r="N12" s="20"/>
      <c r="O12" s="20"/>
      <c r="P12" s="20"/>
      <c r="Q12" s="21" t="str">
        <f t="shared" si="5"/>
        <v/>
      </c>
      <c r="R12" s="21" t="str">
        <f t="shared" si="6"/>
        <v/>
      </c>
      <c r="S12" s="22"/>
      <c r="T12" s="22"/>
      <c r="U12" s="23" t="str">
        <f t="shared" si="7"/>
        <v/>
      </c>
      <c r="V12" s="21" t="str">
        <f t="shared" si="8"/>
        <v>#DIV/0!</v>
      </c>
      <c r="W12" s="24" t="str">
        <f t="shared" si="9"/>
        <v>#DIV/0!</v>
      </c>
      <c r="X12" s="24" t="str">
        <f t="shared" si="10"/>
        <v>#DIV/0!</v>
      </c>
      <c r="Y12" s="21" t="str">
        <f>IF(A12="","",SUMIFS('Labor Log'!$I$2:$I$2001,'Labor Log'!$A$2:$A$2001,A12))</f>
        <v/>
      </c>
      <c r="Z12" s="24" t="str">
        <f t="shared" si="11"/>
        <v>#DIV/0!</v>
      </c>
      <c r="AA12" s="21" t="str">
        <f>IF(A12="","",SUMIFS('Inventory &amp; COGS'!$H$2:$H$2001,'Inventory &amp; COGS'!$A$2:$A$2001,A12,'Inventory &amp; COGS'!$B$2:$B$2001,"Food"))</f>
        <v/>
      </c>
      <c r="AB12" s="21" t="str">
        <f>IF(A12="","",SUMIFS('Inventory &amp; COGS'!$H$2:$H$2001,'Inventory &amp; COGS'!$A$2:$A$2001,A12,'Inventory &amp; COGS'!$B$2:$B$2001,"Beverage"))</f>
        <v/>
      </c>
      <c r="AC12" s="21" t="str">
        <f t="shared" si="12"/>
        <v/>
      </c>
      <c r="AD12" s="24" t="str">
        <f t="shared" ref="AD12:AE12" si="27">IF(I12=0,"",AA12/I12)</f>
        <v/>
      </c>
      <c r="AE12" s="24" t="str">
        <f t="shared" si="27"/>
        <v/>
      </c>
      <c r="AF12" s="21" t="str">
        <f t="shared" si="14"/>
        <v/>
      </c>
      <c r="AG12" s="24" t="str">
        <f t="shared" si="15"/>
        <v>#DIV/0!</v>
      </c>
      <c r="AH12" s="25" t="str">
        <f t="shared" si="16"/>
        <v/>
      </c>
      <c r="AI12" s="25" t="str">
        <f t="shared" si="17"/>
        <v/>
      </c>
      <c r="AJ12" s="26" t="str">
        <f t="shared" si="18"/>
        <v/>
      </c>
    </row>
    <row r="13">
      <c r="A13" s="3"/>
      <c r="B13" s="18" t="str">
        <f t="shared" si="2"/>
        <v/>
      </c>
      <c r="C13" s="19"/>
      <c r="D13" s="19"/>
      <c r="E13" s="19"/>
      <c r="F13" s="20"/>
      <c r="G13" s="20"/>
      <c r="H13" s="21" t="str">
        <f t="shared" si="3"/>
        <v/>
      </c>
      <c r="I13" s="20"/>
      <c r="J13" s="20"/>
      <c r="K13" s="20"/>
      <c r="L13" s="20"/>
      <c r="M13" s="21" t="str">
        <f t="shared" si="4"/>
        <v/>
      </c>
      <c r="N13" s="20"/>
      <c r="O13" s="20"/>
      <c r="P13" s="20"/>
      <c r="Q13" s="21" t="str">
        <f t="shared" si="5"/>
        <v/>
      </c>
      <c r="R13" s="21" t="str">
        <f t="shared" si="6"/>
        <v/>
      </c>
      <c r="S13" s="22"/>
      <c r="T13" s="22"/>
      <c r="U13" s="23" t="str">
        <f t="shared" si="7"/>
        <v/>
      </c>
      <c r="V13" s="21" t="str">
        <f t="shared" si="8"/>
        <v>#DIV/0!</v>
      </c>
      <c r="W13" s="24" t="str">
        <f t="shared" si="9"/>
        <v>#DIV/0!</v>
      </c>
      <c r="X13" s="24" t="str">
        <f t="shared" si="10"/>
        <v>#DIV/0!</v>
      </c>
      <c r="Y13" s="21" t="str">
        <f>IF(A13="","",SUMIFS('Labor Log'!$I$2:$I$2001,'Labor Log'!$A$2:$A$2001,A13))</f>
        <v/>
      </c>
      <c r="Z13" s="24" t="str">
        <f t="shared" si="11"/>
        <v>#DIV/0!</v>
      </c>
      <c r="AA13" s="21" t="str">
        <f>IF(A13="","",SUMIFS('Inventory &amp; COGS'!$H$2:$H$2001,'Inventory &amp; COGS'!$A$2:$A$2001,A13,'Inventory &amp; COGS'!$B$2:$B$2001,"Food"))</f>
        <v/>
      </c>
      <c r="AB13" s="21" t="str">
        <f>IF(A13="","",SUMIFS('Inventory &amp; COGS'!$H$2:$H$2001,'Inventory &amp; COGS'!$A$2:$A$2001,A13,'Inventory &amp; COGS'!$B$2:$B$2001,"Beverage"))</f>
        <v/>
      </c>
      <c r="AC13" s="21" t="str">
        <f t="shared" si="12"/>
        <v/>
      </c>
      <c r="AD13" s="24" t="str">
        <f t="shared" ref="AD13:AE13" si="28">IF(I13=0,"",AA13/I13)</f>
        <v/>
      </c>
      <c r="AE13" s="24" t="str">
        <f t="shared" si="28"/>
        <v/>
      </c>
      <c r="AF13" s="21" t="str">
        <f t="shared" si="14"/>
        <v/>
      </c>
      <c r="AG13" s="24" t="str">
        <f t="shared" si="15"/>
        <v>#DIV/0!</v>
      </c>
      <c r="AH13" s="25" t="str">
        <f t="shared" si="16"/>
        <v/>
      </c>
      <c r="AI13" s="25" t="str">
        <f t="shared" si="17"/>
        <v/>
      </c>
      <c r="AJ13" s="26" t="str">
        <f t="shared" si="18"/>
        <v/>
      </c>
    </row>
    <row r="14">
      <c r="A14" s="3"/>
      <c r="B14" s="18" t="str">
        <f t="shared" si="2"/>
        <v/>
      </c>
      <c r="C14" s="19"/>
      <c r="D14" s="19"/>
      <c r="E14" s="19"/>
      <c r="F14" s="20"/>
      <c r="G14" s="20"/>
      <c r="H14" s="21" t="str">
        <f t="shared" si="3"/>
        <v/>
      </c>
      <c r="I14" s="20"/>
      <c r="J14" s="20"/>
      <c r="K14" s="20"/>
      <c r="L14" s="20"/>
      <c r="M14" s="21" t="str">
        <f t="shared" si="4"/>
        <v/>
      </c>
      <c r="N14" s="20"/>
      <c r="O14" s="20"/>
      <c r="P14" s="20"/>
      <c r="Q14" s="21" t="str">
        <f t="shared" si="5"/>
        <v/>
      </c>
      <c r="R14" s="21" t="str">
        <f t="shared" si="6"/>
        <v/>
      </c>
      <c r="S14" s="22"/>
      <c r="T14" s="22"/>
      <c r="U14" s="23" t="str">
        <f t="shared" si="7"/>
        <v/>
      </c>
      <c r="V14" s="21" t="str">
        <f t="shared" si="8"/>
        <v>#DIV/0!</v>
      </c>
      <c r="W14" s="24" t="str">
        <f t="shared" si="9"/>
        <v>#DIV/0!</v>
      </c>
      <c r="X14" s="24" t="str">
        <f t="shared" si="10"/>
        <v>#DIV/0!</v>
      </c>
      <c r="Y14" s="21" t="str">
        <f>IF(A14="","",SUMIFS('Labor Log'!$I$2:$I$2001,'Labor Log'!$A$2:$A$2001,A14))</f>
        <v/>
      </c>
      <c r="Z14" s="24" t="str">
        <f t="shared" si="11"/>
        <v>#DIV/0!</v>
      </c>
      <c r="AA14" s="21" t="str">
        <f>IF(A14="","",SUMIFS('Inventory &amp; COGS'!$H$2:$H$2001,'Inventory &amp; COGS'!$A$2:$A$2001,A14,'Inventory &amp; COGS'!$B$2:$B$2001,"Food"))</f>
        <v/>
      </c>
      <c r="AB14" s="21" t="str">
        <f>IF(A14="","",SUMIFS('Inventory &amp; COGS'!$H$2:$H$2001,'Inventory &amp; COGS'!$A$2:$A$2001,A14,'Inventory &amp; COGS'!$B$2:$B$2001,"Beverage"))</f>
        <v/>
      </c>
      <c r="AC14" s="21" t="str">
        <f t="shared" si="12"/>
        <v/>
      </c>
      <c r="AD14" s="24" t="str">
        <f t="shared" ref="AD14:AE14" si="29">IF(I14=0,"",AA14/I14)</f>
        <v/>
      </c>
      <c r="AE14" s="24" t="str">
        <f t="shared" si="29"/>
        <v/>
      </c>
      <c r="AF14" s="21" t="str">
        <f t="shared" si="14"/>
        <v/>
      </c>
      <c r="AG14" s="24" t="str">
        <f t="shared" si="15"/>
        <v>#DIV/0!</v>
      </c>
      <c r="AH14" s="25" t="str">
        <f t="shared" si="16"/>
        <v/>
      </c>
      <c r="AI14" s="25" t="str">
        <f t="shared" si="17"/>
        <v/>
      </c>
      <c r="AJ14" s="26" t="str">
        <f t="shared" si="18"/>
        <v/>
      </c>
    </row>
    <row r="15">
      <c r="A15" s="3"/>
      <c r="B15" s="18" t="str">
        <f t="shared" si="2"/>
        <v/>
      </c>
      <c r="C15" s="19"/>
      <c r="D15" s="19"/>
      <c r="E15" s="19"/>
      <c r="F15" s="20"/>
      <c r="G15" s="20"/>
      <c r="H15" s="21" t="str">
        <f t="shared" si="3"/>
        <v/>
      </c>
      <c r="I15" s="20"/>
      <c r="J15" s="20"/>
      <c r="K15" s="20"/>
      <c r="L15" s="20"/>
      <c r="M15" s="21" t="str">
        <f t="shared" si="4"/>
        <v/>
      </c>
      <c r="N15" s="20"/>
      <c r="O15" s="20"/>
      <c r="P15" s="20"/>
      <c r="Q15" s="21" t="str">
        <f t="shared" si="5"/>
        <v/>
      </c>
      <c r="R15" s="21" t="str">
        <f t="shared" si="6"/>
        <v/>
      </c>
      <c r="S15" s="22"/>
      <c r="T15" s="22"/>
      <c r="U15" s="23" t="str">
        <f t="shared" si="7"/>
        <v/>
      </c>
      <c r="V15" s="21" t="str">
        <f t="shared" si="8"/>
        <v>#DIV/0!</v>
      </c>
      <c r="W15" s="24" t="str">
        <f t="shared" si="9"/>
        <v>#DIV/0!</v>
      </c>
      <c r="X15" s="24" t="str">
        <f t="shared" si="10"/>
        <v>#DIV/0!</v>
      </c>
      <c r="Y15" s="21" t="str">
        <f>IF(A15="","",SUMIFS('Labor Log'!$I$2:$I$2001,'Labor Log'!$A$2:$A$2001,A15))</f>
        <v/>
      </c>
      <c r="Z15" s="24" t="str">
        <f t="shared" si="11"/>
        <v>#DIV/0!</v>
      </c>
      <c r="AA15" s="21" t="str">
        <f>IF(A15="","",SUMIFS('Inventory &amp; COGS'!$H$2:$H$2001,'Inventory &amp; COGS'!$A$2:$A$2001,A15,'Inventory &amp; COGS'!$B$2:$B$2001,"Food"))</f>
        <v/>
      </c>
      <c r="AB15" s="21" t="str">
        <f>IF(A15="","",SUMIFS('Inventory &amp; COGS'!$H$2:$H$2001,'Inventory &amp; COGS'!$A$2:$A$2001,A15,'Inventory &amp; COGS'!$B$2:$B$2001,"Beverage"))</f>
        <v/>
      </c>
      <c r="AC15" s="21" t="str">
        <f t="shared" si="12"/>
        <v/>
      </c>
      <c r="AD15" s="24" t="str">
        <f t="shared" ref="AD15:AE15" si="30">IF(I15=0,"",AA15/I15)</f>
        <v/>
      </c>
      <c r="AE15" s="24" t="str">
        <f t="shared" si="30"/>
        <v/>
      </c>
      <c r="AF15" s="21" t="str">
        <f t="shared" si="14"/>
        <v/>
      </c>
      <c r="AG15" s="24" t="str">
        <f t="shared" si="15"/>
        <v>#DIV/0!</v>
      </c>
      <c r="AH15" s="25" t="str">
        <f t="shared" si="16"/>
        <v/>
      </c>
      <c r="AI15" s="25" t="str">
        <f t="shared" si="17"/>
        <v/>
      </c>
      <c r="AJ15" s="26" t="str">
        <f t="shared" si="18"/>
        <v/>
      </c>
    </row>
    <row r="16">
      <c r="A16" s="3"/>
      <c r="B16" s="18" t="str">
        <f t="shared" si="2"/>
        <v/>
      </c>
      <c r="C16" s="19"/>
      <c r="D16" s="19"/>
      <c r="E16" s="19"/>
      <c r="F16" s="20"/>
      <c r="G16" s="20"/>
      <c r="H16" s="21" t="str">
        <f t="shared" si="3"/>
        <v/>
      </c>
      <c r="I16" s="20"/>
      <c r="J16" s="20"/>
      <c r="K16" s="20"/>
      <c r="L16" s="20"/>
      <c r="M16" s="21" t="str">
        <f t="shared" si="4"/>
        <v/>
      </c>
      <c r="N16" s="20"/>
      <c r="O16" s="20"/>
      <c r="P16" s="20"/>
      <c r="Q16" s="21" t="str">
        <f t="shared" si="5"/>
        <v/>
      </c>
      <c r="R16" s="21" t="str">
        <f t="shared" si="6"/>
        <v/>
      </c>
      <c r="S16" s="22"/>
      <c r="T16" s="22"/>
      <c r="U16" s="23" t="str">
        <f t="shared" si="7"/>
        <v/>
      </c>
      <c r="V16" s="21" t="str">
        <f t="shared" si="8"/>
        <v>#DIV/0!</v>
      </c>
      <c r="W16" s="24" t="str">
        <f t="shared" si="9"/>
        <v>#DIV/0!</v>
      </c>
      <c r="X16" s="24" t="str">
        <f t="shared" si="10"/>
        <v>#DIV/0!</v>
      </c>
      <c r="Y16" s="21" t="str">
        <f>IF(A16="","",SUMIFS('Labor Log'!$I$2:$I$2001,'Labor Log'!$A$2:$A$2001,A16))</f>
        <v/>
      </c>
      <c r="Z16" s="24" t="str">
        <f t="shared" si="11"/>
        <v>#DIV/0!</v>
      </c>
      <c r="AA16" s="21" t="str">
        <f>IF(A16="","",SUMIFS('Inventory &amp; COGS'!$H$2:$H$2001,'Inventory &amp; COGS'!$A$2:$A$2001,A16,'Inventory &amp; COGS'!$B$2:$B$2001,"Food"))</f>
        <v/>
      </c>
      <c r="AB16" s="21" t="str">
        <f>IF(A16="","",SUMIFS('Inventory &amp; COGS'!$H$2:$H$2001,'Inventory &amp; COGS'!$A$2:$A$2001,A16,'Inventory &amp; COGS'!$B$2:$B$2001,"Beverage"))</f>
        <v/>
      </c>
      <c r="AC16" s="21" t="str">
        <f t="shared" si="12"/>
        <v/>
      </c>
      <c r="AD16" s="24" t="str">
        <f t="shared" ref="AD16:AE16" si="31">IF(I16=0,"",AA16/I16)</f>
        <v/>
      </c>
      <c r="AE16" s="24" t="str">
        <f t="shared" si="31"/>
        <v/>
      </c>
      <c r="AF16" s="21" t="str">
        <f t="shared" si="14"/>
        <v/>
      </c>
      <c r="AG16" s="24" t="str">
        <f t="shared" si="15"/>
        <v>#DIV/0!</v>
      </c>
      <c r="AH16" s="25" t="str">
        <f t="shared" si="16"/>
        <v/>
      </c>
      <c r="AI16" s="25" t="str">
        <f t="shared" si="17"/>
        <v/>
      </c>
      <c r="AJ16" s="26" t="str">
        <f t="shared" si="18"/>
        <v/>
      </c>
    </row>
    <row r="17">
      <c r="A17" s="3"/>
      <c r="B17" s="18" t="str">
        <f t="shared" si="2"/>
        <v/>
      </c>
      <c r="C17" s="19"/>
      <c r="D17" s="19"/>
      <c r="E17" s="19"/>
      <c r="F17" s="20"/>
      <c r="G17" s="20"/>
      <c r="H17" s="21" t="str">
        <f t="shared" si="3"/>
        <v/>
      </c>
      <c r="I17" s="20"/>
      <c r="J17" s="20"/>
      <c r="K17" s="20"/>
      <c r="L17" s="20"/>
      <c r="M17" s="21" t="str">
        <f t="shared" si="4"/>
        <v/>
      </c>
      <c r="N17" s="20"/>
      <c r="O17" s="20"/>
      <c r="P17" s="20"/>
      <c r="Q17" s="21" t="str">
        <f t="shared" si="5"/>
        <v/>
      </c>
      <c r="R17" s="21" t="str">
        <f t="shared" si="6"/>
        <v/>
      </c>
      <c r="S17" s="22"/>
      <c r="T17" s="22"/>
      <c r="U17" s="23" t="str">
        <f t="shared" si="7"/>
        <v/>
      </c>
      <c r="V17" s="21" t="str">
        <f t="shared" si="8"/>
        <v>#DIV/0!</v>
      </c>
      <c r="W17" s="24" t="str">
        <f t="shared" si="9"/>
        <v>#DIV/0!</v>
      </c>
      <c r="X17" s="24" t="str">
        <f t="shared" si="10"/>
        <v>#DIV/0!</v>
      </c>
      <c r="Y17" s="21" t="str">
        <f>IF(A17="","",SUMIFS('Labor Log'!$I$2:$I$2001,'Labor Log'!$A$2:$A$2001,A17))</f>
        <v/>
      </c>
      <c r="Z17" s="24" t="str">
        <f t="shared" si="11"/>
        <v>#DIV/0!</v>
      </c>
      <c r="AA17" s="21" t="str">
        <f>IF(A17="","",SUMIFS('Inventory &amp; COGS'!$H$2:$H$2001,'Inventory &amp; COGS'!$A$2:$A$2001,A17,'Inventory &amp; COGS'!$B$2:$B$2001,"Food"))</f>
        <v/>
      </c>
      <c r="AB17" s="21" t="str">
        <f>IF(A17="","",SUMIFS('Inventory &amp; COGS'!$H$2:$H$2001,'Inventory &amp; COGS'!$A$2:$A$2001,A17,'Inventory &amp; COGS'!$B$2:$B$2001,"Beverage"))</f>
        <v/>
      </c>
      <c r="AC17" s="21" t="str">
        <f t="shared" si="12"/>
        <v/>
      </c>
      <c r="AD17" s="24" t="str">
        <f t="shared" ref="AD17:AE17" si="32">IF(I17=0,"",AA17/I17)</f>
        <v/>
      </c>
      <c r="AE17" s="24" t="str">
        <f t="shared" si="32"/>
        <v/>
      </c>
      <c r="AF17" s="21" t="str">
        <f t="shared" si="14"/>
        <v/>
      </c>
      <c r="AG17" s="24" t="str">
        <f t="shared" si="15"/>
        <v>#DIV/0!</v>
      </c>
      <c r="AH17" s="25" t="str">
        <f t="shared" si="16"/>
        <v/>
      </c>
      <c r="AI17" s="25" t="str">
        <f t="shared" si="17"/>
        <v/>
      </c>
      <c r="AJ17" s="26" t="str">
        <f t="shared" si="18"/>
        <v/>
      </c>
    </row>
    <row r="18">
      <c r="A18" s="3"/>
      <c r="B18" s="18" t="str">
        <f t="shared" si="2"/>
        <v/>
      </c>
      <c r="C18" s="19"/>
      <c r="D18" s="19"/>
      <c r="E18" s="19"/>
      <c r="F18" s="20"/>
      <c r="G18" s="20"/>
      <c r="H18" s="21" t="str">
        <f t="shared" si="3"/>
        <v/>
      </c>
      <c r="I18" s="20"/>
      <c r="J18" s="20"/>
      <c r="K18" s="20"/>
      <c r="L18" s="20"/>
      <c r="M18" s="21" t="str">
        <f t="shared" si="4"/>
        <v/>
      </c>
      <c r="N18" s="20"/>
      <c r="O18" s="20"/>
      <c r="P18" s="20"/>
      <c r="Q18" s="21" t="str">
        <f t="shared" si="5"/>
        <v/>
      </c>
      <c r="R18" s="21" t="str">
        <f t="shared" si="6"/>
        <v/>
      </c>
      <c r="S18" s="22"/>
      <c r="T18" s="22"/>
      <c r="U18" s="23" t="str">
        <f t="shared" si="7"/>
        <v/>
      </c>
      <c r="V18" s="21" t="str">
        <f t="shared" si="8"/>
        <v>#DIV/0!</v>
      </c>
      <c r="W18" s="24" t="str">
        <f t="shared" si="9"/>
        <v>#DIV/0!</v>
      </c>
      <c r="X18" s="24" t="str">
        <f t="shared" si="10"/>
        <v>#DIV/0!</v>
      </c>
      <c r="Y18" s="21" t="str">
        <f>IF(A18="","",SUMIFS('Labor Log'!$I$2:$I$2001,'Labor Log'!$A$2:$A$2001,A18))</f>
        <v/>
      </c>
      <c r="Z18" s="24" t="str">
        <f t="shared" si="11"/>
        <v>#DIV/0!</v>
      </c>
      <c r="AA18" s="21" t="str">
        <f>IF(A18="","",SUMIFS('Inventory &amp; COGS'!$H$2:$H$2001,'Inventory &amp; COGS'!$A$2:$A$2001,A18,'Inventory &amp; COGS'!$B$2:$B$2001,"Food"))</f>
        <v/>
      </c>
      <c r="AB18" s="21" t="str">
        <f>IF(A18="","",SUMIFS('Inventory &amp; COGS'!$H$2:$H$2001,'Inventory &amp; COGS'!$A$2:$A$2001,A18,'Inventory &amp; COGS'!$B$2:$B$2001,"Beverage"))</f>
        <v/>
      </c>
      <c r="AC18" s="21" t="str">
        <f t="shared" si="12"/>
        <v/>
      </c>
      <c r="AD18" s="24" t="str">
        <f t="shared" ref="AD18:AE18" si="33">IF(I18=0,"",AA18/I18)</f>
        <v/>
      </c>
      <c r="AE18" s="24" t="str">
        <f t="shared" si="33"/>
        <v/>
      </c>
      <c r="AF18" s="21" t="str">
        <f t="shared" si="14"/>
        <v/>
      </c>
      <c r="AG18" s="24" t="str">
        <f t="shared" si="15"/>
        <v>#DIV/0!</v>
      </c>
      <c r="AH18" s="25" t="str">
        <f t="shared" si="16"/>
        <v/>
      </c>
      <c r="AI18" s="25" t="str">
        <f t="shared" si="17"/>
        <v/>
      </c>
      <c r="AJ18" s="26" t="str">
        <f t="shared" si="18"/>
        <v/>
      </c>
    </row>
    <row r="19">
      <c r="A19" s="3"/>
      <c r="B19" s="18" t="str">
        <f t="shared" si="2"/>
        <v/>
      </c>
      <c r="C19" s="19"/>
      <c r="D19" s="19"/>
      <c r="E19" s="19"/>
      <c r="F19" s="20"/>
      <c r="G19" s="20"/>
      <c r="H19" s="21" t="str">
        <f t="shared" si="3"/>
        <v/>
      </c>
      <c r="I19" s="20"/>
      <c r="J19" s="20"/>
      <c r="K19" s="20"/>
      <c r="L19" s="20"/>
      <c r="M19" s="21" t="str">
        <f t="shared" si="4"/>
        <v/>
      </c>
      <c r="N19" s="20"/>
      <c r="O19" s="20"/>
      <c r="P19" s="20"/>
      <c r="Q19" s="21" t="str">
        <f t="shared" si="5"/>
        <v/>
      </c>
      <c r="R19" s="21" t="str">
        <f t="shared" si="6"/>
        <v/>
      </c>
      <c r="S19" s="22"/>
      <c r="T19" s="22"/>
      <c r="U19" s="23" t="str">
        <f t="shared" si="7"/>
        <v/>
      </c>
      <c r="V19" s="21" t="str">
        <f t="shared" si="8"/>
        <v>#DIV/0!</v>
      </c>
      <c r="W19" s="24" t="str">
        <f t="shared" si="9"/>
        <v>#DIV/0!</v>
      </c>
      <c r="X19" s="24" t="str">
        <f t="shared" si="10"/>
        <v>#DIV/0!</v>
      </c>
      <c r="Y19" s="21" t="str">
        <f>IF(A19="","",SUMIFS('Labor Log'!$I$2:$I$2001,'Labor Log'!$A$2:$A$2001,A19))</f>
        <v/>
      </c>
      <c r="Z19" s="24" t="str">
        <f t="shared" si="11"/>
        <v>#DIV/0!</v>
      </c>
      <c r="AA19" s="21" t="str">
        <f>IF(A19="","",SUMIFS('Inventory &amp; COGS'!$H$2:$H$2001,'Inventory &amp; COGS'!$A$2:$A$2001,A19,'Inventory &amp; COGS'!$B$2:$B$2001,"Food"))</f>
        <v/>
      </c>
      <c r="AB19" s="21" t="str">
        <f>IF(A19="","",SUMIFS('Inventory &amp; COGS'!$H$2:$H$2001,'Inventory &amp; COGS'!$A$2:$A$2001,A19,'Inventory &amp; COGS'!$B$2:$B$2001,"Beverage"))</f>
        <v/>
      </c>
      <c r="AC19" s="21" t="str">
        <f t="shared" si="12"/>
        <v/>
      </c>
      <c r="AD19" s="24" t="str">
        <f t="shared" ref="AD19:AE19" si="34">IF(I19=0,"",AA19/I19)</f>
        <v/>
      </c>
      <c r="AE19" s="24" t="str">
        <f t="shared" si="34"/>
        <v/>
      </c>
      <c r="AF19" s="21" t="str">
        <f t="shared" si="14"/>
        <v/>
      </c>
      <c r="AG19" s="24" t="str">
        <f t="shared" si="15"/>
        <v>#DIV/0!</v>
      </c>
      <c r="AH19" s="25" t="str">
        <f t="shared" si="16"/>
        <v/>
      </c>
      <c r="AI19" s="25" t="str">
        <f t="shared" si="17"/>
        <v/>
      </c>
      <c r="AJ19" s="26" t="str">
        <f t="shared" si="18"/>
        <v/>
      </c>
    </row>
    <row r="20">
      <c r="A20" s="3"/>
      <c r="B20" s="18" t="str">
        <f t="shared" si="2"/>
        <v/>
      </c>
      <c r="C20" s="19"/>
      <c r="D20" s="19"/>
      <c r="E20" s="19"/>
      <c r="F20" s="20"/>
      <c r="G20" s="20"/>
      <c r="H20" s="21" t="str">
        <f t="shared" si="3"/>
        <v/>
      </c>
      <c r="I20" s="20"/>
      <c r="J20" s="20"/>
      <c r="K20" s="20"/>
      <c r="L20" s="20"/>
      <c r="M20" s="21" t="str">
        <f t="shared" si="4"/>
        <v/>
      </c>
      <c r="N20" s="20"/>
      <c r="O20" s="20"/>
      <c r="P20" s="20"/>
      <c r="Q20" s="21" t="str">
        <f t="shared" si="5"/>
        <v/>
      </c>
      <c r="R20" s="21" t="str">
        <f t="shared" si="6"/>
        <v/>
      </c>
      <c r="S20" s="22"/>
      <c r="T20" s="22"/>
      <c r="U20" s="23" t="str">
        <f t="shared" si="7"/>
        <v/>
      </c>
      <c r="V20" s="21" t="str">
        <f t="shared" si="8"/>
        <v>#DIV/0!</v>
      </c>
      <c r="W20" s="24" t="str">
        <f t="shared" si="9"/>
        <v>#DIV/0!</v>
      </c>
      <c r="X20" s="24" t="str">
        <f t="shared" si="10"/>
        <v>#DIV/0!</v>
      </c>
      <c r="Y20" s="21" t="str">
        <f>IF(A20="","",SUMIFS('Labor Log'!$I$2:$I$2001,'Labor Log'!$A$2:$A$2001,A20))</f>
        <v/>
      </c>
      <c r="Z20" s="24" t="str">
        <f t="shared" si="11"/>
        <v>#DIV/0!</v>
      </c>
      <c r="AA20" s="21" t="str">
        <f>IF(A20="","",SUMIFS('Inventory &amp; COGS'!$H$2:$H$2001,'Inventory &amp; COGS'!$A$2:$A$2001,A20,'Inventory &amp; COGS'!$B$2:$B$2001,"Food"))</f>
        <v/>
      </c>
      <c r="AB20" s="21" t="str">
        <f>IF(A20="","",SUMIFS('Inventory &amp; COGS'!$H$2:$H$2001,'Inventory &amp; COGS'!$A$2:$A$2001,A20,'Inventory &amp; COGS'!$B$2:$B$2001,"Beverage"))</f>
        <v/>
      </c>
      <c r="AC20" s="21" t="str">
        <f t="shared" si="12"/>
        <v/>
      </c>
      <c r="AD20" s="24" t="str">
        <f t="shared" ref="AD20:AE20" si="35">IF(I20=0,"",AA20/I20)</f>
        <v/>
      </c>
      <c r="AE20" s="24" t="str">
        <f t="shared" si="35"/>
        <v/>
      </c>
      <c r="AF20" s="21" t="str">
        <f t="shared" si="14"/>
        <v/>
      </c>
      <c r="AG20" s="24" t="str">
        <f t="shared" si="15"/>
        <v>#DIV/0!</v>
      </c>
      <c r="AH20" s="25" t="str">
        <f t="shared" si="16"/>
        <v/>
      </c>
      <c r="AI20" s="25" t="str">
        <f t="shared" si="17"/>
        <v/>
      </c>
      <c r="AJ20" s="26" t="str">
        <f t="shared" si="18"/>
        <v/>
      </c>
    </row>
    <row r="21" ht="15.75" customHeight="1">
      <c r="A21" s="3"/>
      <c r="B21" s="18" t="str">
        <f t="shared" si="2"/>
        <v/>
      </c>
      <c r="C21" s="19"/>
      <c r="D21" s="19"/>
      <c r="E21" s="19"/>
      <c r="F21" s="20"/>
      <c r="G21" s="20"/>
      <c r="H21" s="21" t="str">
        <f t="shared" si="3"/>
        <v/>
      </c>
      <c r="I21" s="20"/>
      <c r="J21" s="20"/>
      <c r="K21" s="20"/>
      <c r="L21" s="20"/>
      <c r="M21" s="21" t="str">
        <f t="shared" si="4"/>
        <v/>
      </c>
      <c r="N21" s="20"/>
      <c r="O21" s="20"/>
      <c r="P21" s="20"/>
      <c r="Q21" s="21" t="str">
        <f t="shared" si="5"/>
        <v/>
      </c>
      <c r="R21" s="21" t="str">
        <f t="shared" si="6"/>
        <v/>
      </c>
      <c r="S21" s="22"/>
      <c r="T21" s="22"/>
      <c r="U21" s="23" t="str">
        <f t="shared" si="7"/>
        <v/>
      </c>
      <c r="V21" s="21" t="str">
        <f t="shared" si="8"/>
        <v>#DIV/0!</v>
      </c>
      <c r="W21" s="24" t="str">
        <f t="shared" si="9"/>
        <v>#DIV/0!</v>
      </c>
      <c r="X21" s="24" t="str">
        <f t="shared" si="10"/>
        <v>#DIV/0!</v>
      </c>
      <c r="Y21" s="21" t="str">
        <f>IF(A21="","",SUMIFS('Labor Log'!$I$2:$I$2001,'Labor Log'!$A$2:$A$2001,A21))</f>
        <v/>
      </c>
      <c r="Z21" s="24" t="str">
        <f t="shared" si="11"/>
        <v>#DIV/0!</v>
      </c>
      <c r="AA21" s="21" t="str">
        <f>IF(A21="","",SUMIFS('Inventory &amp; COGS'!$H$2:$H$2001,'Inventory &amp; COGS'!$A$2:$A$2001,A21,'Inventory &amp; COGS'!$B$2:$B$2001,"Food"))</f>
        <v/>
      </c>
      <c r="AB21" s="21" t="str">
        <f>IF(A21="","",SUMIFS('Inventory &amp; COGS'!$H$2:$H$2001,'Inventory &amp; COGS'!$A$2:$A$2001,A21,'Inventory &amp; COGS'!$B$2:$B$2001,"Beverage"))</f>
        <v/>
      </c>
      <c r="AC21" s="21" t="str">
        <f t="shared" si="12"/>
        <v/>
      </c>
      <c r="AD21" s="24" t="str">
        <f t="shared" ref="AD21:AE21" si="36">IF(I21=0,"",AA21/I21)</f>
        <v/>
      </c>
      <c r="AE21" s="24" t="str">
        <f t="shared" si="36"/>
        <v/>
      </c>
      <c r="AF21" s="21" t="str">
        <f t="shared" si="14"/>
        <v/>
      </c>
      <c r="AG21" s="24" t="str">
        <f t="shared" si="15"/>
        <v>#DIV/0!</v>
      </c>
      <c r="AH21" s="25" t="str">
        <f t="shared" si="16"/>
        <v/>
      </c>
      <c r="AI21" s="25" t="str">
        <f t="shared" si="17"/>
        <v/>
      </c>
      <c r="AJ21" s="26" t="str">
        <f t="shared" si="18"/>
        <v/>
      </c>
    </row>
    <row r="22" ht="15.75" customHeight="1">
      <c r="A22" s="3"/>
      <c r="B22" s="18" t="str">
        <f t="shared" si="2"/>
        <v/>
      </c>
      <c r="C22" s="19"/>
      <c r="D22" s="19"/>
      <c r="E22" s="19"/>
      <c r="F22" s="20"/>
      <c r="G22" s="20"/>
      <c r="H22" s="21" t="str">
        <f t="shared" si="3"/>
        <v/>
      </c>
      <c r="I22" s="20"/>
      <c r="J22" s="20"/>
      <c r="K22" s="20"/>
      <c r="L22" s="20"/>
      <c r="M22" s="21" t="str">
        <f t="shared" si="4"/>
        <v/>
      </c>
      <c r="N22" s="20"/>
      <c r="O22" s="20"/>
      <c r="P22" s="20"/>
      <c r="Q22" s="21" t="str">
        <f t="shared" si="5"/>
        <v/>
      </c>
      <c r="R22" s="21" t="str">
        <f t="shared" si="6"/>
        <v/>
      </c>
      <c r="S22" s="22"/>
      <c r="T22" s="22"/>
      <c r="U22" s="23" t="str">
        <f t="shared" si="7"/>
        <v/>
      </c>
      <c r="V22" s="21" t="str">
        <f t="shared" si="8"/>
        <v>#DIV/0!</v>
      </c>
      <c r="W22" s="24" t="str">
        <f t="shared" si="9"/>
        <v>#DIV/0!</v>
      </c>
      <c r="X22" s="24" t="str">
        <f t="shared" si="10"/>
        <v>#DIV/0!</v>
      </c>
      <c r="Y22" s="21" t="str">
        <f>IF(A22="","",SUMIFS('Labor Log'!$I$2:$I$2001,'Labor Log'!$A$2:$A$2001,A22))</f>
        <v/>
      </c>
      <c r="Z22" s="24" t="str">
        <f t="shared" si="11"/>
        <v>#DIV/0!</v>
      </c>
      <c r="AA22" s="21" t="str">
        <f>IF(A22="","",SUMIFS('Inventory &amp; COGS'!$H$2:$H$2001,'Inventory &amp; COGS'!$A$2:$A$2001,A22,'Inventory &amp; COGS'!$B$2:$B$2001,"Food"))</f>
        <v/>
      </c>
      <c r="AB22" s="21" t="str">
        <f>IF(A22="","",SUMIFS('Inventory &amp; COGS'!$H$2:$H$2001,'Inventory &amp; COGS'!$A$2:$A$2001,A22,'Inventory &amp; COGS'!$B$2:$B$2001,"Beverage"))</f>
        <v/>
      </c>
      <c r="AC22" s="21" t="str">
        <f t="shared" si="12"/>
        <v/>
      </c>
      <c r="AD22" s="24" t="str">
        <f t="shared" ref="AD22:AE22" si="37">IF(I22=0,"",AA22/I22)</f>
        <v/>
      </c>
      <c r="AE22" s="24" t="str">
        <f t="shared" si="37"/>
        <v/>
      </c>
      <c r="AF22" s="21" t="str">
        <f t="shared" si="14"/>
        <v/>
      </c>
      <c r="AG22" s="24" t="str">
        <f t="shared" si="15"/>
        <v>#DIV/0!</v>
      </c>
      <c r="AH22" s="25" t="str">
        <f t="shared" si="16"/>
        <v/>
      </c>
      <c r="AI22" s="25" t="str">
        <f t="shared" si="17"/>
        <v/>
      </c>
      <c r="AJ22" s="26" t="str">
        <f t="shared" si="18"/>
        <v/>
      </c>
    </row>
    <row r="23" ht="15.75" customHeight="1">
      <c r="A23" s="3"/>
      <c r="B23" s="18" t="str">
        <f t="shared" si="2"/>
        <v/>
      </c>
      <c r="C23" s="19"/>
      <c r="D23" s="19"/>
      <c r="E23" s="19"/>
      <c r="F23" s="20"/>
      <c r="G23" s="20"/>
      <c r="H23" s="21" t="str">
        <f t="shared" si="3"/>
        <v/>
      </c>
      <c r="I23" s="20"/>
      <c r="J23" s="20"/>
      <c r="K23" s="20"/>
      <c r="L23" s="20"/>
      <c r="M23" s="21" t="str">
        <f t="shared" si="4"/>
        <v/>
      </c>
      <c r="N23" s="20"/>
      <c r="O23" s="20"/>
      <c r="P23" s="20"/>
      <c r="Q23" s="21" t="str">
        <f t="shared" si="5"/>
        <v/>
      </c>
      <c r="R23" s="21" t="str">
        <f t="shared" si="6"/>
        <v/>
      </c>
      <c r="S23" s="22"/>
      <c r="T23" s="22"/>
      <c r="U23" s="23" t="str">
        <f t="shared" si="7"/>
        <v/>
      </c>
      <c r="V23" s="21" t="str">
        <f t="shared" si="8"/>
        <v>#DIV/0!</v>
      </c>
      <c r="W23" s="24" t="str">
        <f t="shared" si="9"/>
        <v>#DIV/0!</v>
      </c>
      <c r="X23" s="24" t="str">
        <f t="shared" si="10"/>
        <v>#DIV/0!</v>
      </c>
      <c r="Y23" s="21" t="str">
        <f>IF(A23="","",SUMIFS('Labor Log'!$I$2:$I$2001,'Labor Log'!$A$2:$A$2001,A23))</f>
        <v/>
      </c>
      <c r="Z23" s="24" t="str">
        <f t="shared" si="11"/>
        <v>#DIV/0!</v>
      </c>
      <c r="AA23" s="21" t="str">
        <f>IF(A23="","",SUMIFS('Inventory &amp; COGS'!$H$2:$H$2001,'Inventory &amp; COGS'!$A$2:$A$2001,A23,'Inventory &amp; COGS'!$B$2:$B$2001,"Food"))</f>
        <v/>
      </c>
      <c r="AB23" s="21" t="str">
        <f>IF(A23="","",SUMIFS('Inventory &amp; COGS'!$H$2:$H$2001,'Inventory &amp; COGS'!$A$2:$A$2001,A23,'Inventory &amp; COGS'!$B$2:$B$2001,"Beverage"))</f>
        <v/>
      </c>
      <c r="AC23" s="21" t="str">
        <f t="shared" si="12"/>
        <v/>
      </c>
      <c r="AD23" s="24" t="str">
        <f t="shared" ref="AD23:AE23" si="38">IF(I23=0,"",AA23/I23)</f>
        <v/>
      </c>
      <c r="AE23" s="24" t="str">
        <f t="shared" si="38"/>
        <v/>
      </c>
      <c r="AF23" s="21" t="str">
        <f t="shared" si="14"/>
        <v/>
      </c>
      <c r="AG23" s="24" t="str">
        <f t="shared" si="15"/>
        <v>#DIV/0!</v>
      </c>
      <c r="AH23" s="25" t="str">
        <f t="shared" si="16"/>
        <v/>
      </c>
      <c r="AI23" s="25" t="str">
        <f t="shared" si="17"/>
        <v/>
      </c>
      <c r="AJ23" s="26" t="str">
        <f t="shared" si="18"/>
        <v/>
      </c>
    </row>
    <row r="24" ht="15.75" customHeight="1">
      <c r="A24" s="3"/>
      <c r="B24" s="18" t="str">
        <f t="shared" si="2"/>
        <v/>
      </c>
      <c r="C24" s="19"/>
      <c r="D24" s="19"/>
      <c r="E24" s="19"/>
      <c r="F24" s="20"/>
      <c r="G24" s="20"/>
      <c r="H24" s="21" t="str">
        <f t="shared" si="3"/>
        <v/>
      </c>
      <c r="I24" s="20"/>
      <c r="J24" s="20"/>
      <c r="K24" s="20"/>
      <c r="L24" s="20"/>
      <c r="M24" s="21" t="str">
        <f t="shared" si="4"/>
        <v/>
      </c>
      <c r="N24" s="20"/>
      <c r="O24" s="20"/>
      <c r="P24" s="20"/>
      <c r="Q24" s="21" t="str">
        <f t="shared" si="5"/>
        <v/>
      </c>
      <c r="R24" s="21" t="str">
        <f t="shared" si="6"/>
        <v/>
      </c>
      <c r="S24" s="22"/>
      <c r="T24" s="22"/>
      <c r="U24" s="23" t="str">
        <f t="shared" si="7"/>
        <v/>
      </c>
      <c r="V24" s="21" t="str">
        <f t="shared" si="8"/>
        <v>#DIV/0!</v>
      </c>
      <c r="W24" s="24" t="str">
        <f t="shared" si="9"/>
        <v>#DIV/0!</v>
      </c>
      <c r="X24" s="24" t="str">
        <f t="shared" si="10"/>
        <v>#DIV/0!</v>
      </c>
      <c r="Y24" s="21" t="str">
        <f>IF(A24="","",SUMIFS('Labor Log'!$I$2:$I$2001,'Labor Log'!$A$2:$A$2001,A24))</f>
        <v/>
      </c>
      <c r="Z24" s="24" t="str">
        <f t="shared" si="11"/>
        <v>#DIV/0!</v>
      </c>
      <c r="AA24" s="21" t="str">
        <f>IF(A24="","",SUMIFS('Inventory &amp; COGS'!$H$2:$H$2001,'Inventory &amp; COGS'!$A$2:$A$2001,A24,'Inventory &amp; COGS'!$B$2:$B$2001,"Food"))</f>
        <v/>
      </c>
      <c r="AB24" s="21" t="str">
        <f>IF(A24="","",SUMIFS('Inventory &amp; COGS'!$H$2:$H$2001,'Inventory &amp; COGS'!$A$2:$A$2001,A24,'Inventory &amp; COGS'!$B$2:$B$2001,"Beverage"))</f>
        <v/>
      </c>
      <c r="AC24" s="21" t="str">
        <f t="shared" si="12"/>
        <v/>
      </c>
      <c r="AD24" s="24" t="str">
        <f t="shared" ref="AD24:AE24" si="39">IF(I24=0,"",AA24/I24)</f>
        <v/>
      </c>
      <c r="AE24" s="24" t="str">
        <f t="shared" si="39"/>
        <v/>
      </c>
      <c r="AF24" s="21" t="str">
        <f t="shared" si="14"/>
        <v/>
      </c>
      <c r="AG24" s="24" t="str">
        <f t="shared" si="15"/>
        <v>#DIV/0!</v>
      </c>
      <c r="AH24" s="25" t="str">
        <f t="shared" si="16"/>
        <v/>
      </c>
      <c r="AI24" s="25" t="str">
        <f t="shared" si="17"/>
        <v/>
      </c>
      <c r="AJ24" s="26" t="str">
        <f t="shared" si="18"/>
        <v/>
      </c>
    </row>
    <row r="25" ht="15.75" customHeight="1">
      <c r="A25" s="3"/>
      <c r="B25" s="18" t="str">
        <f t="shared" si="2"/>
        <v/>
      </c>
      <c r="C25" s="19"/>
      <c r="D25" s="19"/>
      <c r="E25" s="19"/>
      <c r="F25" s="20"/>
      <c r="G25" s="20"/>
      <c r="H25" s="21" t="str">
        <f t="shared" si="3"/>
        <v/>
      </c>
      <c r="I25" s="20"/>
      <c r="J25" s="20"/>
      <c r="K25" s="20"/>
      <c r="L25" s="20"/>
      <c r="M25" s="21" t="str">
        <f t="shared" si="4"/>
        <v/>
      </c>
      <c r="N25" s="20"/>
      <c r="O25" s="20"/>
      <c r="P25" s="20"/>
      <c r="Q25" s="21" t="str">
        <f t="shared" si="5"/>
        <v/>
      </c>
      <c r="R25" s="21" t="str">
        <f t="shared" si="6"/>
        <v/>
      </c>
      <c r="S25" s="22"/>
      <c r="T25" s="22"/>
      <c r="U25" s="23" t="str">
        <f t="shared" si="7"/>
        <v/>
      </c>
      <c r="V25" s="21" t="str">
        <f t="shared" si="8"/>
        <v>#DIV/0!</v>
      </c>
      <c r="W25" s="24" t="str">
        <f t="shared" si="9"/>
        <v>#DIV/0!</v>
      </c>
      <c r="X25" s="24" t="str">
        <f t="shared" si="10"/>
        <v>#DIV/0!</v>
      </c>
      <c r="Y25" s="21" t="str">
        <f>IF(A25="","",SUMIFS('Labor Log'!$I$2:$I$2001,'Labor Log'!$A$2:$A$2001,A25))</f>
        <v/>
      </c>
      <c r="Z25" s="24" t="str">
        <f t="shared" si="11"/>
        <v>#DIV/0!</v>
      </c>
      <c r="AA25" s="21" t="str">
        <f>IF(A25="","",SUMIFS('Inventory &amp; COGS'!$H$2:$H$2001,'Inventory &amp; COGS'!$A$2:$A$2001,A25,'Inventory &amp; COGS'!$B$2:$B$2001,"Food"))</f>
        <v/>
      </c>
      <c r="AB25" s="21" t="str">
        <f>IF(A25="","",SUMIFS('Inventory &amp; COGS'!$H$2:$H$2001,'Inventory &amp; COGS'!$A$2:$A$2001,A25,'Inventory &amp; COGS'!$B$2:$B$2001,"Beverage"))</f>
        <v/>
      </c>
      <c r="AC25" s="21" t="str">
        <f t="shared" si="12"/>
        <v/>
      </c>
      <c r="AD25" s="24" t="str">
        <f t="shared" ref="AD25:AE25" si="40">IF(I25=0,"",AA25/I25)</f>
        <v/>
      </c>
      <c r="AE25" s="24" t="str">
        <f t="shared" si="40"/>
        <v/>
      </c>
      <c r="AF25" s="21" t="str">
        <f t="shared" si="14"/>
        <v/>
      </c>
      <c r="AG25" s="24" t="str">
        <f t="shared" si="15"/>
        <v>#DIV/0!</v>
      </c>
      <c r="AH25" s="25" t="str">
        <f t="shared" si="16"/>
        <v/>
      </c>
      <c r="AI25" s="25" t="str">
        <f t="shared" si="17"/>
        <v/>
      </c>
      <c r="AJ25" s="26" t="str">
        <f t="shared" si="18"/>
        <v/>
      </c>
    </row>
    <row r="26" ht="15.75" customHeight="1">
      <c r="A26" s="3"/>
      <c r="B26" s="18" t="str">
        <f t="shared" si="2"/>
        <v/>
      </c>
      <c r="C26" s="19"/>
      <c r="D26" s="19"/>
      <c r="E26" s="19"/>
      <c r="F26" s="20"/>
      <c r="G26" s="20"/>
      <c r="H26" s="21" t="str">
        <f t="shared" si="3"/>
        <v/>
      </c>
      <c r="I26" s="20"/>
      <c r="J26" s="20"/>
      <c r="K26" s="20"/>
      <c r="L26" s="20"/>
      <c r="M26" s="21" t="str">
        <f t="shared" si="4"/>
        <v/>
      </c>
      <c r="N26" s="20"/>
      <c r="O26" s="20"/>
      <c r="P26" s="20"/>
      <c r="Q26" s="21" t="str">
        <f t="shared" si="5"/>
        <v/>
      </c>
      <c r="R26" s="21" t="str">
        <f t="shared" si="6"/>
        <v/>
      </c>
      <c r="S26" s="22"/>
      <c r="T26" s="22"/>
      <c r="U26" s="23" t="str">
        <f t="shared" si="7"/>
        <v/>
      </c>
      <c r="V26" s="21" t="str">
        <f t="shared" si="8"/>
        <v>#DIV/0!</v>
      </c>
      <c r="W26" s="24" t="str">
        <f t="shared" si="9"/>
        <v>#DIV/0!</v>
      </c>
      <c r="X26" s="24" t="str">
        <f t="shared" si="10"/>
        <v>#DIV/0!</v>
      </c>
      <c r="Y26" s="21" t="str">
        <f>IF(A26="","",SUMIFS('Labor Log'!$I$2:$I$2001,'Labor Log'!$A$2:$A$2001,A26))</f>
        <v/>
      </c>
      <c r="Z26" s="24" t="str">
        <f t="shared" si="11"/>
        <v>#DIV/0!</v>
      </c>
      <c r="AA26" s="21" t="str">
        <f>IF(A26="","",SUMIFS('Inventory &amp; COGS'!$H$2:$H$2001,'Inventory &amp; COGS'!$A$2:$A$2001,A26,'Inventory &amp; COGS'!$B$2:$B$2001,"Food"))</f>
        <v/>
      </c>
      <c r="AB26" s="21" t="str">
        <f>IF(A26="","",SUMIFS('Inventory &amp; COGS'!$H$2:$H$2001,'Inventory &amp; COGS'!$A$2:$A$2001,A26,'Inventory &amp; COGS'!$B$2:$B$2001,"Beverage"))</f>
        <v/>
      </c>
      <c r="AC26" s="21" t="str">
        <f t="shared" si="12"/>
        <v/>
      </c>
      <c r="AD26" s="24" t="str">
        <f t="shared" ref="AD26:AE26" si="41">IF(I26=0,"",AA26/I26)</f>
        <v/>
      </c>
      <c r="AE26" s="24" t="str">
        <f t="shared" si="41"/>
        <v/>
      </c>
      <c r="AF26" s="21" t="str">
        <f t="shared" si="14"/>
        <v/>
      </c>
      <c r="AG26" s="24" t="str">
        <f t="shared" si="15"/>
        <v>#DIV/0!</v>
      </c>
      <c r="AH26" s="25" t="str">
        <f t="shared" si="16"/>
        <v/>
      </c>
      <c r="AI26" s="25" t="str">
        <f t="shared" si="17"/>
        <v/>
      </c>
      <c r="AJ26" s="26" t="str">
        <f t="shared" si="18"/>
        <v/>
      </c>
    </row>
    <row r="27" ht="15.75" customHeight="1">
      <c r="A27" s="3"/>
      <c r="B27" s="18" t="str">
        <f t="shared" si="2"/>
        <v/>
      </c>
      <c r="C27" s="19"/>
      <c r="D27" s="19"/>
      <c r="E27" s="19"/>
      <c r="F27" s="20"/>
      <c r="G27" s="20"/>
      <c r="H27" s="21" t="str">
        <f t="shared" si="3"/>
        <v/>
      </c>
      <c r="I27" s="20"/>
      <c r="J27" s="20"/>
      <c r="K27" s="20"/>
      <c r="L27" s="20"/>
      <c r="M27" s="21" t="str">
        <f t="shared" si="4"/>
        <v/>
      </c>
      <c r="N27" s="20"/>
      <c r="O27" s="20"/>
      <c r="P27" s="20"/>
      <c r="Q27" s="21" t="str">
        <f t="shared" si="5"/>
        <v/>
      </c>
      <c r="R27" s="21" t="str">
        <f t="shared" si="6"/>
        <v/>
      </c>
      <c r="S27" s="22"/>
      <c r="T27" s="22"/>
      <c r="U27" s="23" t="str">
        <f t="shared" si="7"/>
        <v/>
      </c>
      <c r="V27" s="21" t="str">
        <f t="shared" si="8"/>
        <v>#DIV/0!</v>
      </c>
      <c r="W27" s="24" t="str">
        <f t="shared" si="9"/>
        <v>#DIV/0!</v>
      </c>
      <c r="X27" s="24" t="str">
        <f t="shared" si="10"/>
        <v>#DIV/0!</v>
      </c>
      <c r="Y27" s="21" t="str">
        <f>IF(A27="","",SUMIFS('Labor Log'!$I$2:$I$2001,'Labor Log'!$A$2:$A$2001,A27))</f>
        <v/>
      </c>
      <c r="Z27" s="24" t="str">
        <f t="shared" si="11"/>
        <v>#DIV/0!</v>
      </c>
      <c r="AA27" s="21" t="str">
        <f>IF(A27="","",SUMIFS('Inventory &amp; COGS'!$H$2:$H$2001,'Inventory &amp; COGS'!$A$2:$A$2001,A27,'Inventory &amp; COGS'!$B$2:$B$2001,"Food"))</f>
        <v/>
      </c>
      <c r="AB27" s="21" t="str">
        <f>IF(A27="","",SUMIFS('Inventory &amp; COGS'!$H$2:$H$2001,'Inventory &amp; COGS'!$A$2:$A$2001,A27,'Inventory &amp; COGS'!$B$2:$B$2001,"Beverage"))</f>
        <v/>
      </c>
      <c r="AC27" s="21" t="str">
        <f t="shared" si="12"/>
        <v/>
      </c>
      <c r="AD27" s="24" t="str">
        <f t="shared" ref="AD27:AE27" si="42">IF(I27=0,"",AA27/I27)</f>
        <v/>
      </c>
      <c r="AE27" s="24" t="str">
        <f t="shared" si="42"/>
        <v/>
      </c>
      <c r="AF27" s="21" t="str">
        <f t="shared" si="14"/>
        <v/>
      </c>
      <c r="AG27" s="24" t="str">
        <f t="shared" si="15"/>
        <v>#DIV/0!</v>
      </c>
      <c r="AH27" s="25" t="str">
        <f t="shared" si="16"/>
        <v/>
      </c>
      <c r="AI27" s="25" t="str">
        <f t="shared" si="17"/>
        <v/>
      </c>
      <c r="AJ27" s="26" t="str">
        <f t="shared" si="18"/>
        <v/>
      </c>
    </row>
    <row r="28" ht="15.75" customHeight="1">
      <c r="A28" s="3"/>
      <c r="B28" s="18" t="str">
        <f t="shared" si="2"/>
        <v/>
      </c>
      <c r="C28" s="19"/>
      <c r="D28" s="19"/>
      <c r="E28" s="19"/>
      <c r="F28" s="20"/>
      <c r="G28" s="20"/>
      <c r="H28" s="21" t="str">
        <f t="shared" si="3"/>
        <v/>
      </c>
      <c r="I28" s="20"/>
      <c r="J28" s="20"/>
      <c r="K28" s="20"/>
      <c r="L28" s="20"/>
      <c r="M28" s="21" t="str">
        <f t="shared" si="4"/>
        <v/>
      </c>
      <c r="N28" s="20"/>
      <c r="O28" s="20"/>
      <c r="P28" s="20"/>
      <c r="Q28" s="21" t="str">
        <f t="shared" si="5"/>
        <v/>
      </c>
      <c r="R28" s="21" t="str">
        <f t="shared" si="6"/>
        <v/>
      </c>
      <c r="S28" s="22"/>
      <c r="T28" s="22"/>
      <c r="U28" s="23" t="str">
        <f t="shared" si="7"/>
        <v/>
      </c>
      <c r="V28" s="21" t="str">
        <f t="shared" si="8"/>
        <v>#DIV/0!</v>
      </c>
      <c r="W28" s="24" t="str">
        <f t="shared" si="9"/>
        <v>#DIV/0!</v>
      </c>
      <c r="X28" s="24" t="str">
        <f t="shared" si="10"/>
        <v>#DIV/0!</v>
      </c>
      <c r="Y28" s="21" t="str">
        <f>IF(A28="","",SUMIFS('Labor Log'!$I$2:$I$2001,'Labor Log'!$A$2:$A$2001,A28))</f>
        <v/>
      </c>
      <c r="Z28" s="24" t="str">
        <f t="shared" si="11"/>
        <v>#DIV/0!</v>
      </c>
      <c r="AA28" s="21" t="str">
        <f>IF(A28="","",SUMIFS('Inventory &amp; COGS'!$H$2:$H$2001,'Inventory &amp; COGS'!$A$2:$A$2001,A28,'Inventory &amp; COGS'!$B$2:$B$2001,"Food"))</f>
        <v/>
      </c>
      <c r="AB28" s="21" t="str">
        <f>IF(A28="","",SUMIFS('Inventory &amp; COGS'!$H$2:$H$2001,'Inventory &amp; COGS'!$A$2:$A$2001,A28,'Inventory &amp; COGS'!$B$2:$B$2001,"Beverage"))</f>
        <v/>
      </c>
      <c r="AC28" s="21" t="str">
        <f t="shared" si="12"/>
        <v/>
      </c>
      <c r="AD28" s="24" t="str">
        <f t="shared" ref="AD28:AE28" si="43">IF(I28=0,"",AA28/I28)</f>
        <v/>
      </c>
      <c r="AE28" s="24" t="str">
        <f t="shared" si="43"/>
        <v/>
      </c>
      <c r="AF28" s="21" t="str">
        <f t="shared" si="14"/>
        <v/>
      </c>
      <c r="AG28" s="24" t="str">
        <f t="shared" si="15"/>
        <v>#DIV/0!</v>
      </c>
      <c r="AH28" s="25" t="str">
        <f t="shared" si="16"/>
        <v/>
      </c>
      <c r="AI28" s="25" t="str">
        <f t="shared" si="17"/>
        <v/>
      </c>
      <c r="AJ28" s="26" t="str">
        <f t="shared" si="18"/>
        <v/>
      </c>
    </row>
    <row r="29" ht="15.75" customHeight="1">
      <c r="A29" s="3"/>
      <c r="B29" s="18" t="str">
        <f t="shared" si="2"/>
        <v/>
      </c>
      <c r="C29" s="19"/>
      <c r="D29" s="19"/>
      <c r="E29" s="19"/>
      <c r="F29" s="20"/>
      <c r="G29" s="20"/>
      <c r="H29" s="21" t="str">
        <f t="shared" si="3"/>
        <v/>
      </c>
      <c r="I29" s="20"/>
      <c r="J29" s="20"/>
      <c r="K29" s="20"/>
      <c r="L29" s="20"/>
      <c r="M29" s="21" t="str">
        <f t="shared" si="4"/>
        <v/>
      </c>
      <c r="N29" s="20"/>
      <c r="O29" s="20"/>
      <c r="P29" s="20"/>
      <c r="Q29" s="21" t="str">
        <f t="shared" si="5"/>
        <v/>
      </c>
      <c r="R29" s="21" t="str">
        <f t="shared" si="6"/>
        <v/>
      </c>
      <c r="S29" s="22"/>
      <c r="T29" s="22"/>
      <c r="U29" s="23" t="str">
        <f t="shared" si="7"/>
        <v/>
      </c>
      <c r="V29" s="21" t="str">
        <f t="shared" si="8"/>
        <v>#DIV/0!</v>
      </c>
      <c r="W29" s="24" t="str">
        <f t="shared" si="9"/>
        <v>#DIV/0!</v>
      </c>
      <c r="X29" s="24" t="str">
        <f t="shared" si="10"/>
        <v>#DIV/0!</v>
      </c>
      <c r="Y29" s="21" t="str">
        <f>IF(A29="","",SUMIFS('Labor Log'!$I$2:$I$2001,'Labor Log'!$A$2:$A$2001,A29))</f>
        <v/>
      </c>
      <c r="Z29" s="24" t="str">
        <f t="shared" si="11"/>
        <v>#DIV/0!</v>
      </c>
      <c r="AA29" s="21" t="str">
        <f>IF(A29="","",SUMIFS('Inventory &amp; COGS'!$H$2:$H$2001,'Inventory &amp; COGS'!$A$2:$A$2001,A29,'Inventory &amp; COGS'!$B$2:$B$2001,"Food"))</f>
        <v/>
      </c>
      <c r="AB29" s="21" t="str">
        <f>IF(A29="","",SUMIFS('Inventory &amp; COGS'!$H$2:$H$2001,'Inventory &amp; COGS'!$A$2:$A$2001,A29,'Inventory &amp; COGS'!$B$2:$B$2001,"Beverage"))</f>
        <v/>
      </c>
      <c r="AC29" s="21" t="str">
        <f t="shared" si="12"/>
        <v/>
      </c>
      <c r="AD29" s="24" t="str">
        <f t="shared" ref="AD29:AE29" si="44">IF(I29=0,"",AA29/I29)</f>
        <v/>
      </c>
      <c r="AE29" s="24" t="str">
        <f t="shared" si="44"/>
        <v/>
      </c>
      <c r="AF29" s="21" t="str">
        <f t="shared" si="14"/>
        <v/>
      </c>
      <c r="AG29" s="24" t="str">
        <f t="shared" si="15"/>
        <v>#DIV/0!</v>
      </c>
      <c r="AH29" s="25" t="str">
        <f t="shared" si="16"/>
        <v/>
      </c>
      <c r="AI29" s="25" t="str">
        <f t="shared" si="17"/>
        <v/>
      </c>
      <c r="AJ29" s="26" t="str">
        <f t="shared" si="18"/>
        <v/>
      </c>
    </row>
    <row r="30" ht="15.75" customHeight="1">
      <c r="A30" s="3"/>
      <c r="B30" s="18" t="str">
        <f t="shared" si="2"/>
        <v/>
      </c>
      <c r="C30" s="19"/>
      <c r="D30" s="19"/>
      <c r="E30" s="19"/>
      <c r="F30" s="20"/>
      <c r="G30" s="20"/>
      <c r="H30" s="21" t="str">
        <f t="shared" si="3"/>
        <v/>
      </c>
      <c r="I30" s="20"/>
      <c r="J30" s="20"/>
      <c r="K30" s="20"/>
      <c r="L30" s="20"/>
      <c r="M30" s="21" t="str">
        <f t="shared" si="4"/>
        <v/>
      </c>
      <c r="N30" s="20"/>
      <c r="O30" s="20"/>
      <c r="P30" s="20"/>
      <c r="Q30" s="21" t="str">
        <f t="shared" si="5"/>
        <v/>
      </c>
      <c r="R30" s="21" t="str">
        <f t="shared" si="6"/>
        <v/>
      </c>
      <c r="S30" s="22"/>
      <c r="T30" s="22"/>
      <c r="U30" s="23" t="str">
        <f t="shared" si="7"/>
        <v/>
      </c>
      <c r="V30" s="21" t="str">
        <f t="shared" si="8"/>
        <v>#DIV/0!</v>
      </c>
      <c r="W30" s="24" t="str">
        <f t="shared" si="9"/>
        <v>#DIV/0!</v>
      </c>
      <c r="X30" s="24" t="str">
        <f t="shared" si="10"/>
        <v>#DIV/0!</v>
      </c>
      <c r="Y30" s="21" t="str">
        <f>IF(A30="","",SUMIFS('Labor Log'!$I$2:$I$2001,'Labor Log'!$A$2:$A$2001,A30))</f>
        <v/>
      </c>
      <c r="Z30" s="24" t="str">
        <f t="shared" si="11"/>
        <v>#DIV/0!</v>
      </c>
      <c r="AA30" s="21" t="str">
        <f>IF(A30="","",SUMIFS('Inventory &amp; COGS'!$H$2:$H$2001,'Inventory &amp; COGS'!$A$2:$A$2001,A30,'Inventory &amp; COGS'!$B$2:$B$2001,"Food"))</f>
        <v/>
      </c>
      <c r="AB30" s="21" t="str">
        <f>IF(A30="","",SUMIFS('Inventory &amp; COGS'!$H$2:$H$2001,'Inventory &amp; COGS'!$A$2:$A$2001,A30,'Inventory &amp; COGS'!$B$2:$B$2001,"Beverage"))</f>
        <v/>
      </c>
      <c r="AC30" s="21" t="str">
        <f t="shared" si="12"/>
        <v/>
      </c>
      <c r="AD30" s="24" t="str">
        <f t="shared" ref="AD30:AE30" si="45">IF(I30=0,"",AA30/I30)</f>
        <v/>
      </c>
      <c r="AE30" s="24" t="str">
        <f t="shared" si="45"/>
        <v/>
      </c>
      <c r="AF30" s="21" t="str">
        <f t="shared" si="14"/>
        <v/>
      </c>
      <c r="AG30" s="24" t="str">
        <f t="shared" si="15"/>
        <v>#DIV/0!</v>
      </c>
      <c r="AH30" s="25" t="str">
        <f t="shared" si="16"/>
        <v/>
      </c>
      <c r="AI30" s="25" t="str">
        <f t="shared" si="17"/>
        <v/>
      </c>
      <c r="AJ30" s="26" t="str">
        <f t="shared" si="18"/>
        <v/>
      </c>
    </row>
    <row r="31" ht="15.75" customHeight="1">
      <c r="A31" s="3"/>
      <c r="B31" s="18" t="str">
        <f t="shared" si="2"/>
        <v/>
      </c>
      <c r="C31" s="19"/>
      <c r="D31" s="19"/>
      <c r="E31" s="19"/>
      <c r="F31" s="20"/>
      <c r="G31" s="20"/>
      <c r="H31" s="21" t="str">
        <f t="shared" si="3"/>
        <v/>
      </c>
      <c r="I31" s="20"/>
      <c r="J31" s="20"/>
      <c r="K31" s="20"/>
      <c r="L31" s="20"/>
      <c r="M31" s="21" t="str">
        <f t="shared" si="4"/>
        <v/>
      </c>
      <c r="N31" s="20"/>
      <c r="O31" s="20"/>
      <c r="P31" s="20"/>
      <c r="Q31" s="21" t="str">
        <f t="shared" si="5"/>
        <v/>
      </c>
      <c r="R31" s="21" t="str">
        <f t="shared" si="6"/>
        <v/>
      </c>
      <c r="S31" s="22"/>
      <c r="T31" s="22"/>
      <c r="U31" s="23" t="str">
        <f t="shared" si="7"/>
        <v/>
      </c>
      <c r="V31" s="21" t="str">
        <f t="shared" si="8"/>
        <v>#DIV/0!</v>
      </c>
      <c r="W31" s="24" t="str">
        <f t="shared" si="9"/>
        <v>#DIV/0!</v>
      </c>
      <c r="X31" s="24" t="str">
        <f t="shared" si="10"/>
        <v>#DIV/0!</v>
      </c>
      <c r="Y31" s="21" t="str">
        <f>IF(A31="","",SUMIFS('Labor Log'!$I$2:$I$2001,'Labor Log'!$A$2:$A$2001,A31))</f>
        <v/>
      </c>
      <c r="Z31" s="24" t="str">
        <f t="shared" si="11"/>
        <v>#DIV/0!</v>
      </c>
      <c r="AA31" s="21" t="str">
        <f>IF(A31="","",SUMIFS('Inventory &amp; COGS'!$H$2:$H$2001,'Inventory &amp; COGS'!$A$2:$A$2001,A31,'Inventory &amp; COGS'!$B$2:$B$2001,"Food"))</f>
        <v/>
      </c>
      <c r="AB31" s="21" t="str">
        <f>IF(A31="","",SUMIFS('Inventory &amp; COGS'!$H$2:$H$2001,'Inventory &amp; COGS'!$A$2:$A$2001,A31,'Inventory &amp; COGS'!$B$2:$B$2001,"Beverage"))</f>
        <v/>
      </c>
      <c r="AC31" s="21" t="str">
        <f t="shared" si="12"/>
        <v/>
      </c>
      <c r="AD31" s="24" t="str">
        <f t="shared" ref="AD31:AE31" si="46">IF(I31=0,"",AA31/I31)</f>
        <v/>
      </c>
      <c r="AE31" s="24" t="str">
        <f t="shared" si="46"/>
        <v/>
      </c>
      <c r="AF31" s="21" t="str">
        <f t="shared" si="14"/>
        <v/>
      </c>
      <c r="AG31" s="24" t="str">
        <f t="shared" si="15"/>
        <v>#DIV/0!</v>
      </c>
      <c r="AH31" s="25" t="str">
        <f t="shared" si="16"/>
        <v/>
      </c>
      <c r="AI31" s="25" t="str">
        <f t="shared" si="17"/>
        <v/>
      </c>
      <c r="AJ31" s="26" t="str">
        <f t="shared" si="18"/>
        <v/>
      </c>
    </row>
    <row r="32" ht="15.75" customHeight="1">
      <c r="A32" s="3"/>
      <c r="B32" s="18" t="str">
        <f t="shared" si="2"/>
        <v/>
      </c>
      <c r="C32" s="19"/>
      <c r="D32" s="19"/>
      <c r="E32" s="19"/>
      <c r="F32" s="20"/>
      <c r="G32" s="20"/>
      <c r="H32" s="21" t="str">
        <f t="shared" si="3"/>
        <v/>
      </c>
      <c r="I32" s="20"/>
      <c r="J32" s="20"/>
      <c r="K32" s="20"/>
      <c r="L32" s="20"/>
      <c r="M32" s="21" t="str">
        <f t="shared" si="4"/>
        <v/>
      </c>
      <c r="N32" s="20"/>
      <c r="O32" s="20"/>
      <c r="P32" s="20"/>
      <c r="Q32" s="21" t="str">
        <f t="shared" si="5"/>
        <v/>
      </c>
      <c r="R32" s="21" t="str">
        <f t="shared" si="6"/>
        <v/>
      </c>
      <c r="S32" s="22"/>
      <c r="T32" s="22"/>
      <c r="U32" s="23" t="str">
        <f t="shared" si="7"/>
        <v/>
      </c>
      <c r="V32" s="21" t="str">
        <f t="shared" si="8"/>
        <v>#DIV/0!</v>
      </c>
      <c r="W32" s="24" t="str">
        <f t="shared" si="9"/>
        <v>#DIV/0!</v>
      </c>
      <c r="X32" s="24" t="str">
        <f t="shared" si="10"/>
        <v>#DIV/0!</v>
      </c>
      <c r="Y32" s="21" t="str">
        <f>IF(A32="","",SUMIFS('Labor Log'!$I$2:$I$2001,'Labor Log'!$A$2:$A$2001,A32))</f>
        <v/>
      </c>
      <c r="Z32" s="24" t="str">
        <f t="shared" si="11"/>
        <v>#DIV/0!</v>
      </c>
      <c r="AA32" s="21" t="str">
        <f>IF(A32="","",SUMIFS('Inventory &amp; COGS'!$H$2:$H$2001,'Inventory &amp; COGS'!$A$2:$A$2001,A32,'Inventory &amp; COGS'!$B$2:$B$2001,"Food"))</f>
        <v/>
      </c>
      <c r="AB32" s="21" t="str">
        <f>IF(A32="","",SUMIFS('Inventory &amp; COGS'!$H$2:$H$2001,'Inventory &amp; COGS'!$A$2:$A$2001,A32,'Inventory &amp; COGS'!$B$2:$B$2001,"Beverage"))</f>
        <v/>
      </c>
      <c r="AC32" s="21" t="str">
        <f t="shared" si="12"/>
        <v/>
      </c>
      <c r="AD32" s="24" t="str">
        <f t="shared" ref="AD32:AE32" si="47">IF(I32=0,"",AA32/I32)</f>
        <v/>
      </c>
      <c r="AE32" s="24" t="str">
        <f t="shared" si="47"/>
        <v/>
      </c>
      <c r="AF32" s="21" t="str">
        <f t="shared" si="14"/>
        <v/>
      </c>
      <c r="AG32" s="24" t="str">
        <f t="shared" si="15"/>
        <v>#DIV/0!</v>
      </c>
      <c r="AH32" s="25" t="str">
        <f t="shared" si="16"/>
        <v/>
      </c>
      <c r="AI32" s="25" t="str">
        <f t="shared" si="17"/>
        <v/>
      </c>
      <c r="AJ32" s="26" t="str">
        <f t="shared" si="18"/>
        <v/>
      </c>
    </row>
    <row r="33" ht="15.75" customHeight="1">
      <c r="A33" s="3"/>
      <c r="B33" s="18" t="str">
        <f t="shared" si="2"/>
        <v/>
      </c>
      <c r="C33" s="19"/>
      <c r="D33" s="19"/>
      <c r="E33" s="19"/>
      <c r="F33" s="20"/>
      <c r="G33" s="20"/>
      <c r="H33" s="21" t="str">
        <f t="shared" si="3"/>
        <v/>
      </c>
      <c r="I33" s="20"/>
      <c r="J33" s="20"/>
      <c r="K33" s="20"/>
      <c r="L33" s="20"/>
      <c r="M33" s="21" t="str">
        <f t="shared" si="4"/>
        <v/>
      </c>
      <c r="N33" s="20"/>
      <c r="O33" s="20"/>
      <c r="P33" s="20"/>
      <c r="Q33" s="21" t="str">
        <f t="shared" si="5"/>
        <v/>
      </c>
      <c r="R33" s="21" t="str">
        <f t="shared" si="6"/>
        <v/>
      </c>
      <c r="S33" s="22"/>
      <c r="T33" s="22"/>
      <c r="U33" s="23" t="str">
        <f t="shared" si="7"/>
        <v/>
      </c>
      <c r="V33" s="21" t="str">
        <f t="shared" si="8"/>
        <v>#DIV/0!</v>
      </c>
      <c r="W33" s="24" t="str">
        <f t="shared" si="9"/>
        <v>#DIV/0!</v>
      </c>
      <c r="X33" s="24" t="str">
        <f t="shared" si="10"/>
        <v>#DIV/0!</v>
      </c>
      <c r="Y33" s="21" t="str">
        <f>IF(A33="","",SUMIFS('Labor Log'!$I$2:$I$2001,'Labor Log'!$A$2:$A$2001,A33))</f>
        <v/>
      </c>
      <c r="Z33" s="24" t="str">
        <f t="shared" si="11"/>
        <v>#DIV/0!</v>
      </c>
      <c r="AA33" s="21" t="str">
        <f>IF(A33="","",SUMIFS('Inventory &amp; COGS'!$H$2:$H$2001,'Inventory &amp; COGS'!$A$2:$A$2001,A33,'Inventory &amp; COGS'!$B$2:$B$2001,"Food"))</f>
        <v/>
      </c>
      <c r="AB33" s="21" t="str">
        <f>IF(A33="","",SUMIFS('Inventory &amp; COGS'!$H$2:$H$2001,'Inventory &amp; COGS'!$A$2:$A$2001,A33,'Inventory &amp; COGS'!$B$2:$B$2001,"Beverage"))</f>
        <v/>
      </c>
      <c r="AC33" s="21" t="str">
        <f t="shared" si="12"/>
        <v/>
      </c>
      <c r="AD33" s="24" t="str">
        <f t="shared" ref="AD33:AE33" si="48">IF(I33=0,"",AA33/I33)</f>
        <v/>
      </c>
      <c r="AE33" s="24" t="str">
        <f t="shared" si="48"/>
        <v/>
      </c>
      <c r="AF33" s="21" t="str">
        <f t="shared" si="14"/>
        <v/>
      </c>
      <c r="AG33" s="24" t="str">
        <f t="shared" si="15"/>
        <v>#DIV/0!</v>
      </c>
      <c r="AH33" s="25" t="str">
        <f t="shared" si="16"/>
        <v/>
      </c>
      <c r="AI33" s="25" t="str">
        <f t="shared" si="17"/>
        <v/>
      </c>
      <c r="AJ33" s="26" t="str">
        <f t="shared" si="18"/>
        <v/>
      </c>
    </row>
    <row r="34" ht="15.75" customHeight="1">
      <c r="A34" s="3"/>
      <c r="B34" s="18" t="str">
        <f t="shared" si="2"/>
        <v/>
      </c>
      <c r="C34" s="19"/>
      <c r="D34" s="19"/>
      <c r="E34" s="19"/>
      <c r="F34" s="20"/>
      <c r="G34" s="20"/>
      <c r="H34" s="21" t="str">
        <f t="shared" si="3"/>
        <v/>
      </c>
      <c r="I34" s="20"/>
      <c r="J34" s="20"/>
      <c r="K34" s="20"/>
      <c r="L34" s="20"/>
      <c r="M34" s="21" t="str">
        <f t="shared" si="4"/>
        <v/>
      </c>
      <c r="N34" s="20"/>
      <c r="O34" s="20"/>
      <c r="P34" s="20"/>
      <c r="Q34" s="21" t="str">
        <f t="shared" si="5"/>
        <v/>
      </c>
      <c r="R34" s="21" t="str">
        <f t="shared" si="6"/>
        <v/>
      </c>
      <c r="S34" s="22"/>
      <c r="T34" s="22"/>
      <c r="U34" s="23" t="str">
        <f t="shared" si="7"/>
        <v/>
      </c>
      <c r="V34" s="21" t="str">
        <f t="shared" si="8"/>
        <v>#DIV/0!</v>
      </c>
      <c r="W34" s="24" t="str">
        <f t="shared" si="9"/>
        <v>#DIV/0!</v>
      </c>
      <c r="X34" s="24" t="str">
        <f t="shared" si="10"/>
        <v>#DIV/0!</v>
      </c>
      <c r="Y34" s="21" t="str">
        <f>IF(A34="","",SUMIFS('Labor Log'!$I$2:$I$2001,'Labor Log'!$A$2:$A$2001,A34))</f>
        <v/>
      </c>
      <c r="Z34" s="24" t="str">
        <f t="shared" si="11"/>
        <v>#DIV/0!</v>
      </c>
      <c r="AA34" s="21" t="str">
        <f>IF(A34="","",SUMIFS('Inventory &amp; COGS'!$H$2:$H$2001,'Inventory &amp; COGS'!$A$2:$A$2001,A34,'Inventory &amp; COGS'!$B$2:$B$2001,"Food"))</f>
        <v/>
      </c>
      <c r="AB34" s="21" t="str">
        <f>IF(A34="","",SUMIFS('Inventory &amp; COGS'!$H$2:$H$2001,'Inventory &amp; COGS'!$A$2:$A$2001,A34,'Inventory &amp; COGS'!$B$2:$B$2001,"Beverage"))</f>
        <v/>
      </c>
      <c r="AC34" s="21" t="str">
        <f t="shared" si="12"/>
        <v/>
      </c>
      <c r="AD34" s="24" t="str">
        <f t="shared" ref="AD34:AE34" si="49">IF(I34=0,"",AA34/I34)</f>
        <v/>
      </c>
      <c r="AE34" s="24" t="str">
        <f t="shared" si="49"/>
        <v/>
      </c>
      <c r="AF34" s="21" t="str">
        <f t="shared" si="14"/>
        <v/>
      </c>
      <c r="AG34" s="24" t="str">
        <f t="shared" si="15"/>
        <v>#DIV/0!</v>
      </c>
      <c r="AH34" s="25" t="str">
        <f t="shared" si="16"/>
        <v/>
      </c>
      <c r="AI34" s="25" t="str">
        <f t="shared" si="17"/>
        <v/>
      </c>
      <c r="AJ34" s="26" t="str">
        <f t="shared" si="18"/>
        <v/>
      </c>
    </row>
    <row r="35" ht="15.75" customHeight="1">
      <c r="A35" s="3"/>
      <c r="B35" s="18" t="str">
        <f t="shared" si="2"/>
        <v/>
      </c>
      <c r="C35" s="19"/>
      <c r="D35" s="19"/>
      <c r="E35" s="19"/>
      <c r="F35" s="20"/>
      <c r="G35" s="20"/>
      <c r="H35" s="21" t="str">
        <f t="shared" si="3"/>
        <v/>
      </c>
      <c r="I35" s="20"/>
      <c r="J35" s="20"/>
      <c r="K35" s="20"/>
      <c r="L35" s="20"/>
      <c r="M35" s="21" t="str">
        <f t="shared" si="4"/>
        <v/>
      </c>
      <c r="N35" s="20"/>
      <c r="O35" s="20"/>
      <c r="P35" s="20"/>
      <c r="Q35" s="21" t="str">
        <f t="shared" si="5"/>
        <v/>
      </c>
      <c r="R35" s="21" t="str">
        <f t="shared" si="6"/>
        <v/>
      </c>
      <c r="S35" s="22"/>
      <c r="T35" s="22"/>
      <c r="U35" s="23" t="str">
        <f t="shared" si="7"/>
        <v/>
      </c>
      <c r="V35" s="21" t="str">
        <f t="shared" si="8"/>
        <v>#DIV/0!</v>
      </c>
      <c r="W35" s="24" t="str">
        <f t="shared" si="9"/>
        <v>#DIV/0!</v>
      </c>
      <c r="X35" s="24" t="str">
        <f t="shared" si="10"/>
        <v>#DIV/0!</v>
      </c>
      <c r="Y35" s="21" t="str">
        <f>IF(A35="","",SUMIFS('Labor Log'!$I$2:$I$2001,'Labor Log'!$A$2:$A$2001,A35))</f>
        <v/>
      </c>
      <c r="Z35" s="24" t="str">
        <f t="shared" si="11"/>
        <v>#DIV/0!</v>
      </c>
      <c r="AA35" s="21" t="str">
        <f>IF(A35="","",SUMIFS('Inventory &amp; COGS'!$H$2:$H$2001,'Inventory &amp; COGS'!$A$2:$A$2001,A35,'Inventory &amp; COGS'!$B$2:$B$2001,"Food"))</f>
        <v/>
      </c>
      <c r="AB35" s="21" t="str">
        <f>IF(A35="","",SUMIFS('Inventory &amp; COGS'!$H$2:$H$2001,'Inventory &amp; COGS'!$A$2:$A$2001,A35,'Inventory &amp; COGS'!$B$2:$B$2001,"Beverage"))</f>
        <v/>
      </c>
      <c r="AC35" s="21" t="str">
        <f t="shared" si="12"/>
        <v/>
      </c>
      <c r="AD35" s="24" t="str">
        <f t="shared" ref="AD35:AE35" si="50">IF(I35=0,"",AA35/I35)</f>
        <v/>
      </c>
      <c r="AE35" s="24" t="str">
        <f t="shared" si="50"/>
        <v/>
      </c>
      <c r="AF35" s="21" t="str">
        <f t="shared" si="14"/>
        <v/>
      </c>
      <c r="AG35" s="24" t="str">
        <f t="shared" si="15"/>
        <v>#DIV/0!</v>
      </c>
      <c r="AH35" s="25" t="str">
        <f t="shared" si="16"/>
        <v/>
      </c>
      <c r="AI35" s="25" t="str">
        <f t="shared" si="17"/>
        <v/>
      </c>
      <c r="AJ35" s="26" t="str">
        <f t="shared" si="18"/>
        <v/>
      </c>
    </row>
    <row r="36" ht="15.75" customHeight="1">
      <c r="A36" s="3"/>
      <c r="B36" s="18" t="str">
        <f t="shared" si="2"/>
        <v/>
      </c>
      <c r="C36" s="19"/>
      <c r="D36" s="19"/>
      <c r="E36" s="19"/>
      <c r="F36" s="20"/>
      <c r="G36" s="20"/>
      <c r="H36" s="21" t="str">
        <f t="shared" si="3"/>
        <v/>
      </c>
      <c r="I36" s="20"/>
      <c r="J36" s="20"/>
      <c r="K36" s="20"/>
      <c r="L36" s="20"/>
      <c r="M36" s="21" t="str">
        <f t="shared" si="4"/>
        <v/>
      </c>
      <c r="N36" s="20"/>
      <c r="O36" s="20"/>
      <c r="P36" s="20"/>
      <c r="Q36" s="21" t="str">
        <f t="shared" si="5"/>
        <v/>
      </c>
      <c r="R36" s="21" t="str">
        <f t="shared" si="6"/>
        <v/>
      </c>
      <c r="S36" s="22"/>
      <c r="T36" s="22"/>
      <c r="U36" s="23" t="str">
        <f t="shared" si="7"/>
        <v/>
      </c>
      <c r="V36" s="21" t="str">
        <f t="shared" si="8"/>
        <v>#DIV/0!</v>
      </c>
      <c r="W36" s="24" t="str">
        <f t="shared" si="9"/>
        <v>#DIV/0!</v>
      </c>
      <c r="X36" s="24" t="str">
        <f t="shared" si="10"/>
        <v>#DIV/0!</v>
      </c>
      <c r="Y36" s="21" t="str">
        <f>IF(A36="","",SUMIFS('Labor Log'!$I$2:$I$2001,'Labor Log'!$A$2:$A$2001,A36))</f>
        <v/>
      </c>
      <c r="Z36" s="24" t="str">
        <f t="shared" si="11"/>
        <v>#DIV/0!</v>
      </c>
      <c r="AA36" s="21" t="str">
        <f>IF(A36="","",SUMIFS('Inventory &amp; COGS'!$H$2:$H$2001,'Inventory &amp; COGS'!$A$2:$A$2001,A36,'Inventory &amp; COGS'!$B$2:$B$2001,"Food"))</f>
        <v/>
      </c>
      <c r="AB36" s="21" t="str">
        <f>IF(A36="","",SUMIFS('Inventory &amp; COGS'!$H$2:$H$2001,'Inventory &amp; COGS'!$A$2:$A$2001,A36,'Inventory &amp; COGS'!$B$2:$B$2001,"Beverage"))</f>
        <v/>
      </c>
      <c r="AC36" s="21" t="str">
        <f t="shared" si="12"/>
        <v/>
      </c>
      <c r="AD36" s="24" t="str">
        <f t="shared" ref="AD36:AE36" si="51">IF(I36=0,"",AA36/I36)</f>
        <v/>
      </c>
      <c r="AE36" s="24" t="str">
        <f t="shared" si="51"/>
        <v/>
      </c>
      <c r="AF36" s="21" t="str">
        <f t="shared" si="14"/>
        <v/>
      </c>
      <c r="AG36" s="24" t="str">
        <f t="shared" si="15"/>
        <v>#DIV/0!</v>
      </c>
      <c r="AH36" s="25" t="str">
        <f t="shared" si="16"/>
        <v/>
      </c>
      <c r="AI36" s="25" t="str">
        <f t="shared" si="17"/>
        <v/>
      </c>
      <c r="AJ36" s="26" t="str">
        <f t="shared" si="18"/>
        <v/>
      </c>
    </row>
    <row r="37" ht="15.75" customHeight="1">
      <c r="A37" s="3"/>
      <c r="B37" s="18" t="str">
        <f t="shared" si="2"/>
        <v/>
      </c>
      <c r="C37" s="19"/>
      <c r="D37" s="19"/>
      <c r="E37" s="19"/>
      <c r="F37" s="20"/>
      <c r="G37" s="20"/>
      <c r="H37" s="21" t="str">
        <f t="shared" si="3"/>
        <v/>
      </c>
      <c r="I37" s="20"/>
      <c r="J37" s="20"/>
      <c r="K37" s="20"/>
      <c r="L37" s="20"/>
      <c r="M37" s="21" t="str">
        <f t="shared" si="4"/>
        <v/>
      </c>
      <c r="N37" s="20"/>
      <c r="O37" s="20"/>
      <c r="P37" s="20"/>
      <c r="Q37" s="21" t="str">
        <f t="shared" si="5"/>
        <v/>
      </c>
      <c r="R37" s="21" t="str">
        <f t="shared" si="6"/>
        <v/>
      </c>
      <c r="S37" s="22"/>
      <c r="T37" s="22"/>
      <c r="U37" s="23" t="str">
        <f t="shared" si="7"/>
        <v/>
      </c>
      <c r="V37" s="21" t="str">
        <f t="shared" si="8"/>
        <v>#DIV/0!</v>
      </c>
      <c r="W37" s="24" t="str">
        <f t="shared" si="9"/>
        <v>#DIV/0!</v>
      </c>
      <c r="X37" s="24" t="str">
        <f t="shared" si="10"/>
        <v>#DIV/0!</v>
      </c>
      <c r="Y37" s="21" t="str">
        <f>IF(A37="","",SUMIFS('Labor Log'!$I$2:$I$2001,'Labor Log'!$A$2:$A$2001,A37))</f>
        <v/>
      </c>
      <c r="Z37" s="24" t="str">
        <f t="shared" si="11"/>
        <v>#DIV/0!</v>
      </c>
      <c r="AA37" s="21" t="str">
        <f>IF(A37="","",SUMIFS('Inventory &amp; COGS'!$H$2:$H$2001,'Inventory &amp; COGS'!$A$2:$A$2001,A37,'Inventory &amp; COGS'!$B$2:$B$2001,"Food"))</f>
        <v/>
      </c>
      <c r="AB37" s="21" t="str">
        <f>IF(A37="","",SUMIFS('Inventory &amp; COGS'!$H$2:$H$2001,'Inventory &amp; COGS'!$A$2:$A$2001,A37,'Inventory &amp; COGS'!$B$2:$B$2001,"Beverage"))</f>
        <v/>
      </c>
      <c r="AC37" s="21" t="str">
        <f t="shared" si="12"/>
        <v/>
      </c>
      <c r="AD37" s="24" t="str">
        <f t="shared" ref="AD37:AE37" si="52">IF(I37=0,"",AA37/I37)</f>
        <v/>
      </c>
      <c r="AE37" s="24" t="str">
        <f t="shared" si="52"/>
        <v/>
      </c>
      <c r="AF37" s="21" t="str">
        <f t="shared" si="14"/>
        <v/>
      </c>
      <c r="AG37" s="24" t="str">
        <f t="shared" si="15"/>
        <v>#DIV/0!</v>
      </c>
      <c r="AH37" s="25" t="str">
        <f t="shared" si="16"/>
        <v/>
      </c>
      <c r="AI37" s="25" t="str">
        <f t="shared" si="17"/>
        <v/>
      </c>
      <c r="AJ37" s="26" t="str">
        <f t="shared" si="18"/>
        <v/>
      </c>
    </row>
    <row r="38" ht="15.75" customHeight="1">
      <c r="A38" s="3"/>
      <c r="B38" s="18" t="str">
        <f t="shared" si="2"/>
        <v/>
      </c>
      <c r="C38" s="19"/>
      <c r="D38" s="19"/>
      <c r="E38" s="19"/>
      <c r="F38" s="20"/>
      <c r="G38" s="20"/>
      <c r="H38" s="21" t="str">
        <f t="shared" si="3"/>
        <v/>
      </c>
      <c r="I38" s="20"/>
      <c r="J38" s="20"/>
      <c r="K38" s="20"/>
      <c r="L38" s="20"/>
      <c r="M38" s="21" t="str">
        <f t="shared" si="4"/>
        <v/>
      </c>
      <c r="N38" s="20"/>
      <c r="O38" s="20"/>
      <c r="P38" s="20"/>
      <c r="Q38" s="21" t="str">
        <f t="shared" si="5"/>
        <v/>
      </c>
      <c r="R38" s="21" t="str">
        <f t="shared" si="6"/>
        <v/>
      </c>
      <c r="S38" s="22"/>
      <c r="T38" s="22"/>
      <c r="U38" s="23" t="str">
        <f t="shared" si="7"/>
        <v/>
      </c>
      <c r="V38" s="21" t="str">
        <f t="shared" si="8"/>
        <v>#DIV/0!</v>
      </c>
      <c r="W38" s="24" t="str">
        <f t="shared" si="9"/>
        <v>#DIV/0!</v>
      </c>
      <c r="X38" s="24" t="str">
        <f t="shared" si="10"/>
        <v>#DIV/0!</v>
      </c>
      <c r="Y38" s="21" t="str">
        <f>IF(A38="","",SUMIFS('Labor Log'!$I$2:$I$2001,'Labor Log'!$A$2:$A$2001,A38))</f>
        <v/>
      </c>
      <c r="Z38" s="24" t="str">
        <f t="shared" si="11"/>
        <v>#DIV/0!</v>
      </c>
      <c r="AA38" s="21" t="str">
        <f>IF(A38="","",SUMIFS('Inventory &amp; COGS'!$H$2:$H$2001,'Inventory &amp; COGS'!$A$2:$A$2001,A38,'Inventory &amp; COGS'!$B$2:$B$2001,"Food"))</f>
        <v/>
      </c>
      <c r="AB38" s="21" t="str">
        <f>IF(A38="","",SUMIFS('Inventory &amp; COGS'!$H$2:$H$2001,'Inventory &amp; COGS'!$A$2:$A$2001,A38,'Inventory &amp; COGS'!$B$2:$B$2001,"Beverage"))</f>
        <v/>
      </c>
      <c r="AC38" s="21" t="str">
        <f t="shared" si="12"/>
        <v/>
      </c>
      <c r="AD38" s="24" t="str">
        <f t="shared" ref="AD38:AE38" si="53">IF(I38=0,"",AA38/I38)</f>
        <v/>
      </c>
      <c r="AE38" s="24" t="str">
        <f t="shared" si="53"/>
        <v/>
      </c>
      <c r="AF38" s="21" t="str">
        <f t="shared" si="14"/>
        <v/>
      </c>
      <c r="AG38" s="24" t="str">
        <f t="shared" si="15"/>
        <v>#DIV/0!</v>
      </c>
      <c r="AH38" s="25" t="str">
        <f t="shared" si="16"/>
        <v/>
      </c>
      <c r="AI38" s="25" t="str">
        <f t="shared" si="17"/>
        <v/>
      </c>
      <c r="AJ38" s="26" t="str">
        <f t="shared" si="18"/>
        <v/>
      </c>
    </row>
    <row r="39" ht="15.75" customHeight="1">
      <c r="A39" s="3"/>
      <c r="B39" s="18" t="str">
        <f t="shared" si="2"/>
        <v/>
      </c>
      <c r="C39" s="19"/>
      <c r="D39" s="19"/>
      <c r="E39" s="19"/>
      <c r="F39" s="20"/>
      <c r="G39" s="20"/>
      <c r="H39" s="21" t="str">
        <f t="shared" si="3"/>
        <v/>
      </c>
      <c r="I39" s="20"/>
      <c r="J39" s="20"/>
      <c r="K39" s="20"/>
      <c r="L39" s="20"/>
      <c r="M39" s="21" t="str">
        <f t="shared" si="4"/>
        <v/>
      </c>
      <c r="N39" s="20"/>
      <c r="O39" s="20"/>
      <c r="P39" s="20"/>
      <c r="Q39" s="21" t="str">
        <f t="shared" si="5"/>
        <v/>
      </c>
      <c r="R39" s="21" t="str">
        <f t="shared" si="6"/>
        <v/>
      </c>
      <c r="S39" s="22"/>
      <c r="T39" s="22"/>
      <c r="U39" s="23" t="str">
        <f t="shared" si="7"/>
        <v/>
      </c>
      <c r="V39" s="21" t="str">
        <f t="shared" si="8"/>
        <v>#DIV/0!</v>
      </c>
      <c r="W39" s="24" t="str">
        <f t="shared" si="9"/>
        <v>#DIV/0!</v>
      </c>
      <c r="X39" s="24" t="str">
        <f t="shared" si="10"/>
        <v>#DIV/0!</v>
      </c>
      <c r="Y39" s="21" t="str">
        <f>IF(A39="","",SUMIFS('Labor Log'!$I$2:$I$2001,'Labor Log'!$A$2:$A$2001,A39))</f>
        <v/>
      </c>
      <c r="Z39" s="24" t="str">
        <f t="shared" si="11"/>
        <v>#DIV/0!</v>
      </c>
      <c r="AA39" s="21" t="str">
        <f>IF(A39="","",SUMIFS('Inventory &amp; COGS'!$H$2:$H$2001,'Inventory &amp; COGS'!$A$2:$A$2001,A39,'Inventory &amp; COGS'!$B$2:$B$2001,"Food"))</f>
        <v/>
      </c>
      <c r="AB39" s="21" t="str">
        <f>IF(A39="","",SUMIFS('Inventory &amp; COGS'!$H$2:$H$2001,'Inventory &amp; COGS'!$A$2:$A$2001,A39,'Inventory &amp; COGS'!$B$2:$B$2001,"Beverage"))</f>
        <v/>
      </c>
      <c r="AC39" s="21" t="str">
        <f t="shared" si="12"/>
        <v/>
      </c>
      <c r="AD39" s="24" t="str">
        <f t="shared" ref="AD39:AE39" si="54">IF(I39=0,"",AA39/I39)</f>
        <v/>
      </c>
      <c r="AE39" s="24" t="str">
        <f t="shared" si="54"/>
        <v/>
      </c>
      <c r="AF39" s="21" t="str">
        <f t="shared" si="14"/>
        <v/>
      </c>
      <c r="AG39" s="24" t="str">
        <f t="shared" si="15"/>
        <v>#DIV/0!</v>
      </c>
      <c r="AH39" s="25" t="str">
        <f t="shared" si="16"/>
        <v/>
      </c>
      <c r="AI39" s="25" t="str">
        <f t="shared" si="17"/>
        <v/>
      </c>
      <c r="AJ39" s="26" t="str">
        <f t="shared" si="18"/>
        <v/>
      </c>
    </row>
    <row r="40" ht="15.75" customHeight="1">
      <c r="A40" s="3"/>
      <c r="B40" s="18" t="str">
        <f t="shared" si="2"/>
        <v/>
      </c>
      <c r="C40" s="19"/>
      <c r="D40" s="19"/>
      <c r="E40" s="19"/>
      <c r="F40" s="20"/>
      <c r="G40" s="20"/>
      <c r="H40" s="21" t="str">
        <f t="shared" si="3"/>
        <v/>
      </c>
      <c r="I40" s="20"/>
      <c r="J40" s="20"/>
      <c r="K40" s="20"/>
      <c r="L40" s="20"/>
      <c r="M40" s="21" t="str">
        <f t="shared" si="4"/>
        <v/>
      </c>
      <c r="N40" s="20"/>
      <c r="O40" s="20"/>
      <c r="P40" s="20"/>
      <c r="Q40" s="21" t="str">
        <f t="shared" si="5"/>
        <v/>
      </c>
      <c r="R40" s="21" t="str">
        <f t="shared" si="6"/>
        <v/>
      </c>
      <c r="S40" s="22"/>
      <c r="T40" s="22"/>
      <c r="U40" s="23" t="str">
        <f t="shared" si="7"/>
        <v/>
      </c>
      <c r="V40" s="21" t="str">
        <f t="shared" si="8"/>
        <v>#DIV/0!</v>
      </c>
      <c r="W40" s="24" t="str">
        <f t="shared" si="9"/>
        <v>#DIV/0!</v>
      </c>
      <c r="X40" s="24" t="str">
        <f t="shared" si="10"/>
        <v>#DIV/0!</v>
      </c>
      <c r="Y40" s="21" t="str">
        <f>IF(A40="","",SUMIFS('Labor Log'!$I$2:$I$2001,'Labor Log'!$A$2:$A$2001,A40))</f>
        <v/>
      </c>
      <c r="Z40" s="24" t="str">
        <f t="shared" si="11"/>
        <v>#DIV/0!</v>
      </c>
      <c r="AA40" s="21" t="str">
        <f>IF(A40="","",SUMIFS('Inventory &amp; COGS'!$H$2:$H$2001,'Inventory &amp; COGS'!$A$2:$A$2001,A40,'Inventory &amp; COGS'!$B$2:$B$2001,"Food"))</f>
        <v/>
      </c>
      <c r="AB40" s="21" t="str">
        <f>IF(A40="","",SUMIFS('Inventory &amp; COGS'!$H$2:$H$2001,'Inventory &amp; COGS'!$A$2:$A$2001,A40,'Inventory &amp; COGS'!$B$2:$B$2001,"Beverage"))</f>
        <v/>
      </c>
      <c r="AC40" s="21" t="str">
        <f t="shared" si="12"/>
        <v/>
      </c>
      <c r="AD40" s="24" t="str">
        <f t="shared" ref="AD40:AE40" si="55">IF(I40=0,"",AA40/I40)</f>
        <v/>
      </c>
      <c r="AE40" s="24" t="str">
        <f t="shared" si="55"/>
        <v/>
      </c>
      <c r="AF40" s="21" t="str">
        <f t="shared" si="14"/>
        <v/>
      </c>
      <c r="AG40" s="24" t="str">
        <f t="shared" si="15"/>
        <v>#DIV/0!</v>
      </c>
      <c r="AH40" s="25" t="str">
        <f t="shared" si="16"/>
        <v/>
      </c>
      <c r="AI40" s="25" t="str">
        <f t="shared" si="17"/>
        <v/>
      </c>
      <c r="AJ40" s="26" t="str">
        <f t="shared" si="18"/>
        <v/>
      </c>
    </row>
    <row r="41" ht="15.75" customHeight="1">
      <c r="A41" s="3"/>
      <c r="B41" s="18" t="str">
        <f t="shared" si="2"/>
        <v/>
      </c>
      <c r="C41" s="19"/>
      <c r="D41" s="19"/>
      <c r="E41" s="19"/>
      <c r="F41" s="20"/>
      <c r="G41" s="20"/>
      <c r="H41" s="21" t="str">
        <f t="shared" si="3"/>
        <v/>
      </c>
      <c r="I41" s="20"/>
      <c r="J41" s="20"/>
      <c r="K41" s="20"/>
      <c r="L41" s="20"/>
      <c r="M41" s="21" t="str">
        <f t="shared" si="4"/>
        <v/>
      </c>
      <c r="N41" s="20"/>
      <c r="O41" s="20"/>
      <c r="P41" s="20"/>
      <c r="Q41" s="21" t="str">
        <f t="shared" si="5"/>
        <v/>
      </c>
      <c r="R41" s="21" t="str">
        <f t="shared" si="6"/>
        <v/>
      </c>
      <c r="S41" s="22"/>
      <c r="T41" s="22"/>
      <c r="U41" s="23" t="str">
        <f t="shared" si="7"/>
        <v/>
      </c>
      <c r="V41" s="21" t="str">
        <f t="shared" si="8"/>
        <v>#DIV/0!</v>
      </c>
      <c r="W41" s="24" t="str">
        <f t="shared" si="9"/>
        <v>#DIV/0!</v>
      </c>
      <c r="X41" s="24" t="str">
        <f t="shared" si="10"/>
        <v>#DIV/0!</v>
      </c>
      <c r="Y41" s="21" t="str">
        <f>IF(A41="","",SUMIFS('Labor Log'!$I$2:$I$2001,'Labor Log'!$A$2:$A$2001,A41))</f>
        <v/>
      </c>
      <c r="Z41" s="24" t="str">
        <f t="shared" si="11"/>
        <v>#DIV/0!</v>
      </c>
      <c r="AA41" s="21" t="str">
        <f>IF(A41="","",SUMIFS('Inventory &amp; COGS'!$H$2:$H$2001,'Inventory &amp; COGS'!$A$2:$A$2001,A41,'Inventory &amp; COGS'!$B$2:$B$2001,"Food"))</f>
        <v/>
      </c>
      <c r="AB41" s="21" t="str">
        <f>IF(A41="","",SUMIFS('Inventory &amp; COGS'!$H$2:$H$2001,'Inventory &amp; COGS'!$A$2:$A$2001,A41,'Inventory &amp; COGS'!$B$2:$B$2001,"Beverage"))</f>
        <v/>
      </c>
      <c r="AC41" s="21" t="str">
        <f t="shared" si="12"/>
        <v/>
      </c>
      <c r="AD41" s="24" t="str">
        <f t="shared" ref="AD41:AE41" si="56">IF(I41=0,"",AA41/I41)</f>
        <v/>
      </c>
      <c r="AE41" s="24" t="str">
        <f t="shared" si="56"/>
        <v/>
      </c>
      <c r="AF41" s="21" t="str">
        <f t="shared" si="14"/>
        <v/>
      </c>
      <c r="AG41" s="24" t="str">
        <f t="shared" si="15"/>
        <v>#DIV/0!</v>
      </c>
      <c r="AH41" s="25" t="str">
        <f t="shared" si="16"/>
        <v/>
      </c>
      <c r="AI41" s="25" t="str">
        <f t="shared" si="17"/>
        <v/>
      </c>
      <c r="AJ41" s="26" t="str">
        <f t="shared" si="18"/>
        <v/>
      </c>
    </row>
    <row r="42" ht="15.75" customHeight="1">
      <c r="A42" s="3"/>
      <c r="B42" s="18" t="str">
        <f t="shared" si="2"/>
        <v/>
      </c>
      <c r="C42" s="19"/>
      <c r="D42" s="19"/>
      <c r="E42" s="19"/>
      <c r="F42" s="20"/>
      <c r="G42" s="20"/>
      <c r="H42" s="21" t="str">
        <f t="shared" si="3"/>
        <v/>
      </c>
      <c r="I42" s="20"/>
      <c r="J42" s="20"/>
      <c r="K42" s="20"/>
      <c r="L42" s="20"/>
      <c r="M42" s="21" t="str">
        <f t="shared" si="4"/>
        <v/>
      </c>
      <c r="N42" s="20"/>
      <c r="O42" s="20"/>
      <c r="P42" s="20"/>
      <c r="Q42" s="21" t="str">
        <f t="shared" si="5"/>
        <v/>
      </c>
      <c r="R42" s="21" t="str">
        <f t="shared" si="6"/>
        <v/>
      </c>
      <c r="S42" s="22"/>
      <c r="T42" s="22"/>
      <c r="U42" s="23" t="str">
        <f t="shared" si="7"/>
        <v/>
      </c>
      <c r="V42" s="21" t="str">
        <f t="shared" si="8"/>
        <v>#DIV/0!</v>
      </c>
      <c r="W42" s="24" t="str">
        <f t="shared" si="9"/>
        <v>#DIV/0!</v>
      </c>
      <c r="X42" s="24" t="str">
        <f t="shared" si="10"/>
        <v>#DIV/0!</v>
      </c>
      <c r="Y42" s="21" t="str">
        <f>IF(A42="","",SUMIFS('Labor Log'!$I$2:$I$2001,'Labor Log'!$A$2:$A$2001,A42))</f>
        <v/>
      </c>
      <c r="Z42" s="24" t="str">
        <f t="shared" si="11"/>
        <v>#DIV/0!</v>
      </c>
      <c r="AA42" s="21" t="str">
        <f>IF(A42="","",SUMIFS('Inventory &amp; COGS'!$H$2:$H$2001,'Inventory &amp; COGS'!$A$2:$A$2001,A42,'Inventory &amp; COGS'!$B$2:$B$2001,"Food"))</f>
        <v/>
      </c>
      <c r="AB42" s="21" t="str">
        <f>IF(A42="","",SUMIFS('Inventory &amp; COGS'!$H$2:$H$2001,'Inventory &amp; COGS'!$A$2:$A$2001,A42,'Inventory &amp; COGS'!$B$2:$B$2001,"Beverage"))</f>
        <v/>
      </c>
      <c r="AC42" s="21" t="str">
        <f t="shared" si="12"/>
        <v/>
      </c>
      <c r="AD42" s="24" t="str">
        <f t="shared" ref="AD42:AE42" si="57">IF(I42=0,"",AA42/I42)</f>
        <v/>
      </c>
      <c r="AE42" s="24" t="str">
        <f t="shared" si="57"/>
        <v/>
      </c>
      <c r="AF42" s="21" t="str">
        <f t="shared" si="14"/>
        <v/>
      </c>
      <c r="AG42" s="24" t="str">
        <f t="shared" si="15"/>
        <v>#DIV/0!</v>
      </c>
      <c r="AH42" s="25" t="str">
        <f t="shared" si="16"/>
        <v/>
      </c>
      <c r="AI42" s="25" t="str">
        <f t="shared" si="17"/>
        <v/>
      </c>
      <c r="AJ42" s="26" t="str">
        <f t="shared" si="18"/>
        <v/>
      </c>
    </row>
    <row r="43" ht="15.75" customHeight="1">
      <c r="A43" s="3"/>
      <c r="B43" s="18" t="str">
        <f t="shared" si="2"/>
        <v/>
      </c>
      <c r="C43" s="19"/>
      <c r="D43" s="19"/>
      <c r="E43" s="19"/>
      <c r="F43" s="20"/>
      <c r="G43" s="20"/>
      <c r="H43" s="21" t="str">
        <f t="shared" si="3"/>
        <v/>
      </c>
      <c r="I43" s="20"/>
      <c r="J43" s="20"/>
      <c r="K43" s="20"/>
      <c r="L43" s="20"/>
      <c r="M43" s="21" t="str">
        <f t="shared" si="4"/>
        <v/>
      </c>
      <c r="N43" s="20"/>
      <c r="O43" s="20"/>
      <c r="P43" s="20"/>
      <c r="Q43" s="21" t="str">
        <f t="shared" si="5"/>
        <v/>
      </c>
      <c r="R43" s="21" t="str">
        <f t="shared" si="6"/>
        <v/>
      </c>
      <c r="S43" s="22"/>
      <c r="T43" s="22"/>
      <c r="U43" s="23" t="str">
        <f t="shared" si="7"/>
        <v/>
      </c>
      <c r="V43" s="21" t="str">
        <f t="shared" si="8"/>
        <v>#DIV/0!</v>
      </c>
      <c r="W43" s="24" t="str">
        <f t="shared" si="9"/>
        <v>#DIV/0!</v>
      </c>
      <c r="X43" s="24" t="str">
        <f t="shared" si="10"/>
        <v>#DIV/0!</v>
      </c>
      <c r="Y43" s="21" t="str">
        <f>IF(A43="","",SUMIFS('Labor Log'!$I$2:$I$2001,'Labor Log'!$A$2:$A$2001,A43))</f>
        <v/>
      </c>
      <c r="Z43" s="24" t="str">
        <f t="shared" si="11"/>
        <v>#DIV/0!</v>
      </c>
      <c r="AA43" s="21" t="str">
        <f>IF(A43="","",SUMIFS('Inventory &amp; COGS'!$H$2:$H$2001,'Inventory &amp; COGS'!$A$2:$A$2001,A43,'Inventory &amp; COGS'!$B$2:$B$2001,"Food"))</f>
        <v/>
      </c>
      <c r="AB43" s="21" t="str">
        <f>IF(A43="","",SUMIFS('Inventory &amp; COGS'!$H$2:$H$2001,'Inventory &amp; COGS'!$A$2:$A$2001,A43,'Inventory &amp; COGS'!$B$2:$B$2001,"Beverage"))</f>
        <v/>
      </c>
      <c r="AC43" s="21" t="str">
        <f t="shared" si="12"/>
        <v/>
      </c>
      <c r="AD43" s="24" t="str">
        <f t="shared" ref="AD43:AE43" si="58">IF(I43=0,"",AA43/I43)</f>
        <v/>
      </c>
      <c r="AE43" s="24" t="str">
        <f t="shared" si="58"/>
        <v/>
      </c>
      <c r="AF43" s="21" t="str">
        <f t="shared" si="14"/>
        <v/>
      </c>
      <c r="AG43" s="24" t="str">
        <f t="shared" si="15"/>
        <v>#DIV/0!</v>
      </c>
      <c r="AH43" s="25" t="str">
        <f t="shared" si="16"/>
        <v/>
      </c>
      <c r="AI43" s="25" t="str">
        <f t="shared" si="17"/>
        <v/>
      </c>
      <c r="AJ43" s="26" t="str">
        <f t="shared" si="18"/>
        <v/>
      </c>
    </row>
    <row r="44" ht="15.75" customHeight="1">
      <c r="A44" s="3"/>
      <c r="B44" s="18" t="str">
        <f t="shared" si="2"/>
        <v/>
      </c>
      <c r="C44" s="19"/>
      <c r="D44" s="19"/>
      <c r="E44" s="19"/>
      <c r="F44" s="20"/>
      <c r="G44" s="20"/>
      <c r="H44" s="21" t="str">
        <f t="shared" si="3"/>
        <v/>
      </c>
      <c r="I44" s="20"/>
      <c r="J44" s="20"/>
      <c r="K44" s="20"/>
      <c r="L44" s="20"/>
      <c r="M44" s="21" t="str">
        <f t="shared" si="4"/>
        <v/>
      </c>
      <c r="N44" s="20"/>
      <c r="O44" s="20"/>
      <c r="P44" s="20"/>
      <c r="Q44" s="21" t="str">
        <f t="shared" si="5"/>
        <v/>
      </c>
      <c r="R44" s="21" t="str">
        <f t="shared" si="6"/>
        <v/>
      </c>
      <c r="S44" s="22"/>
      <c r="T44" s="22"/>
      <c r="U44" s="23" t="str">
        <f t="shared" si="7"/>
        <v/>
      </c>
      <c r="V44" s="21" t="str">
        <f t="shared" si="8"/>
        <v>#DIV/0!</v>
      </c>
      <c r="W44" s="24" t="str">
        <f t="shared" si="9"/>
        <v>#DIV/0!</v>
      </c>
      <c r="X44" s="24" t="str">
        <f t="shared" si="10"/>
        <v>#DIV/0!</v>
      </c>
      <c r="Y44" s="21" t="str">
        <f>IF(A44="","",SUMIFS('Labor Log'!$I$2:$I$2001,'Labor Log'!$A$2:$A$2001,A44))</f>
        <v/>
      </c>
      <c r="Z44" s="24" t="str">
        <f t="shared" si="11"/>
        <v>#DIV/0!</v>
      </c>
      <c r="AA44" s="21" t="str">
        <f>IF(A44="","",SUMIFS('Inventory &amp; COGS'!$H$2:$H$2001,'Inventory &amp; COGS'!$A$2:$A$2001,A44,'Inventory &amp; COGS'!$B$2:$B$2001,"Food"))</f>
        <v/>
      </c>
      <c r="AB44" s="21" t="str">
        <f>IF(A44="","",SUMIFS('Inventory &amp; COGS'!$H$2:$H$2001,'Inventory &amp; COGS'!$A$2:$A$2001,A44,'Inventory &amp; COGS'!$B$2:$B$2001,"Beverage"))</f>
        <v/>
      </c>
      <c r="AC44" s="21" t="str">
        <f t="shared" si="12"/>
        <v/>
      </c>
      <c r="AD44" s="24" t="str">
        <f t="shared" ref="AD44:AE44" si="59">IF(I44=0,"",AA44/I44)</f>
        <v/>
      </c>
      <c r="AE44" s="24" t="str">
        <f t="shared" si="59"/>
        <v/>
      </c>
      <c r="AF44" s="21" t="str">
        <f t="shared" si="14"/>
        <v/>
      </c>
      <c r="AG44" s="24" t="str">
        <f t="shared" si="15"/>
        <v>#DIV/0!</v>
      </c>
      <c r="AH44" s="25" t="str">
        <f t="shared" si="16"/>
        <v/>
      </c>
      <c r="AI44" s="25" t="str">
        <f t="shared" si="17"/>
        <v/>
      </c>
      <c r="AJ44" s="26" t="str">
        <f t="shared" si="18"/>
        <v/>
      </c>
    </row>
    <row r="45" ht="15.75" customHeight="1">
      <c r="A45" s="3"/>
      <c r="B45" s="18" t="str">
        <f t="shared" si="2"/>
        <v/>
      </c>
      <c r="C45" s="19"/>
      <c r="D45" s="19"/>
      <c r="E45" s="19"/>
      <c r="F45" s="20"/>
      <c r="G45" s="20"/>
      <c r="H45" s="21" t="str">
        <f t="shared" si="3"/>
        <v/>
      </c>
      <c r="I45" s="20"/>
      <c r="J45" s="20"/>
      <c r="K45" s="20"/>
      <c r="L45" s="20"/>
      <c r="M45" s="21" t="str">
        <f t="shared" si="4"/>
        <v/>
      </c>
      <c r="N45" s="20"/>
      <c r="O45" s="20"/>
      <c r="P45" s="20"/>
      <c r="Q45" s="21" t="str">
        <f t="shared" si="5"/>
        <v/>
      </c>
      <c r="R45" s="21" t="str">
        <f t="shared" si="6"/>
        <v/>
      </c>
      <c r="S45" s="22"/>
      <c r="T45" s="22"/>
      <c r="U45" s="23" t="str">
        <f t="shared" si="7"/>
        <v/>
      </c>
      <c r="V45" s="21" t="str">
        <f t="shared" si="8"/>
        <v>#DIV/0!</v>
      </c>
      <c r="W45" s="24" t="str">
        <f t="shared" si="9"/>
        <v>#DIV/0!</v>
      </c>
      <c r="X45" s="24" t="str">
        <f t="shared" si="10"/>
        <v>#DIV/0!</v>
      </c>
      <c r="Y45" s="21" t="str">
        <f>IF(A45="","",SUMIFS('Labor Log'!$I$2:$I$2001,'Labor Log'!$A$2:$A$2001,A45))</f>
        <v/>
      </c>
      <c r="Z45" s="24" t="str">
        <f t="shared" si="11"/>
        <v>#DIV/0!</v>
      </c>
      <c r="AA45" s="21" t="str">
        <f>IF(A45="","",SUMIFS('Inventory &amp; COGS'!$H$2:$H$2001,'Inventory &amp; COGS'!$A$2:$A$2001,A45,'Inventory &amp; COGS'!$B$2:$B$2001,"Food"))</f>
        <v/>
      </c>
      <c r="AB45" s="21" t="str">
        <f>IF(A45="","",SUMIFS('Inventory &amp; COGS'!$H$2:$H$2001,'Inventory &amp; COGS'!$A$2:$A$2001,A45,'Inventory &amp; COGS'!$B$2:$B$2001,"Beverage"))</f>
        <v/>
      </c>
      <c r="AC45" s="21" t="str">
        <f t="shared" si="12"/>
        <v/>
      </c>
      <c r="AD45" s="24" t="str">
        <f t="shared" ref="AD45:AE45" si="60">IF(I45=0,"",AA45/I45)</f>
        <v/>
      </c>
      <c r="AE45" s="24" t="str">
        <f t="shared" si="60"/>
        <v/>
      </c>
      <c r="AF45" s="21" t="str">
        <f t="shared" si="14"/>
        <v/>
      </c>
      <c r="AG45" s="24" t="str">
        <f t="shared" si="15"/>
        <v>#DIV/0!</v>
      </c>
      <c r="AH45" s="25" t="str">
        <f t="shared" si="16"/>
        <v/>
      </c>
      <c r="AI45" s="25" t="str">
        <f t="shared" si="17"/>
        <v/>
      </c>
      <c r="AJ45" s="26" t="str">
        <f t="shared" si="18"/>
        <v/>
      </c>
    </row>
    <row r="46" ht="15.75" customHeight="1">
      <c r="A46" s="3"/>
      <c r="B46" s="18" t="str">
        <f t="shared" si="2"/>
        <v/>
      </c>
      <c r="C46" s="19"/>
      <c r="D46" s="19"/>
      <c r="E46" s="19"/>
      <c r="F46" s="20"/>
      <c r="G46" s="20"/>
      <c r="H46" s="21" t="str">
        <f t="shared" si="3"/>
        <v/>
      </c>
      <c r="I46" s="20"/>
      <c r="J46" s="20"/>
      <c r="K46" s="20"/>
      <c r="L46" s="20"/>
      <c r="M46" s="21" t="str">
        <f t="shared" si="4"/>
        <v/>
      </c>
      <c r="N46" s="20"/>
      <c r="O46" s="20"/>
      <c r="P46" s="20"/>
      <c r="Q46" s="21" t="str">
        <f t="shared" si="5"/>
        <v/>
      </c>
      <c r="R46" s="21" t="str">
        <f t="shared" si="6"/>
        <v/>
      </c>
      <c r="S46" s="22"/>
      <c r="T46" s="22"/>
      <c r="U46" s="23" t="str">
        <f t="shared" si="7"/>
        <v/>
      </c>
      <c r="V46" s="21" t="str">
        <f t="shared" si="8"/>
        <v>#DIV/0!</v>
      </c>
      <c r="W46" s="24" t="str">
        <f t="shared" si="9"/>
        <v>#DIV/0!</v>
      </c>
      <c r="X46" s="24" t="str">
        <f t="shared" si="10"/>
        <v>#DIV/0!</v>
      </c>
      <c r="Y46" s="21" t="str">
        <f>IF(A46="","",SUMIFS('Labor Log'!$I$2:$I$2001,'Labor Log'!$A$2:$A$2001,A46))</f>
        <v/>
      </c>
      <c r="Z46" s="24" t="str">
        <f t="shared" si="11"/>
        <v>#DIV/0!</v>
      </c>
      <c r="AA46" s="21" t="str">
        <f>IF(A46="","",SUMIFS('Inventory &amp; COGS'!$H$2:$H$2001,'Inventory &amp; COGS'!$A$2:$A$2001,A46,'Inventory &amp; COGS'!$B$2:$B$2001,"Food"))</f>
        <v/>
      </c>
      <c r="AB46" s="21" t="str">
        <f>IF(A46="","",SUMIFS('Inventory &amp; COGS'!$H$2:$H$2001,'Inventory &amp; COGS'!$A$2:$A$2001,A46,'Inventory &amp; COGS'!$B$2:$B$2001,"Beverage"))</f>
        <v/>
      </c>
      <c r="AC46" s="21" t="str">
        <f t="shared" si="12"/>
        <v/>
      </c>
      <c r="AD46" s="24" t="str">
        <f t="shared" ref="AD46:AE46" si="61">IF(I46=0,"",AA46/I46)</f>
        <v/>
      </c>
      <c r="AE46" s="24" t="str">
        <f t="shared" si="61"/>
        <v/>
      </c>
      <c r="AF46" s="21" t="str">
        <f t="shared" si="14"/>
        <v/>
      </c>
      <c r="AG46" s="24" t="str">
        <f t="shared" si="15"/>
        <v>#DIV/0!</v>
      </c>
      <c r="AH46" s="25" t="str">
        <f t="shared" si="16"/>
        <v/>
      </c>
      <c r="AI46" s="25" t="str">
        <f t="shared" si="17"/>
        <v/>
      </c>
      <c r="AJ46" s="26" t="str">
        <f t="shared" si="18"/>
        <v/>
      </c>
    </row>
    <row r="47" ht="15.75" customHeight="1">
      <c r="A47" s="3"/>
      <c r="B47" s="18" t="str">
        <f t="shared" si="2"/>
        <v/>
      </c>
      <c r="C47" s="19"/>
      <c r="D47" s="19"/>
      <c r="E47" s="19"/>
      <c r="F47" s="20"/>
      <c r="G47" s="20"/>
      <c r="H47" s="21" t="str">
        <f t="shared" si="3"/>
        <v/>
      </c>
      <c r="I47" s="20"/>
      <c r="J47" s="20"/>
      <c r="K47" s="20"/>
      <c r="L47" s="20"/>
      <c r="M47" s="21" t="str">
        <f t="shared" si="4"/>
        <v/>
      </c>
      <c r="N47" s="20"/>
      <c r="O47" s="20"/>
      <c r="P47" s="20"/>
      <c r="Q47" s="21" t="str">
        <f t="shared" si="5"/>
        <v/>
      </c>
      <c r="R47" s="21" t="str">
        <f t="shared" si="6"/>
        <v/>
      </c>
      <c r="S47" s="22"/>
      <c r="T47" s="22"/>
      <c r="U47" s="23" t="str">
        <f t="shared" si="7"/>
        <v/>
      </c>
      <c r="V47" s="21" t="str">
        <f t="shared" si="8"/>
        <v>#DIV/0!</v>
      </c>
      <c r="W47" s="24" t="str">
        <f t="shared" si="9"/>
        <v>#DIV/0!</v>
      </c>
      <c r="X47" s="24" t="str">
        <f t="shared" si="10"/>
        <v>#DIV/0!</v>
      </c>
      <c r="Y47" s="21" t="str">
        <f>IF(A47="","",SUMIFS('Labor Log'!$I$2:$I$2001,'Labor Log'!$A$2:$A$2001,A47))</f>
        <v/>
      </c>
      <c r="Z47" s="24" t="str">
        <f t="shared" si="11"/>
        <v>#DIV/0!</v>
      </c>
      <c r="AA47" s="21" t="str">
        <f>IF(A47="","",SUMIFS('Inventory &amp; COGS'!$H$2:$H$2001,'Inventory &amp; COGS'!$A$2:$A$2001,A47,'Inventory &amp; COGS'!$B$2:$B$2001,"Food"))</f>
        <v/>
      </c>
      <c r="AB47" s="21" t="str">
        <f>IF(A47="","",SUMIFS('Inventory &amp; COGS'!$H$2:$H$2001,'Inventory &amp; COGS'!$A$2:$A$2001,A47,'Inventory &amp; COGS'!$B$2:$B$2001,"Beverage"))</f>
        <v/>
      </c>
      <c r="AC47" s="21" t="str">
        <f t="shared" si="12"/>
        <v/>
      </c>
      <c r="AD47" s="24" t="str">
        <f t="shared" ref="AD47:AE47" si="62">IF(I47=0,"",AA47/I47)</f>
        <v/>
      </c>
      <c r="AE47" s="24" t="str">
        <f t="shared" si="62"/>
        <v/>
      </c>
      <c r="AF47" s="21" t="str">
        <f t="shared" si="14"/>
        <v/>
      </c>
      <c r="AG47" s="24" t="str">
        <f t="shared" si="15"/>
        <v>#DIV/0!</v>
      </c>
      <c r="AH47" s="25" t="str">
        <f t="shared" si="16"/>
        <v/>
      </c>
      <c r="AI47" s="25" t="str">
        <f t="shared" si="17"/>
        <v/>
      </c>
      <c r="AJ47" s="26" t="str">
        <f t="shared" si="18"/>
        <v/>
      </c>
    </row>
    <row r="48" ht="15.75" customHeight="1">
      <c r="A48" s="3"/>
      <c r="B48" s="18" t="str">
        <f t="shared" si="2"/>
        <v/>
      </c>
      <c r="C48" s="19"/>
      <c r="D48" s="19"/>
      <c r="E48" s="19"/>
      <c r="F48" s="20"/>
      <c r="G48" s="20"/>
      <c r="H48" s="21" t="str">
        <f t="shared" si="3"/>
        <v/>
      </c>
      <c r="I48" s="20"/>
      <c r="J48" s="20"/>
      <c r="K48" s="20"/>
      <c r="L48" s="20"/>
      <c r="M48" s="21" t="str">
        <f t="shared" si="4"/>
        <v/>
      </c>
      <c r="N48" s="20"/>
      <c r="O48" s="20"/>
      <c r="P48" s="20"/>
      <c r="Q48" s="21" t="str">
        <f t="shared" si="5"/>
        <v/>
      </c>
      <c r="R48" s="21" t="str">
        <f t="shared" si="6"/>
        <v/>
      </c>
      <c r="S48" s="22"/>
      <c r="T48" s="22"/>
      <c r="U48" s="23" t="str">
        <f t="shared" si="7"/>
        <v/>
      </c>
      <c r="V48" s="21" t="str">
        <f t="shared" si="8"/>
        <v>#DIV/0!</v>
      </c>
      <c r="W48" s="24" t="str">
        <f t="shared" si="9"/>
        <v>#DIV/0!</v>
      </c>
      <c r="X48" s="24" t="str">
        <f t="shared" si="10"/>
        <v>#DIV/0!</v>
      </c>
      <c r="Y48" s="21" t="str">
        <f>IF(A48="","",SUMIFS('Labor Log'!$I$2:$I$2001,'Labor Log'!$A$2:$A$2001,A48))</f>
        <v/>
      </c>
      <c r="Z48" s="24" t="str">
        <f t="shared" si="11"/>
        <v>#DIV/0!</v>
      </c>
      <c r="AA48" s="21" t="str">
        <f>IF(A48="","",SUMIFS('Inventory &amp; COGS'!$H$2:$H$2001,'Inventory &amp; COGS'!$A$2:$A$2001,A48,'Inventory &amp; COGS'!$B$2:$B$2001,"Food"))</f>
        <v/>
      </c>
      <c r="AB48" s="21" t="str">
        <f>IF(A48="","",SUMIFS('Inventory &amp; COGS'!$H$2:$H$2001,'Inventory &amp; COGS'!$A$2:$A$2001,A48,'Inventory &amp; COGS'!$B$2:$B$2001,"Beverage"))</f>
        <v/>
      </c>
      <c r="AC48" s="21" t="str">
        <f t="shared" si="12"/>
        <v/>
      </c>
      <c r="AD48" s="24" t="str">
        <f t="shared" ref="AD48:AE48" si="63">IF(I48=0,"",AA48/I48)</f>
        <v/>
      </c>
      <c r="AE48" s="24" t="str">
        <f t="shared" si="63"/>
        <v/>
      </c>
      <c r="AF48" s="21" t="str">
        <f t="shared" si="14"/>
        <v/>
      </c>
      <c r="AG48" s="24" t="str">
        <f t="shared" si="15"/>
        <v>#DIV/0!</v>
      </c>
      <c r="AH48" s="25" t="str">
        <f t="shared" si="16"/>
        <v/>
      </c>
      <c r="AI48" s="25" t="str">
        <f t="shared" si="17"/>
        <v/>
      </c>
      <c r="AJ48" s="26" t="str">
        <f t="shared" si="18"/>
        <v/>
      </c>
    </row>
    <row r="49" ht="15.75" customHeight="1">
      <c r="A49" s="3"/>
      <c r="B49" s="18" t="str">
        <f t="shared" si="2"/>
        <v/>
      </c>
      <c r="C49" s="19"/>
      <c r="D49" s="19"/>
      <c r="E49" s="19"/>
      <c r="F49" s="20"/>
      <c r="G49" s="20"/>
      <c r="H49" s="21" t="str">
        <f t="shared" si="3"/>
        <v/>
      </c>
      <c r="I49" s="20"/>
      <c r="J49" s="20"/>
      <c r="K49" s="20"/>
      <c r="L49" s="20"/>
      <c r="M49" s="21" t="str">
        <f t="shared" si="4"/>
        <v/>
      </c>
      <c r="N49" s="20"/>
      <c r="O49" s="20"/>
      <c r="P49" s="20"/>
      <c r="Q49" s="21" t="str">
        <f t="shared" si="5"/>
        <v/>
      </c>
      <c r="R49" s="21" t="str">
        <f t="shared" si="6"/>
        <v/>
      </c>
      <c r="S49" s="22"/>
      <c r="T49" s="22"/>
      <c r="U49" s="23" t="str">
        <f t="shared" si="7"/>
        <v/>
      </c>
      <c r="V49" s="21" t="str">
        <f t="shared" si="8"/>
        <v>#DIV/0!</v>
      </c>
      <c r="W49" s="24" t="str">
        <f t="shared" si="9"/>
        <v>#DIV/0!</v>
      </c>
      <c r="X49" s="24" t="str">
        <f t="shared" si="10"/>
        <v>#DIV/0!</v>
      </c>
      <c r="Y49" s="21" t="str">
        <f>IF(A49="","",SUMIFS('Labor Log'!$I$2:$I$2001,'Labor Log'!$A$2:$A$2001,A49))</f>
        <v/>
      </c>
      <c r="Z49" s="24" t="str">
        <f t="shared" si="11"/>
        <v>#DIV/0!</v>
      </c>
      <c r="AA49" s="21" t="str">
        <f>IF(A49="","",SUMIFS('Inventory &amp; COGS'!$H$2:$H$2001,'Inventory &amp; COGS'!$A$2:$A$2001,A49,'Inventory &amp; COGS'!$B$2:$B$2001,"Food"))</f>
        <v/>
      </c>
      <c r="AB49" s="21" t="str">
        <f>IF(A49="","",SUMIFS('Inventory &amp; COGS'!$H$2:$H$2001,'Inventory &amp; COGS'!$A$2:$A$2001,A49,'Inventory &amp; COGS'!$B$2:$B$2001,"Beverage"))</f>
        <v/>
      </c>
      <c r="AC49" s="21" t="str">
        <f t="shared" si="12"/>
        <v/>
      </c>
      <c r="AD49" s="24" t="str">
        <f t="shared" ref="AD49:AE49" si="64">IF(I49=0,"",AA49/I49)</f>
        <v/>
      </c>
      <c r="AE49" s="24" t="str">
        <f t="shared" si="64"/>
        <v/>
      </c>
      <c r="AF49" s="21" t="str">
        <f t="shared" si="14"/>
        <v/>
      </c>
      <c r="AG49" s="24" t="str">
        <f t="shared" si="15"/>
        <v>#DIV/0!</v>
      </c>
      <c r="AH49" s="25" t="str">
        <f t="shared" si="16"/>
        <v/>
      </c>
      <c r="AI49" s="25" t="str">
        <f t="shared" si="17"/>
        <v/>
      </c>
      <c r="AJ49" s="26" t="str">
        <f t="shared" si="18"/>
        <v/>
      </c>
    </row>
    <row r="50" ht="15.75" customHeight="1">
      <c r="A50" s="3"/>
      <c r="B50" s="18" t="str">
        <f t="shared" si="2"/>
        <v/>
      </c>
      <c r="C50" s="19"/>
      <c r="D50" s="19"/>
      <c r="E50" s="19"/>
      <c r="F50" s="20"/>
      <c r="G50" s="20"/>
      <c r="H50" s="21" t="str">
        <f t="shared" si="3"/>
        <v/>
      </c>
      <c r="I50" s="20"/>
      <c r="J50" s="20"/>
      <c r="K50" s="20"/>
      <c r="L50" s="20"/>
      <c r="M50" s="21" t="str">
        <f t="shared" si="4"/>
        <v/>
      </c>
      <c r="N50" s="20"/>
      <c r="O50" s="20"/>
      <c r="P50" s="20"/>
      <c r="Q50" s="21" t="str">
        <f t="shared" si="5"/>
        <v/>
      </c>
      <c r="R50" s="21" t="str">
        <f t="shared" si="6"/>
        <v/>
      </c>
      <c r="S50" s="22"/>
      <c r="T50" s="22"/>
      <c r="U50" s="23" t="str">
        <f t="shared" si="7"/>
        <v/>
      </c>
      <c r="V50" s="21" t="str">
        <f t="shared" si="8"/>
        <v>#DIV/0!</v>
      </c>
      <c r="W50" s="24" t="str">
        <f t="shared" si="9"/>
        <v>#DIV/0!</v>
      </c>
      <c r="X50" s="24" t="str">
        <f t="shared" si="10"/>
        <v>#DIV/0!</v>
      </c>
      <c r="Y50" s="21" t="str">
        <f>IF(A50="","",SUMIFS('Labor Log'!$I$2:$I$2001,'Labor Log'!$A$2:$A$2001,A50))</f>
        <v/>
      </c>
      <c r="Z50" s="24" t="str">
        <f t="shared" si="11"/>
        <v>#DIV/0!</v>
      </c>
      <c r="AA50" s="21" t="str">
        <f>IF(A50="","",SUMIFS('Inventory &amp; COGS'!$H$2:$H$2001,'Inventory &amp; COGS'!$A$2:$A$2001,A50,'Inventory &amp; COGS'!$B$2:$B$2001,"Food"))</f>
        <v/>
      </c>
      <c r="AB50" s="21" t="str">
        <f>IF(A50="","",SUMIFS('Inventory &amp; COGS'!$H$2:$H$2001,'Inventory &amp; COGS'!$A$2:$A$2001,A50,'Inventory &amp; COGS'!$B$2:$B$2001,"Beverage"))</f>
        <v/>
      </c>
      <c r="AC50" s="21" t="str">
        <f t="shared" si="12"/>
        <v/>
      </c>
      <c r="AD50" s="24" t="str">
        <f t="shared" ref="AD50:AE50" si="65">IF(I50=0,"",AA50/I50)</f>
        <v/>
      </c>
      <c r="AE50" s="24" t="str">
        <f t="shared" si="65"/>
        <v/>
      </c>
      <c r="AF50" s="21" t="str">
        <f t="shared" si="14"/>
        <v/>
      </c>
      <c r="AG50" s="24" t="str">
        <f t="shared" si="15"/>
        <v>#DIV/0!</v>
      </c>
      <c r="AH50" s="25" t="str">
        <f t="shared" si="16"/>
        <v/>
      </c>
      <c r="AI50" s="25" t="str">
        <f t="shared" si="17"/>
        <v/>
      </c>
      <c r="AJ50" s="26" t="str">
        <f t="shared" si="18"/>
        <v/>
      </c>
    </row>
    <row r="51" ht="15.75" customHeight="1">
      <c r="A51" s="3"/>
      <c r="B51" s="18" t="str">
        <f t="shared" si="2"/>
        <v/>
      </c>
      <c r="C51" s="19"/>
      <c r="D51" s="19"/>
      <c r="E51" s="19"/>
      <c r="F51" s="20"/>
      <c r="G51" s="20"/>
      <c r="H51" s="21" t="str">
        <f t="shared" si="3"/>
        <v/>
      </c>
      <c r="I51" s="20"/>
      <c r="J51" s="20"/>
      <c r="K51" s="20"/>
      <c r="L51" s="20"/>
      <c r="M51" s="21" t="str">
        <f t="shared" si="4"/>
        <v/>
      </c>
      <c r="N51" s="20"/>
      <c r="O51" s="20"/>
      <c r="P51" s="20"/>
      <c r="Q51" s="21" t="str">
        <f t="shared" si="5"/>
        <v/>
      </c>
      <c r="R51" s="21" t="str">
        <f t="shared" si="6"/>
        <v/>
      </c>
      <c r="S51" s="22"/>
      <c r="T51" s="22"/>
      <c r="U51" s="23" t="str">
        <f t="shared" si="7"/>
        <v/>
      </c>
      <c r="V51" s="21" t="str">
        <f t="shared" si="8"/>
        <v>#DIV/0!</v>
      </c>
      <c r="W51" s="24" t="str">
        <f t="shared" si="9"/>
        <v>#DIV/0!</v>
      </c>
      <c r="X51" s="24" t="str">
        <f t="shared" si="10"/>
        <v>#DIV/0!</v>
      </c>
      <c r="Y51" s="21" t="str">
        <f>IF(A51="","",SUMIFS('Labor Log'!$I$2:$I$2001,'Labor Log'!$A$2:$A$2001,A51))</f>
        <v/>
      </c>
      <c r="Z51" s="24" t="str">
        <f t="shared" si="11"/>
        <v>#DIV/0!</v>
      </c>
      <c r="AA51" s="21" t="str">
        <f>IF(A51="","",SUMIFS('Inventory &amp; COGS'!$H$2:$H$2001,'Inventory &amp; COGS'!$A$2:$A$2001,A51,'Inventory &amp; COGS'!$B$2:$B$2001,"Food"))</f>
        <v/>
      </c>
      <c r="AB51" s="21" t="str">
        <f>IF(A51="","",SUMIFS('Inventory &amp; COGS'!$H$2:$H$2001,'Inventory &amp; COGS'!$A$2:$A$2001,A51,'Inventory &amp; COGS'!$B$2:$B$2001,"Beverage"))</f>
        <v/>
      </c>
      <c r="AC51" s="21" t="str">
        <f t="shared" si="12"/>
        <v/>
      </c>
      <c r="AD51" s="24" t="str">
        <f t="shared" ref="AD51:AE51" si="66">IF(I51=0,"",AA51/I51)</f>
        <v/>
      </c>
      <c r="AE51" s="24" t="str">
        <f t="shared" si="66"/>
        <v/>
      </c>
      <c r="AF51" s="21" t="str">
        <f t="shared" si="14"/>
        <v/>
      </c>
      <c r="AG51" s="24" t="str">
        <f t="shared" si="15"/>
        <v>#DIV/0!</v>
      </c>
      <c r="AH51" s="25" t="str">
        <f t="shared" si="16"/>
        <v/>
      </c>
      <c r="AI51" s="25" t="str">
        <f t="shared" si="17"/>
        <v/>
      </c>
      <c r="AJ51" s="26" t="str">
        <f t="shared" si="18"/>
        <v/>
      </c>
    </row>
    <row r="52" ht="15.75" customHeight="1">
      <c r="A52" s="3"/>
      <c r="B52" s="18" t="str">
        <f t="shared" si="2"/>
        <v/>
      </c>
      <c r="C52" s="19"/>
      <c r="D52" s="19"/>
      <c r="E52" s="19"/>
      <c r="F52" s="20"/>
      <c r="G52" s="20"/>
      <c r="H52" s="21" t="str">
        <f t="shared" si="3"/>
        <v/>
      </c>
      <c r="I52" s="20"/>
      <c r="J52" s="20"/>
      <c r="K52" s="20"/>
      <c r="L52" s="20"/>
      <c r="M52" s="21" t="str">
        <f t="shared" si="4"/>
        <v/>
      </c>
      <c r="N52" s="20"/>
      <c r="O52" s="20"/>
      <c r="P52" s="20"/>
      <c r="Q52" s="21" t="str">
        <f t="shared" si="5"/>
        <v/>
      </c>
      <c r="R52" s="21" t="str">
        <f t="shared" si="6"/>
        <v/>
      </c>
      <c r="S52" s="22"/>
      <c r="T52" s="22"/>
      <c r="U52" s="23" t="str">
        <f t="shared" si="7"/>
        <v/>
      </c>
      <c r="V52" s="21" t="str">
        <f t="shared" si="8"/>
        <v>#DIV/0!</v>
      </c>
      <c r="W52" s="24" t="str">
        <f t="shared" si="9"/>
        <v>#DIV/0!</v>
      </c>
      <c r="X52" s="24" t="str">
        <f t="shared" si="10"/>
        <v>#DIV/0!</v>
      </c>
      <c r="Y52" s="21" t="str">
        <f>IF(A52="","",SUMIFS('Labor Log'!$I$2:$I$2001,'Labor Log'!$A$2:$A$2001,A52))</f>
        <v/>
      </c>
      <c r="Z52" s="24" t="str">
        <f t="shared" si="11"/>
        <v>#DIV/0!</v>
      </c>
      <c r="AA52" s="21" t="str">
        <f>IF(A52="","",SUMIFS('Inventory &amp; COGS'!$H$2:$H$2001,'Inventory &amp; COGS'!$A$2:$A$2001,A52,'Inventory &amp; COGS'!$B$2:$B$2001,"Food"))</f>
        <v/>
      </c>
      <c r="AB52" s="21" t="str">
        <f>IF(A52="","",SUMIFS('Inventory &amp; COGS'!$H$2:$H$2001,'Inventory &amp; COGS'!$A$2:$A$2001,A52,'Inventory &amp; COGS'!$B$2:$B$2001,"Beverage"))</f>
        <v/>
      </c>
      <c r="AC52" s="21" t="str">
        <f t="shared" si="12"/>
        <v/>
      </c>
      <c r="AD52" s="24" t="str">
        <f t="shared" ref="AD52:AE52" si="67">IF(I52=0,"",AA52/I52)</f>
        <v/>
      </c>
      <c r="AE52" s="24" t="str">
        <f t="shared" si="67"/>
        <v/>
      </c>
      <c r="AF52" s="21" t="str">
        <f t="shared" si="14"/>
        <v/>
      </c>
      <c r="AG52" s="24" t="str">
        <f t="shared" si="15"/>
        <v>#DIV/0!</v>
      </c>
      <c r="AH52" s="25" t="str">
        <f t="shared" si="16"/>
        <v/>
      </c>
      <c r="AI52" s="25" t="str">
        <f t="shared" si="17"/>
        <v/>
      </c>
      <c r="AJ52" s="26" t="str">
        <f t="shared" si="18"/>
        <v/>
      </c>
    </row>
    <row r="53" ht="15.75" customHeight="1">
      <c r="A53" s="3"/>
      <c r="B53" s="18" t="str">
        <f t="shared" si="2"/>
        <v/>
      </c>
      <c r="C53" s="19"/>
      <c r="D53" s="19"/>
      <c r="E53" s="19"/>
      <c r="F53" s="20"/>
      <c r="G53" s="20"/>
      <c r="H53" s="21" t="str">
        <f t="shared" si="3"/>
        <v/>
      </c>
      <c r="I53" s="20"/>
      <c r="J53" s="20"/>
      <c r="K53" s="20"/>
      <c r="L53" s="20"/>
      <c r="M53" s="21" t="str">
        <f t="shared" si="4"/>
        <v/>
      </c>
      <c r="N53" s="20"/>
      <c r="O53" s="20"/>
      <c r="P53" s="20"/>
      <c r="Q53" s="21" t="str">
        <f t="shared" si="5"/>
        <v/>
      </c>
      <c r="R53" s="21" t="str">
        <f t="shared" si="6"/>
        <v/>
      </c>
      <c r="S53" s="22"/>
      <c r="T53" s="22"/>
      <c r="U53" s="23" t="str">
        <f t="shared" si="7"/>
        <v/>
      </c>
      <c r="V53" s="21" t="str">
        <f t="shared" si="8"/>
        <v>#DIV/0!</v>
      </c>
      <c r="W53" s="24" t="str">
        <f t="shared" si="9"/>
        <v>#DIV/0!</v>
      </c>
      <c r="X53" s="24" t="str">
        <f t="shared" si="10"/>
        <v>#DIV/0!</v>
      </c>
      <c r="Y53" s="21" t="str">
        <f>IF(A53="","",SUMIFS('Labor Log'!$I$2:$I$2001,'Labor Log'!$A$2:$A$2001,A53))</f>
        <v/>
      </c>
      <c r="Z53" s="24" t="str">
        <f t="shared" si="11"/>
        <v>#DIV/0!</v>
      </c>
      <c r="AA53" s="21" t="str">
        <f>IF(A53="","",SUMIFS('Inventory &amp; COGS'!$H$2:$H$2001,'Inventory &amp; COGS'!$A$2:$A$2001,A53,'Inventory &amp; COGS'!$B$2:$B$2001,"Food"))</f>
        <v/>
      </c>
      <c r="AB53" s="21" t="str">
        <f>IF(A53="","",SUMIFS('Inventory &amp; COGS'!$H$2:$H$2001,'Inventory &amp; COGS'!$A$2:$A$2001,A53,'Inventory &amp; COGS'!$B$2:$B$2001,"Beverage"))</f>
        <v/>
      </c>
      <c r="AC53" s="21" t="str">
        <f t="shared" si="12"/>
        <v/>
      </c>
      <c r="AD53" s="24" t="str">
        <f t="shared" ref="AD53:AE53" si="68">IF(I53=0,"",AA53/I53)</f>
        <v/>
      </c>
      <c r="AE53" s="24" t="str">
        <f t="shared" si="68"/>
        <v/>
      </c>
      <c r="AF53" s="21" t="str">
        <f t="shared" si="14"/>
        <v/>
      </c>
      <c r="AG53" s="24" t="str">
        <f t="shared" si="15"/>
        <v>#DIV/0!</v>
      </c>
      <c r="AH53" s="25" t="str">
        <f t="shared" si="16"/>
        <v/>
      </c>
      <c r="AI53" s="25" t="str">
        <f t="shared" si="17"/>
        <v/>
      </c>
      <c r="AJ53" s="26" t="str">
        <f t="shared" si="18"/>
        <v/>
      </c>
    </row>
    <row r="54" ht="15.75" customHeight="1">
      <c r="A54" s="3"/>
      <c r="B54" s="18" t="str">
        <f t="shared" si="2"/>
        <v/>
      </c>
      <c r="C54" s="19"/>
      <c r="D54" s="19"/>
      <c r="E54" s="19"/>
      <c r="F54" s="20"/>
      <c r="G54" s="20"/>
      <c r="H54" s="21" t="str">
        <f t="shared" si="3"/>
        <v/>
      </c>
      <c r="I54" s="20"/>
      <c r="J54" s="20"/>
      <c r="K54" s="20"/>
      <c r="L54" s="20"/>
      <c r="M54" s="21" t="str">
        <f t="shared" si="4"/>
        <v/>
      </c>
      <c r="N54" s="20"/>
      <c r="O54" s="20"/>
      <c r="P54" s="20"/>
      <c r="Q54" s="21" t="str">
        <f t="shared" si="5"/>
        <v/>
      </c>
      <c r="R54" s="21" t="str">
        <f t="shared" si="6"/>
        <v/>
      </c>
      <c r="S54" s="22"/>
      <c r="T54" s="22"/>
      <c r="U54" s="23" t="str">
        <f t="shared" si="7"/>
        <v/>
      </c>
      <c r="V54" s="21" t="str">
        <f t="shared" si="8"/>
        <v>#DIV/0!</v>
      </c>
      <c r="W54" s="24" t="str">
        <f t="shared" si="9"/>
        <v>#DIV/0!</v>
      </c>
      <c r="X54" s="24" t="str">
        <f t="shared" si="10"/>
        <v>#DIV/0!</v>
      </c>
      <c r="Y54" s="21" t="str">
        <f>IF(A54="","",SUMIFS('Labor Log'!$I$2:$I$2001,'Labor Log'!$A$2:$A$2001,A54))</f>
        <v/>
      </c>
      <c r="Z54" s="24" t="str">
        <f t="shared" si="11"/>
        <v>#DIV/0!</v>
      </c>
      <c r="AA54" s="21" t="str">
        <f>IF(A54="","",SUMIFS('Inventory &amp; COGS'!$H$2:$H$2001,'Inventory &amp; COGS'!$A$2:$A$2001,A54,'Inventory &amp; COGS'!$B$2:$B$2001,"Food"))</f>
        <v/>
      </c>
      <c r="AB54" s="21" t="str">
        <f>IF(A54="","",SUMIFS('Inventory &amp; COGS'!$H$2:$H$2001,'Inventory &amp; COGS'!$A$2:$A$2001,A54,'Inventory &amp; COGS'!$B$2:$B$2001,"Beverage"))</f>
        <v/>
      </c>
      <c r="AC54" s="21" t="str">
        <f t="shared" si="12"/>
        <v/>
      </c>
      <c r="AD54" s="24" t="str">
        <f t="shared" ref="AD54:AE54" si="69">IF(I54=0,"",AA54/I54)</f>
        <v/>
      </c>
      <c r="AE54" s="24" t="str">
        <f t="shared" si="69"/>
        <v/>
      </c>
      <c r="AF54" s="21" t="str">
        <f t="shared" si="14"/>
        <v/>
      </c>
      <c r="AG54" s="24" t="str">
        <f t="shared" si="15"/>
        <v>#DIV/0!</v>
      </c>
      <c r="AH54" s="25" t="str">
        <f t="shared" si="16"/>
        <v/>
      </c>
      <c r="AI54" s="25" t="str">
        <f t="shared" si="17"/>
        <v/>
      </c>
      <c r="AJ54" s="26" t="str">
        <f t="shared" si="18"/>
        <v/>
      </c>
    </row>
    <row r="55" ht="15.75" customHeight="1">
      <c r="A55" s="3"/>
      <c r="B55" s="18" t="str">
        <f t="shared" si="2"/>
        <v/>
      </c>
      <c r="C55" s="19"/>
      <c r="D55" s="19"/>
      <c r="E55" s="19"/>
      <c r="F55" s="20"/>
      <c r="G55" s="20"/>
      <c r="H55" s="21" t="str">
        <f t="shared" si="3"/>
        <v/>
      </c>
      <c r="I55" s="20"/>
      <c r="J55" s="20"/>
      <c r="K55" s="20"/>
      <c r="L55" s="20"/>
      <c r="M55" s="21" t="str">
        <f t="shared" si="4"/>
        <v/>
      </c>
      <c r="N55" s="20"/>
      <c r="O55" s="20"/>
      <c r="P55" s="20"/>
      <c r="Q55" s="21" t="str">
        <f t="shared" si="5"/>
        <v/>
      </c>
      <c r="R55" s="21" t="str">
        <f t="shared" si="6"/>
        <v/>
      </c>
      <c r="S55" s="22"/>
      <c r="T55" s="22"/>
      <c r="U55" s="23" t="str">
        <f t="shared" si="7"/>
        <v/>
      </c>
      <c r="V55" s="21" t="str">
        <f t="shared" si="8"/>
        <v>#DIV/0!</v>
      </c>
      <c r="W55" s="24" t="str">
        <f t="shared" si="9"/>
        <v>#DIV/0!</v>
      </c>
      <c r="X55" s="24" t="str">
        <f t="shared" si="10"/>
        <v>#DIV/0!</v>
      </c>
      <c r="Y55" s="21" t="str">
        <f>IF(A55="","",SUMIFS('Labor Log'!$I$2:$I$2001,'Labor Log'!$A$2:$A$2001,A55))</f>
        <v/>
      </c>
      <c r="Z55" s="24" t="str">
        <f t="shared" si="11"/>
        <v>#DIV/0!</v>
      </c>
      <c r="AA55" s="21" t="str">
        <f>IF(A55="","",SUMIFS('Inventory &amp; COGS'!$H$2:$H$2001,'Inventory &amp; COGS'!$A$2:$A$2001,A55,'Inventory &amp; COGS'!$B$2:$B$2001,"Food"))</f>
        <v/>
      </c>
      <c r="AB55" s="21" t="str">
        <f>IF(A55="","",SUMIFS('Inventory &amp; COGS'!$H$2:$H$2001,'Inventory &amp; COGS'!$A$2:$A$2001,A55,'Inventory &amp; COGS'!$B$2:$B$2001,"Beverage"))</f>
        <v/>
      </c>
      <c r="AC55" s="21" t="str">
        <f t="shared" si="12"/>
        <v/>
      </c>
      <c r="AD55" s="24" t="str">
        <f t="shared" ref="AD55:AE55" si="70">IF(I55=0,"",AA55/I55)</f>
        <v/>
      </c>
      <c r="AE55" s="24" t="str">
        <f t="shared" si="70"/>
        <v/>
      </c>
      <c r="AF55" s="21" t="str">
        <f t="shared" si="14"/>
        <v/>
      </c>
      <c r="AG55" s="24" t="str">
        <f t="shared" si="15"/>
        <v>#DIV/0!</v>
      </c>
      <c r="AH55" s="25" t="str">
        <f t="shared" si="16"/>
        <v/>
      </c>
      <c r="AI55" s="25" t="str">
        <f t="shared" si="17"/>
        <v/>
      </c>
      <c r="AJ55" s="26" t="str">
        <f t="shared" si="18"/>
        <v/>
      </c>
    </row>
    <row r="56" ht="15.75" customHeight="1">
      <c r="A56" s="3"/>
      <c r="B56" s="18" t="str">
        <f t="shared" si="2"/>
        <v/>
      </c>
      <c r="C56" s="19"/>
      <c r="D56" s="19"/>
      <c r="E56" s="19"/>
      <c r="F56" s="20"/>
      <c r="G56" s="20"/>
      <c r="H56" s="21" t="str">
        <f t="shared" si="3"/>
        <v/>
      </c>
      <c r="I56" s="20"/>
      <c r="J56" s="20"/>
      <c r="K56" s="20"/>
      <c r="L56" s="20"/>
      <c r="M56" s="21" t="str">
        <f t="shared" si="4"/>
        <v/>
      </c>
      <c r="N56" s="20"/>
      <c r="O56" s="20"/>
      <c r="P56" s="20"/>
      <c r="Q56" s="21" t="str">
        <f t="shared" si="5"/>
        <v/>
      </c>
      <c r="R56" s="21" t="str">
        <f t="shared" si="6"/>
        <v/>
      </c>
      <c r="S56" s="22"/>
      <c r="T56" s="22"/>
      <c r="U56" s="23" t="str">
        <f t="shared" si="7"/>
        <v/>
      </c>
      <c r="V56" s="21" t="str">
        <f t="shared" si="8"/>
        <v>#DIV/0!</v>
      </c>
      <c r="W56" s="24" t="str">
        <f t="shared" si="9"/>
        <v>#DIV/0!</v>
      </c>
      <c r="X56" s="24" t="str">
        <f t="shared" si="10"/>
        <v>#DIV/0!</v>
      </c>
      <c r="Y56" s="21" t="str">
        <f>IF(A56="","",SUMIFS('Labor Log'!$I$2:$I$2001,'Labor Log'!$A$2:$A$2001,A56))</f>
        <v/>
      </c>
      <c r="Z56" s="24" t="str">
        <f t="shared" si="11"/>
        <v>#DIV/0!</v>
      </c>
      <c r="AA56" s="21" t="str">
        <f>IF(A56="","",SUMIFS('Inventory &amp; COGS'!$H$2:$H$2001,'Inventory &amp; COGS'!$A$2:$A$2001,A56,'Inventory &amp; COGS'!$B$2:$B$2001,"Food"))</f>
        <v/>
      </c>
      <c r="AB56" s="21" t="str">
        <f>IF(A56="","",SUMIFS('Inventory &amp; COGS'!$H$2:$H$2001,'Inventory &amp; COGS'!$A$2:$A$2001,A56,'Inventory &amp; COGS'!$B$2:$B$2001,"Beverage"))</f>
        <v/>
      </c>
      <c r="AC56" s="21" t="str">
        <f t="shared" si="12"/>
        <v/>
      </c>
      <c r="AD56" s="24" t="str">
        <f t="shared" ref="AD56:AE56" si="71">IF(I56=0,"",AA56/I56)</f>
        <v/>
      </c>
      <c r="AE56" s="24" t="str">
        <f t="shared" si="71"/>
        <v/>
      </c>
      <c r="AF56" s="21" t="str">
        <f t="shared" si="14"/>
        <v/>
      </c>
      <c r="AG56" s="24" t="str">
        <f t="shared" si="15"/>
        <v>#DIV/0!</v>
      </c>
      <c r="AH56" s="25" t="str">
        <f t="shared" si="16"/>
        <v/>
      </c>
      <c r="AI56" s="25" t="str">
        <f t="shared" si="17"/>
        <v/>
      </c>
      <c r="AJ56" s="26" t="str">
        <f t="shared" si="18"/>
        <v/>
      </c>
    </row>
    <row r="57" ht="15.75" customHeight="1">
      <c r="A57" s="3"/>
      <c r="B57" s="18" t="str">
        <f t="shared" si="2"/>
        <v/>
      </c>
      <c r="C57" s="19"/>
      <c r="D57" s="19"/>
      <c r="E57" s="19"/>
      <c r="F57" s="20"/>
      <c r="G57" s="20"/>
      <c r="H57" s="21" t="str">
        <f t="shared" si="3"/>
        <v/>
      </c>
      <c r="I57" s="20"/>
      <c r="J57" s="20"/>
      <c r="K57" s="20"/>
      <c r="L57" s="20"/>
      <c r="M57" s="21" t="str">
        <f t="shared" si="4"/>
        <v/>
      </c>
      <c r="N57" s="20"/>
      <c r="O57" s="20"/>
      <c r="P57" s="20"/>
      <c r="Q57" s="21" t="str">
        <f t="shared" si="5"/>
        <v/>
      </c>
      <c r="R57" s="21" t="str">
        <f t="shared" si="6"/>
        <v/>
      </c>
      <c r="S57" s="22"/>
      <c r="T57" s="22"/>
      <c r="U57" s="23" t="str">
        <f t="shared" si="7"/>
        <v/>
      </c>
      <c r="V57" s="21" t="str">
        <f t="shared" si="8"/>
        <v>#DIV/0!</v>
      </c>
      <c r="W57" s="24" t="str">
        <f t="shared" si="9"/>
        <v>#DIV/0!</v>
      </c>
      <c r="X57" s="24" t="str">
        <f t="shared" si="10"/>
        <v>#DIV/0!</v>
      </c>
      <c r="Y57" s="21" t="str">
        <f>IF(A57="","",SUMIFS('Labor Log'!$I$2:$I$2001,'Labor Log'!$A$2:$A$2001,A57))</f>
        <v/>
      </c>
      <c r="Z57" s="24" t="str">
        <f t="shared" si="11"/>
        <v>#DIV/0!</v>
      </c>
      <c r="AA57" s="21" t="str">
        <f>IF(A57="","",SUMIFS('Inventory &amp; COGS'!$H$2:$H$2001,'Inventory &amp; COGS'!$A$2:$A$2001,A57,'Inventory &amp; COGS'!$B$2:$B$2001,"Food"))</f>
        <v/>
      </c>
      <c r="AB57" s="21" t="str">
        <f>IF(A57="","",SUMIFS('Inventory &amp; COGS'!$H$2:$H$2001,'Inventory &amp; COGS'!$A$2:$A$2001,A57,'Inventory &amp; COGS'!$B$2:$B$2001,"Beverage"))</f>
        <v/>
      </c>
      <c r="AC57" s="21" t="str">
        <f t="shared" si="12"/>
        <v/>
      </c>
      <c r="AD57" s="24" t="str">
        <f t="shared" ref="AD57:AE57" si="72">IF(I57=0,"",AA57/I57)</f>
        <v/>
      </c>
      <c r="AE57" s="24" t="str">
        <f t="shared" si="72"/>
        <v/>
      </c>
      <c r="AF57" s="21" t="str">
        <f t="shared" si="14"/>
        <v/>
      </c>
      <c r="AG57" s="24" t="str">
        <f t="shared" si="15"/>
        <v>#DIV/0!</v>
      </c>
      <c r="AH57" s="25" t="str">
        <f t="shared" si="16"/>
        <v/>
      </c>
      <c r="AI57" s="25" t="str">
        <f t="shared" si="17"/>
        <v/>
      </c>
      <c r="AJ57" s="26" t="str">
        <f t="shared" si="18"/>
        <v/>
      </c>
    </row>
    <row r="58" ht="15.75" customHeight="1">
      <c r="A58" s="3"/>
      <c r="B58" s="18" t="str">
        <f t="shared" si="2"/>
        <v/>
      </c>
      <c r="C58" s="19"/>
      <c r="D58" s="19"/>
      <c r="E58" s="19"/>
      <c r="F58" s="20"/>
      <c r="G58" s="20"/>
      <c r="H58" s="21" t="str">
        <f t="shared" si="3"/>
        <v/>
      </c>
      <c r="I58" s="20"/>
      <c r="J58" s="20"/>
      <c r="K58" s="20"/>
      <c r="L58" s="20"/>
      <c r="M58" s="21" t="str">
        <f t="shared" si="4"/>
        <v/>
      </c>
      <c r="N58" s="20"/>
      <c r="O58" s="20"/>
      <c r="P58" s="20"/>
      <c r="Q58" s="21" t="str">
        <f t="shared" si="5"/>
        <v/>
      </c>
      <c r="R58" s="21" t="str">
        <f t="shared" si="6"/>
        <v/>
      </c>
      <c r="S58" s="22"/>
      <c r="T58" s="22"/>
      <c r="U58" s="23" t="str">
        <f t="shared" si="7"/>
        <v/>
      </c>
      <c r="V58" s="21" t="str">
        <f t="shared" si="8"/>
        <v>#DIV/0!</v>
      </c>
      <c r="W58" s="24" t="str">
        <f t="shared" si="9"/>
        <v>#DIV/0!</v>
      </c>
      <c r="X58" s="24" t="str">
        <f t="shared" si="10"/>
        <v>#DIV/0!</v>
      </c>
      <c r="Y58" s="21" t="str">
        <f>IF(A58="","",SUMIFS('Labor Log'!$I$2:$I$2001,'Labor Log'!$A$2:$A$2001,A58))</f>
        <v/>
      </c>
      <c r="Z58" s="24" t="str">
        <f t="shared" si="11"/>
        <v>#DIV/0!</v>
      </c>
      <c r="AA58" s="21" t="str">
        <f>IF(A58="","",SUMIFS('Inventory &amp; COGS'!$H$2:$H$2001,'Inventory &amp; COGS'!$A$2:$A$2001,A58,'Inventory &amp; COGS'!$B$2:$B$2001,"Food"))</f>
        <v/>
      </c>
      <c r="AB58" s="21" t="str">
        <f>IF(A58="","",SUMIFS('Inventory &amp; COGS'!$H$2:$H$2001,'Inventory &amp; COGS'!$A$2:$A$2001,A58,'Inventory &amp; COGS'!$B$2:$B$2001,"Beverage"))</f>
        <v/>
      </c>
      <c r="AC58" s="21" t="str">
        <f t="shared" si="12"/>
        <v/>
      </c>
      <c r="AD58" s="24" t="str">
        <f t="shared" ref="AD58:AE58" si="73">IF(I58=0,"",AA58/I58)</f>
        <v/>
      </c>
      <c r="AE58" s="24" t="str">
        <f t="shared" si="73"/>
        <v/>
      </c>
      <c r="AF58" s="21" t="str">
        <f t="shared" si="14"/>
        <v/>
      </c>
      <c r="AG58" s="24" t="str">
        <f t="shared" si="15"/>
        <v>#DIV/0!</v>
      </c>
      <c r="AH58" s="25" t="str">
        <f t="shared" si="16"/>
        <v/>
      </c>
      <c r="AI58" s="25" t="str">
        <f t="shared" si="17"/>
        <v/>
      </c>
      <c r="AJ58" s="26" t="str">
        <f t="shared" si="18"/>
        <v/>
      </c>
    </row>
    <row r="59" ht="15.75" customHeight="1">
      <c r="A59" s="3"/>
      <c r="B59" s="18" t="str">
        <f t="shared" si="2"/>
        <v/>
      </c>
      <c r="C59" s="19"/>
      <c r="D59" s="19"/>
      <c r="E59" s="19"/>
      <c r="F59" s="20"/>
      <c r="G59" s="20"/>
      <c r="H59" s="21" t="str">
        <f t="shared" si="3"/>
        <v/>
      </c>
      <c r="I59" s="20"/>
      <c r="J59" s="20"/>
      <c r="K59" s="20"/>
      <c r="L59" s="20"/>
      <c r="M59" s="21" t="str">
        <f t="shared" si="4"/>
        <v/>
      </c>
      <c r="N59" s="20"/>
      <c r="O59" s="20"/>
      <c r="P59" s="20"/>
      <c r="Q59" s="21" t="str">
        <f t="shared" si="5"/>
        <v/>
      </c>
      <c r="R59" s="21" t="str">
        <f t="shared" si="6"/>
        <v/>
      </c>
      <c r="S59" s="22"/>
      <c r="T59" s="22"/>
      <c r="U59" s="23" t="str">
        <f t="shared" si="7"/>
        <v/>
      </c>
      <c r="V59" s="21" t="str">
        <f t="shared" si="8"/>
        <v>#DIV/0!</v>
      </c>
      <c r="W59" s="24" t="str">
        <f t="shared" si="9"/>
        <v>#DIV/0!</v>
      </c>
      <c r="X59" s="24" t="str">
        <f t="shared" si="10"/>
        <v>#DIV/0!</v>
      </c>
      <c r="Y59" s="21" t="str">
        <f>IF(A59="","",SUMIFS('Labor Log'!$I$2:$I$2001,'Labor Log'!$A$2:$A$2001,A59))</f>
        <v/>
      </c>
      <c r="Z59" s="24" t="str">
        <f t="shared" si="11"/>
        <v>#DIV/0!</v>
      </c>
      <c r="AA59" s="21" t="str">
        <f>IF(A59="","",SUMIFS('Inventory &amp; COGS'!$H$2:$H$2001,'Inventory &amp; COGS'!$A$2:$A$2001,A59,'Inventory &amp; COGS'!$B$2:$B$2001,"Food"))</f>
        <v/>
      </c>
      <c r="AB59" s="21" t="str">
        <f>IF(A59="","",SUMIFS('Inventory &amp; COGS'!$H$2:$H$2001,'Inventory &amp; COGS'!$A$2:$A$2001,A59,'Inventory &amp; COGS'!$B$2:$B$2001,"Beverage"))</f>
        <v/>
      </c>
      <c r="AC59" s="21" t="str">
        <f t="shared" si="12"/>
        <v/>
      </c>
      <c r="AD59" s="24" t="str">
        <f t="shared" ref="AD59:AE59" si="74">IF(I59=0,"",AA59/I59)</f>
        <v/>
      </c>
      <c r="AE59" s="24" t="str">
        <f t="shared" si="74"/>
        <v/>
      </c>
      <c r="AF59" s="21" t="str">
        <f t="shared" si="14"/>
        <v/>
      </c>
      <c r="AG59" s="24" t="str">
        <f t="shared" si="15"/>
        <v>#DIV/0!</v>
      </c>
      <c r="AH59" s="25" t="str">
        <f t="shared" si="16"/>
        <v/>
      </c>
      <c r="AI59" s="25" t="str">
        <f t="shared" si="17"/>
        <v/>
      </c>
      <c r="AJ59" s="26" t="str">
        <f t="shared" si="18"/>
        <v/>
      </c>
    </row>
    <row r="60" ht="15.75" customHeight="1">
      <c r="A60" s="3"/>
      <c r="B60" s="18" t="str">
        <f t="shared" si="2"/>
        <v/>
      </c>
      <c r="C60" s="19"/>
      <c r="D60" s="19"/>
      <c r="E60" s="19"/>
      <c r="F60" s="20"/>
      <c r="G60" s="20"/>
      <c r="H60" s="21" t="str">
        <f t="shared" si="3"/>
        <v/>
      </c>
      <c r="I60" s="20"/>
      <c r="J60" s="20"/>
      <c r="K60" s="20"/>
      <c r="L60" s="20"/>
      <c r="M60" s="21" t="str">
        <f t="shared" si="4"/>
        <v/>
      </c>
      <c r="N60" s="20"/>
      <c r="O60" s="20"/>
      <c r="P60" s="20"/>
      <c r="Q60" s="21" t="str">
        <f t="shared" si="5"/>
        <v/>
      </c>
      <c r="R60" s="21" t="str">
        <f t="shared" si="6"/>
        <v/>
      </c>
      <c r="S60" s="22"/>
      <c r="T60" s="22"/>
      <c r="U60" s="23" t="str">
        <f t="shared" si="7"/>
        <v/>
      </c>
      <c r="V60" s="21" t="str">
        <f t="shared" si="8"/>
        <v>#DIV/0!</v>
      </c>
      <c r="W60" s="24" t="str">
        <f t="shared" si="9"/>
        <v>#DIV/0!</v>
      </c>
      <c r="X60" s="24" t="str">
        <f t="shared" si="10"/>
        <v>#DIV/0!</v>
      </c>
      <c r="Y60" s="21" t="str">
        <f>IF(A60="","",SUMIFS('Labor Log'!$I$2:$I$2001,'Labor Log'!$A$2:$A$2001,A60))</f>
        <v/>
      </c>
      <c r="Z60" s="24" t="str">
        <f t="shared" si="11"/>
        <v>#DIV/0!</v>
      </c>
      <c r="AA60" s="21" t="str">
        <f>IF(A60="","",SUMIFS('Inventory &amp; COGS'!$H$2:$H$2001,'Inventory &amp; COGS'!$A$2:$A$2001,A60,'Inventory &amp; COGS'!$B$2:$B$2001,"Food"))</f>
        <v/>
      </c>
      <c r="AB60" s="21" t="str">
        <f>IF(A60="","",SUMIFS('Inventory &amp; COGS'!$H$2:$H$2001,'Inventory &amp; COGS'!$A$2:$A$2001,A60,'Inventory &amp; COGS'!$B$2:$B$2001,"Beverage"))</f>
        <v/>
      </c>
      <c r="AC60" s="21" t="str">
        <f t="shared" si="12"/>
        <v/>
      </c>
      <c r="AD60" s="24" t="str">
        <f t="shared" ref="AD60:AE60" si="75">IF(I60=0,"",AA60/I60)</f>
        <v/>
      </c>
      <c r="AE60" s="24" t="str">
        <f t="shared" si="75"/>
        <v/>
      </c>
      <c r="AF60" s="21" t="str">
        <f t="shared" si="14"/>
        <v/>
      </c>
      <c r="AG60" s="24" t="str">
        <f t="shared" si="15"/>
        <v>#DIV/0!</v>
      </c>
      <c r="AH60" s="25" t="str">
        <f t="shared" si="16"/>
        <v/>
      </c>
      <c r="AI60" s="25" t="str">
        <f t="shared" si="17"/>
        <v/>
      </c>
      <c r="AJ60" s="26" t="str">
        <f t="shared" si="18"/>
        <v/>
      </c>
    </row>
    <row r="61" ht="15.75" customHeight="1">
      <c r="A61" s="3"/>
      <c r="B61" s="18" t="str">
        <f t="shared" si="2"/>
        <v/>
      </c>
      <c r="C61" s="19"/>
      <c r="D61" s="19"/>
      <c r="E61" s="19"/>
      <c r="F61" s="20"/>
      <c r="G61" s="20"/>
      <c r="H61" s="21" t="str">
        <f t="shared" si="3"/>
        <v/>
      </c>
      <c r="I61" s="20"/>
      <c r="J61" s="20"/>
      <c r="K61" s="20"/>
      <c r="L61" s="20"/>
      <c r="M61" s="21" t="str">
        <f t="shared" si="4"/>
        <v/>
      </c>
      <c r="N61" s="20"/>
      <c r="O61" s="20"/>
      <c r="P61" s="20"/>
      <c r="Q61" s="21" t="str">
        <f t="shared" si="5"/>
        <v/>
      </c>
      <c r="R61" s="21" t="str">
        <f t="shared" si="6"/>
        <v/>
      </c>
      <c r="S61" s="22"/>
      <c r="T61" s="22"/>
      <c r="U61" s="23" t="str">
        <f t="shared" si="7"/>
        <v/>
      </c>
      <c r="V61" s="21" t="str">
        <f t="shared" si="8"/>
        <v>#DIV/0!</v>
      </c>
      <c r="W61" s="24" t="str">
        <f t="shared" si="9"/>
        <v>#DIV/0!</v>
      </c>
      <c r="X61" s="24" t="str">
        <f t="shared" si="10"/>
        <v>#DIV/0!</v>
      </c>
      <c r="Y61" s="21" t="str">
        <f>IF(A61="","",SUMIFS('Labor Log'!$I$2:$I$2001,'Labor Log'!$A$2:$A$2001,A61))</f>
        <v/>
      </c>
      <c r="Z61" s="24" t="str">
        <f t="shared" si="11"/>
        <v>#DIV/0!</v>
      </c>
      <c r="AA61" s="21" t="str">
        <f>IF(A61="","",SUMIFS('Inventory &amp; COGS'!$H$2:$H$2001,'Inventory &amp; COGS'!$A$2:$A$2001,A61,'Inventory &amp; COGS'!$B$2:$B$2001,"Food"))</f>
        <v/>
      </c>
      <c r="AB61" s="21" t="str">
        <f>IF(A61="","",SUMIFS('Inventory &amp; COGS'!$H$2:$H$2001,'Inventory &amp; COGS'!$A$2:$A$2001,A61,'Inventory &amp; COGS'!$B$2:$B$2001,"Beverage"))</f>
        <v/>
      </c>
      <c r="AC61" s="21" t="str">
        <f t="shared" si="12"/>
        <v/>
      </c>
      <c r="AD61" s="24" t="str">
        <f t="shared" ref="AD61:AE61" si="76">IF(I61=0,"",AA61/I61)</f>
        <v/>
      </c>
      <c r="AE61" s="24" t="str">
        <f t="shared" si="76"/>
        <v/>
      </c>
      <c r="AF61" s="21" t="str">
        <f t="shared" si="14"/>
        <v/>
      </c>
      <c r="AG61" s="24" t="str">
        <f t="shared" si="15"/>
        <v>#DIV/0!</v>
      </c>
      <c r="AH61" s="25" t="str">
        <f t="shared" si="16"/>
        <v/>
      </c>
      <c r="AI61" s="25" t="str">
        <f t="shared" si="17"/>
        <v/>
      </c>
      <c r="AJ61" s="26" t="str">
        <f t="shared" si="18"/>
        <v/>
      </c>
    </row>
    <row r="62" ht="15.75" customHeight="1">
      <c r="A62" s="3"/>
      <c r="B62" s="18" t="str">
        <f t="shared" si="2"/>
        <v/>
      </c>
      <c r="C62" s="19"/>
      <c r="D62" s="19"/>
      <c r="E62" s="19"/>
      <c r="F62" s="20"/>
      <c r="G62" s="20"/>
      <c r="H62" s="21" t="str">
        <f t="shared" si="3"/>
        <v/>
      </c>
      <c r="I62" s="20"/>
      <c r="J62" s="20"/>
      <c r="K62" s="20"/>
      <c r="L62" s="20"/>
      <c r="M62" s="21" t="str">
        <f t="shared" si="4"/>
        <v/>
      </c>
      <c r="N62" s="20"/>
      <c r="O62" s="20"/>
      <c r="P62" s="20"/>
      <c r="Q62" s="21" t="str">
        <f t="shared" si="5"/>
        <v/>
      </c>
      <c r="R62" s="21" t="str">
        <f t="shared" si="6"/>
        <v/>
      </c>
      <c r="S62" s="22"/>
      <c r="T62" s="22"/>
      <c r="U62" s="23" t="str">
        <f t="shared" si="7"/>
        <v/>
      </c>
      <c r="V62" s="21" t="str">
        <f t="shared" si="8"/>
        <v>#DIV/0!</v>
      </c>
      <c r="W62" s="24" t="str">
        <f t="shared" si="9"/>
        <v>#DIV/0!</v>
      </c>
      <c r="X62" s="24" t="str">
        <f t="shared" si="10"/>
        <v>#DIV/0!</v>
      </c>
      <c r="Y62" s="21" t="str">
        <f>IF(A62="","",SUMIFS('Labor Log'!$I$2:$I$2001,'Labor Log'!$A$2:$A$2001,A62))</f>
        <v/>
      </c>
      <c r="Z62" s="24" t="str">
        <f t="shared" si="11"/>
        <v>#DIV/0!</v>
      </c>
      <c r="AA62" s="21" t="str">
        <f>IF(A62="","",SUMIFS('Inventory &amp; COGS'!$H$2:$H$2001,'Inventory &amp; COGS'!$A$2:$A$2001,A62,'Inventory &amp; COGS'!$B$2:$B$2001,"Food"))</f>
        <v/>
      </c>
      <c r="AB62" s="21" t="str">
        <f>IF(A62="","",SUMIFS('Inventory &amp; COGS'!$H$2:$H$2001,'Inventory &amp; COGS'!$A$2:$A$2001,A62,'Inventory &amp; COGS'!$B$2:$B$2001,"Beverage"))</f>
        <v/>
      </c>
      <c r="AC62" s="21" t="str">
        <f t="shared" si="12"/>
        <v/>
      </c>
      <c r="AD62" s="24" t="str">
        <f t="shared" ref="AD62:AE62" si="77">IF(I62=0,"",AA62/I62)</f>
        <v/>
      </c>
      <c r="AE62" s="24" t="str">
        <f t="shared" si="77"/>
        <v/>
      </c>
      <c r="AF62" s="21" t="str">
        <f t="shared" si="14"/>
        <v/>
      </c>
      <c r="AG62" s="24" t="str">
        <f t="shared" si="15"/>
        <v>#DIV/0!</v>
      </c>
      <c r="AH62" s="25" t="str">
        <f t="shared" si="16"/>
        <v/>
      </c>
      <c r="AI62" s="25" t="str">
        <f t="shared" si="17"/>
        <v/>
      </c>
      <c r="AJ62" s="26" t="str">
        <f t="shared" si="18"/>
        <v/>
      </c>
    </row>
    <row r="63" ht="15.75" customHeight="1">
      <c r="A63" s="3"/>
      <c r="B63" s="18" t="str">
        <f t="shared" si="2"/>
        <v/>
      </c>
      <c r="C63" s="19"/>
      <c r="D63" s="19"/>
      <c r="E63" s="19"/>
      <c r="F63" s="20"/>
      <c r="G63" s="20"/>
      <c r="H63" s="21" t="str">
        <f t="shared" si="3"/>
        <v/>
      </c>
      <c r="I63" s="20"/>
      <c r="J63" s="20"/>
      <c r="K63" s="20"/>
      <c r="L63" s="20"/>
      <c r="M63" s="21" t="str">
        <f t="shared" si="4"/>
        <v/>
      </c>
      <c r="N63" s="20"/>
      <c r="O63" s="20"/>
      <c r="P63" s="20"/>
      <c r="Q63" s="21" t="str">
        <f t="shared" si="5"/>
        <v/>
      </c>
      <c r="R63" s="21" t="str">
        <f t="shared" si="6"/>
        <v/>
      </c>
      <c r="S63" s="22"/>
      <c r="T63" s="22"/>
      <c r="U63" s="23" t="str">
        <f t="shared" si="7"/>
        <v/>
      </c>
      <c r="V63" s="21" t="str">
        <f t="shared" si="8"/>
        <v>#DIV/0!</v>
      </c>
      <c r="W63" s="24" t="str">
        <f t="shared" si="9"/>
        <v>#DIV/0!</v>
      </c>
      <c r="X63" s="24" t="str">
        <f t="shared" si="10"/>
        <v>#DIV/0!</v>
      </c>
      <c r="Y63" s="21" t="str">
        <f>IF(A63="","",SUMIFS('Labor Log'!$I$2:$I$2001,'Labor Log'!$A$2:$A$2001,A63))</f>
        <v/>
      </c>
      <c r="Z63" s="24" t="str">
        <f t="shared" si="11"/>
        <v>#DIV/0!</v>
      </c>
      <c r="AA63" s="21" t="str">
        <f>IF(A63="","",SUMIFS('Inventory &amp; COGS'!$H$2:$H$2001,'Inventory &amp; COGS'!$A$2:$A$2001,A63,'Inventory &amp; COGS'!$B$2:$B$2001,"Food"))</f>
        <v/>
      </c>
      <c r="AB63" s="21" t="str">
        <f>IF(A63="","",SUMIFS('Inventory &amp; COGS'!$H$2:$H$2001,'Inventory &amp; COGS'!$A$2:$A$2001,A63,'Inventory &amp; COGS'!$B$2:$B$2001,"Beverage"))</f>
        <v/>
      </c>
      <c r="AC63" s="21" t="str">
        <f t="shared" si="12"/>
        <v/>
      </c>
      <c r="AD63" s="24" t="str">
        <f t="shared" ref="AD63:AE63" si="78">IF(I63=0,"",AA63/I63)</f>
        <v/>
      </c>
      <c r="AE63" s="24" t="str">
        <f t="shared" si="78"/>
        <v/>
      </c>
      <c r="AF63" s="21" t="str">
        <f t="shared" si="14"/>
        <v/>
      </c>
      <c r="AG63" s="24" t="str">
        <f t="shared" si="15"/>
        <v>#DIV/0!</v>
      </c>
      <c r="AH63" s="25" t="str">
        <f t="shared" si="16"/>
        <v/>
      </c>
      <c r="AI63" s="25" t="str">
        <f t="shared" si="17"/>
        <v/>
      </c>
      <c r="AJ63" s="26" t="str">
        <f t="shared" si="18"/>
        <v/>
      </c>
    </row>
    <row r="64" ht="15.75" customHeight="1">
      <c r="A64" s="3"/>
      <c r="B64" s="18" t="str">
        <f t="shared" si="2"/>
        <v/>
      </c>
      <c r="C64" s="19"/>
      <c r="D64" s="19"/>
      <c r="E64" s="19"/>
      <c r="F64" s="20"/>
      <c r="G64" s="20"/>
      <c r="H64" s="21" t="str">
        <f t="shared" si="3"/>
        <v/>
      </c>
      <c r="I64" s="20"/>
      <c r="J64" s="20"/>
      <c r="K64" s="20"/>
      <c r="L64" s="20"/>
      <c r="M64" s="21" t="str">
        <f t="shared" si="4"/>
        <v/>
      </c>
      <c r="N64" s="20"/>
      <c r="O64" s="20"/>
      <c r="P64" s="20"/>
      <c r="Q64" s="21" t="str">
        <f t="shared" si="5"/>
        <v/>
      </c>
      <c r="R64" s="21" t="str">
        <f t="shared" si="6"/>
        <v/>
      </c>
      <c r="S64" s="22"/>
      <c r="T64" s="22"/>
      <c r="U64" s="23" t="str">
        <f t="shared" si="7"/>
        <v/>
      </c>
      <c r="V64" s="21" t="str">
        <f t="shared" si="8"/>
        <v>#DIV/0!</v>
      </c>
      <c r="W64" s="24" t="str">
        <f t="shared" si="9"/>
        <v>#DIV/0!</v>
      </c>
      <c r="X64" s="24" t="str">
        <f t="shared" si="10"/>
        <v>#DIV/0!</v>
      </c>
      <c r="Y64" s="21" t="str">
        <f>IF(A64="","",SUMIFS('Labor Log'!$I$2:$I$2001,'Labor Log'!$A$2:$A$2001,A64))</f>
        <v/>
      </c>
      <c r="Z64" s="24" t="str">
        <f t="shared" si="11"/>
        <v>#DIV/0!</v>
      </c>
      <c r="AA64" s="21" t="str">
        <f>IF(A64="","",SUMIFS('Inventory &amp; COGS'!$H$2:$H$2001,'Inventory &amp; COGS'!$A$2:$A$2001,A64,'Inventory &amp; COGS'!$B$2:$B$2001,"Food"))</f>
        <v/>
      </c>
      <c r="AB64" s="21" t="str">
        <f>IF(A64="","",SUMIFS('Inventory &amp; COGS'!$H$2:$H$2001,'Inventory &amp; COGS'!$A$2:$A$2001,A64,'Inventory &amp; COGS'!$B$2:$B$2001,"Beverage"))</f>
        <v/>
      </c>
      <c r="AC64" s="21" t="str">
        <f t="shared" si="12"/>
        <v/>
      </c>
      <c r="AD64" s="24" t="str">
        <f t="shared" ref="AD64:AE64" si="79">IF(I64=0,"",AA64/I64)</f>
        <v/>
      </c>
      <c r="AE64" s="24" t="str">
        <f t="shared" si="79"/>
        <v/>
      </c>
      <c r="AF64" s="21" t="str">
        <f t="shared" si="14"/>
        <v/>
      </c>
      <c r="AG64" s="24" t="str">
        <f t="shared" si="15"/>
        <v>#DIV/0!</v>
      </c>
      <c r="AH64" s="25" t="str">
        <f t="shared" si="16"/>
        <v/>
      </c>
      <c r="AI64" s="25" t="str">
        <f t="shared" si="17"/>
        <v/>
      </c>
      <c r="AJ64" s="26" t="str">
        <f t="shared" si="18"/>
        <v/>
      </c>
    </row>
    <row r="65" ht="15.75" customHeight="1">
      <c r="A65" s="3"/>
      <c r="B65" s="18" t="str">
        <f t="shared" si="2"/>
        <v/>
      </c>
      <c r="C65" s="19"/>
      <c r="D65" s="19"/>
      <c r="E65" s="19"/>
      <c r="F65" s="20"/>
      <c r="G65" s="20"/>
      <c r="H65" s="21" t="str">
        <f t="shared" si="3"/>
        <v/>
      </c>
      <c r="I65" s="20"/>
      <c r="J65" s="20"/>
      <c r="K65" s="20"/>
      <c r="L65" s="20"/>
      <c r="M65" s="21" t="str">
        <f t="shared" si="4"/>
        <v/>
      </c>
      <c r="N65" s="20"/>
      <c r="O65" s="20"/>
      <c r="P65" s="20"/>
      <c r="Q65" s="21" t="str">
        <f t="shared" si="5"/>
        <v/>
      </c>
      <c r="R65" s="21" t="str">
        <f t="shared" si="6"/>
        <v/>
      </c>
      <c r="S65" s="22"/>
      <c r="T65" s="22"/>
      <c r="U65" s="23" t="str">
        <f t="shared" si="7"/>
        <v/>
      </c>
      <c r="V65" s="21" t="str">
        <f t="shared" si="8"/>
        <v>#DIV/0!</v>
      </c>
      <c r="W65" s="24" t="str">
        <f t="shared" si="9"/>
        <v>#DIV/0!</v>
      </c>
      <c r="X65" s="24" t="str">
        <f t="shared" si="10"/>
        <v>#DIV/0!</v>
      </c>
      <c r="Y65" s="21" t="str">
        <f>IF(A65="","",SUMIFS('Labor Log'!$I$2:$I$2001,'Labor Log'!$A$2:$A$2001,A65))</f>
        <v/>
      </c>
      <c r="Z65" s="24" t="str">
        <f t="shared" si="11"/>
        <v>#DIV/0!</v>
      </c>
      <c r="AA65" s="21" t="str">
        <f>IF(A65="","",SUMIFS('Inventory &amp; COGS'!$H$2:$H$2001,'Inventory &amp; COGS'!$A$2:$A$2001,A65,'Inventory &amp; COGS'!$B$2:$B$2001,"Food"))</f>
        <v/>
      </c>
      <c r="AB65" s="21" t="str">
        <f>IF(A65="","",SUMIFS('Inventory &amp; COGS'!$H$2:$H$2001,'Inventory &amp; COGS'!$A$2:$A$2001,A65,'Inventory &amp; COGS'!$B$2:$B$2001,"Beverage"))</f>
        <v/>
      </c>
      <c r="AC65" s="21" t="str">
        <f t="shared" si="12"/>
        <v/>
      </c>
      <c r="AD65" s="24" t="str">
        <f t="shared" ref="AD65:AE65" si="80">IF(I65=0,"",AA65/I65)</f>
        <v/>
      </c>
      <c r="AE65" s="24" t="str">
        <f t="shared" si="80"/>
        <v/>
      </c>
      <c r="AF65" s="21" t="str">
        <f t="shared" si="14"/>
        <v/>
      </c>
      <c r="AG65" s="24" t="str">
        <f t="shared" si="15"/>
        <v>#DIV/0!</v>
      </c>
      <c r="AH65" s="25" t="str">
        <f t="shared" si="16"/>
        <v/>
      </c>
      <c r="AI65" s="25" t="str">
        <f t="shared" si="17"/>
        <v/>
      </c>
      <c r="AJ65" s="26" t="str">
        <f t="shared" si="18"/>
        <v/>
      </c>
    </row>
    <row r="66" ht="15.75" customHeight="1">
      <c r="A66" s="3"/>
      <c r="B66" s="18" t="str">
        <f t="shared" si="2"/>
        <v/>
      </c>
      <c r="C66" s="19"/>
      <c r="D66" s="19"/>
      <c r="E66" s="19"/>
      <c r="F66" s="20"/>
      <c r="G66" s="20"/>
      <c r="H66" s="21" t="str">
        <f t="shared" si="3"/>
        <v/>
      </c>
      <c r="I66" s="20"/>
      <c r="J66" s="20"/>
      <c r="K66" s="20"/>
      <c r="L66" s="20"/>
      <c r="M66" s="21" t="str">
        <f t="shared" si="4"/>
        <v/>
      </c>
      <c r="N66" s="20"/>
      <c r="O66" s="20"/>
      <c r="P66" s="20"/>
      <c r="Q66" s="21" t="str">
        <f t="shared" si="5"/>
        <v/>
      </c>
      <c r="R66" s="21" t="str">
        <f t="shared" si="6"/>
        <v/>
      </c>
      <c r="S66" s="22"/>
      <c r="T66" s="22"/>
      <c r="U66" s="23" t="str">
        <f t="shared" si="7"/>
        <v/>
      </c>
      <c r="V66" s="21" t="str">
        <f t="shared" si="8"/>
        <v>#DIV/0!</v>
      </c>
      <c r="W66" s="24" t="str">
        <f t="shared" si="9"/>
        <v>#DIV/0!</v>
      </c>
      <c r="X66" s="24" t="str">
        <f t="shared" si="10"/>
        <v>#DIV/0!</v>
      </c>
      <c r="Y66" s="21" t="str">
        <f>IF(A66="","",SUMIFS('Labor Log'!$I$2:$I$2001,'Labor Log'!$A$2:$A$2001,A66))</f>
        <v/>
      </c>
      <c r="Z66" s="24" t="str">
        <f t="shared" si="11"/>
        <v>#DIV/0!</v>
      </c>
      <c r="AA66" s="21" t="str">
        <f>IF(A66="","",SUMIFS('Inventory &amp; COGS'!$H$2:$H$2001,'Inventory &amp; COGS'!$A$2:$A$2001,A66,'Inventory &amp; COGS'!$B$2:$B$2001,"Food"))</f>
        <v/>
      </c>
      <c r="AB66" s="21" t="str">
        <f>IF(A66="","",SUMIFS('Inventory &amp; COGS'!$H$2:$H$2001,'Inventory &amp; COGS'!$A$2:$A$2001,A66,'Inventory &amp; COGS'!$B$2:$B$2001,"Beverage"))</f>
        <v/>
      </c>
      <c r="AC66" s="21" t="str">
        <f t="shared" si="12"/>
        <v/>
      </c>
      <c r="AD66" s="24" t="str">
        <f t="shared" ref="AD66:AE66" si="81">IF(I66=0,"",AA66/I66)</f>
        <v/>
      </c>
      <c r="AE66" s="24" t="str">
        <f t="shared" si="81"/>
        <v/>
      </c>
      <c r="AF66" s="21" t="str">
        <f t="shared" si="14"/>
        <v/>
      </c>
      <c r="AG66" s="24" t="str">
        <f t="shared" si="15"/>
        <v>#DIV/0!</v>
      </c>
      <c r="AH66" s="25" t="str">
        <f t="shared" si="16"/>
        <v/>
      </c>
      <c r="AI66" s="25" t="str">
        <f t="shared" si="17"/>
        <v/>
      </c>
      <c r="AJ66" s="26" t="str">
        <f t="shared" si="18"/>
        <v/>
      </c>
    </row>
    <row r="67" ht="15.75" customHeight="1">
      <c r="A67" s="3"/>
      <c r="B67" s="18" t="str">
        <f t="shared" si="2"/>
        <v/>
      </c>
      <c r="C67" s="19"/>
      <c r="D67" s="19"/>
      <c r="E67" s="19"/>
      <c r="F67" s="20"/>
      <c r="G67" s="20"/>
      <c r="H67" s="21" t="str">
        <f t="shared" si="3"/>
        <v/>
      </c>
      <c r="I67" s="20"/>
      <c r="J67" s="20"/>
      <c r="K67" s="20"/>
      <c r="L67" s="20"/>
      <c r="M67" s="21" t="str">
        <f t="shared" si="4"/>
        <v/>
      </c>
      <c r="N67" s="20"/>
      <c r="O67" s="20"/>
      <c r="P67" s="20"/>
      <c r="Q67" s="21" t="str">
        <f t="shared" si="5"/>
        <v/>
      </c>
      <c r="R67" s="21" t="str">
        <f t="shared" si="6"/>
        <v/>
      </c>
      <c r="S67" s="22"/>
      <c r="T67" s="22"/>
      <c r="U67" s="23" t="str">
        <f t="shared" si="7"/>
        <v/>
      </c>
      <c r="V67" s="21" t="str">
        <f t="shared" si="8"/>
        <v>#DIV/0!</v>
      </c>
      <c r="W67" s="24" t="str">
        <f t="shared" si="9"/>
        <v>#DIV/0!</v>
      </c>
      <c r="X67" s="24" t="str">
        <f t="shared" si="10"/>
        <v>#DIV/0!</v>
      </c>
      <c r="Y67" s="21" t="str">
        <f>IF(A67="","",SUMIFS('Labor Log'!$I$2:$I$2001,'Labor Log'!$A$2:$A$2001,A67))</f>
        <v/>
      </c>
      <c r="Z67" s="24" t="str">
        <f t="shared" si="11"/>
        <v>#DIV/0!</v>
      </c>
      <c r="AA67" s="21" t="str">
        <f>IF(A67="","",SUMIFS('Inventory &amp; COGS'!$H$2:$H$2001,'Inventory &amp; COGS'!$A$2:$A$2001,A67,'Inventory &amp; COGS'!$B$2:$B$2001,"Food"))</f>
        <v/>
      </c>
      <c r="AB67" s="21" t="str">
        <f>IF(A67="","",SUMIFS('Inventory &amp; COGS'!$H$2:$H$2001,'Inventory &amp; COGS'!$A$2:$A$2001,A67,'Inventory &amp; COGS'!$B$2:$B$2001,"Beverage"))</f>
        <v/>
      </c>
      <c r="AC67" s="21" t="str">
        <f t="shared" si="12"/>
        <v/>
      </c>
      <c r="AD67" s="24" t="str">
        <f t="shared" ref="AD67:AE67" si="82">IF(I67=0,"",AA67/I67)</f>
        <v/>
      </c>
      <c r="AE67" s="24" t="str">
        <f t="shared" si="82"/>
        <v/>
      </c>
      <c r="AF67" s="21" t="str">
        <f t="shared" si="14"/>
        <v/>
      </c>
      <c r="AG67" s="24" t="str">
        <f t="shared" si="15"/>
        <v>#DIV/0!</v>
      </c>
      <c r="AH67" s="25" t="str">
        <f t="shared" si="16"/>
        <v/>
      </c>
      <c r="AI67" s="25" t="str">
        <f t="shared" si="17"/>
        <v/>
      </c>
      <c r="AJ67" s="26" t="str">
        <f t="shared" si="18"/>
        <v/>
      </c>
    </row>
    <row r="68" ht="15.75" customHeight="1">
      <c r="A68" s="3"/>
      <c r="B68" s="18" t="str">
        <f t="shared" si="2"/>
        <v/>
      </c>
      <c r="C68" s="19"/>
      <c r="D68" s="19"/>
      <c r="E68" s="19"/>
      <c r="F68" s="20"/>
      <c r="G68" s="20"/>
      <c r="H68" s="21" t="str">
        <f t="shared" si="3"/>
        <v/>
      </c>
      <c r="I68" s="20"/>
      <c r="J68" s="20"/>
      <c r="K68" s="20"/>
      <c r="L68" s="20"/>
      <c r="M68" s="21" t="str">
        <f t="shared" si="4"/>
        <v/>
      </c>
      <c r="N68" s="20"/>
      <c r="O68" s="20"/>
      <c r="P68" s="20"/>
      <c r="Q68" s="21" t="str">
        <f t="shared" si="5"/>
        <v/>
      </c>
      <c r="R68" s="21" t="str">
        <f t="shared" si="6"/>
        <v/>
      </c>
      <c r="S68" s="22"/>
      <c r="T68" s="22"/>
      <c r="U68" s="23" t="str">
        <f t="shared" si="7"/>
        <v/>
      </c>
      <c r="V68" s="21" t="str">
        <f t="shared" si="8"/>
        <v>#DIV/0!</v>
      </c>
      <c r="W68" s="24" t="str">
        <f t="shared" si="9"/>
        <v>#DIV/0!</v>
      </c>
      <c r="X68" s="24" t="str">
        <f t="shared" si="10"/>
        <v>#DIV/0!</v>
      </c>
      <c r="Y68" s="21" t="str">
        <f>IF(A68="","",SUMIFS('Labor Log'!$I$2:$I$2001,'Labor Log'!$A$2:$A$2001,A68))</f>
        <v/>
      </c>
      <c r="Z68" s="24" t="str">
        <f t="shared" si="11"/>
        <v>#DIV/0!</v>
      </c>
      <c r="AA68" s="21" t="str">
        <f>IF(A68="","",SUMIFS('Inventory &amp; COGS'!$H$2:$H$2001,'Inventory &amp; COGS'!$A$2:$A$2001,A68,'Inventory &amp; COGS'!$B$2:$B$2001,"Food"))</f>
        <v/>
      </c>
      <c r="AB68" s="21" t="str">
        <f>IF(A68="","",SUMIFS('Inventory &amp; COGS'!$H$2:$H$2001,'Inventory &amp; COGS'!$A$2:$A$2001,A68,'Inventory &amp; COGS'!$B$2:$B$2001,"Beverage"))</f>
        <v/>
      </c>
      <c r="AC68" s="21" t="str">
        <f t="shared" si="12"/>
        <v/>
      </c>
      <c r="AD68" s="24" t="str">
        <f t="shared" ref="AD68:AE68" si="83">IF(I68=0,"",AA68/I68)</f>
        <v/>
      </c>
      <c r="AE68" s="24" t="str">
        <f t="shared" si="83"/>
        <v/>
      </c>
      <c r="AF68" s="21" t="str">
        <f t="shared" si="14"/>
        <v/>
      </c>
      <c r="AG68" s="24" t="str">
        <f t="shared" si="15"/>
        <v>#DIV/0!</v>
      </c>
      <c r="AH68" s="25" t="str">
        <f t="shared" si="16"/>
        <v/>
      </c>
      <c r="AI68" s="25" t="str">
        <f t="shared" si="17"/>
        <v/>
      </c>
      <c r="AJ68" s="26" t="str">
        <f t="shared" si="18"/>
        <v/>
      </c>
    </row>
    <row r="69" ht="15.75" customHeight="1">
      <c r="A69" s="3"/>
      <c r="B69" s="18" t="str">
        <f t="shared" si="2"/>
        <v/>
      </c>
      <c r="C69" s="19"/>
      <c r="D69" s="19"/>
      <c r="E69" s="19"/>
      <c r="F69" s="20"/>
      <c r="G69" s="20"/>
      <c r="H69" s="21" t="str">
        <f t="shared" si="3"/>
        <v/>
      </c>
      <c r="I69" s="20"/>
      <c r="J69" s="20"/>
      <c r="K69" s="20"/>
      <c r="L69" s="20"/>
      <c r="M69" s="21" t="str">
        <f t="shared" si="4"/>
        <v/>
      </c>
      <c r="N69" s="20"/>
      <c r="O69" s="20"/>
      <c r="P69" s="20"/>
      <c r="Q69" s="21" t="str">
        <f t="shared" si="5"/>
        <v/>
      </c>
      <c r="R69" s="21" t="str">
        <f t="shared" si="6"/>
        <v/>
      </c>
      <c r="S69" s="22"/>
      <c r="T69" s="22"/>
      <c r="U69" s="23" t="str">
        <f t="shared" si="7"/>
        <v/>
      </c>
      <c r="V69" s="21" t="str">
        <f t="shared" si="8"/>
        <v>#DIV/0!</v>
      </c>
      <c r="W69" s="24" t="str">
        <f t="shared" si="9"/>
        <v>#DIV/0!</v>
      </c>
      <c r="X69" s="24" t="str">
        <f t="shared" si="10"/>
        <v>#DIV/0!</v>
      </c>
      <c r="Y69" s="21" t="str">
        <f>IF(A69="","",SUMIFS('Labor Log'!$I$2:$I$2001,'Labor Log'!$A$2:$A$2001,A69))</f>
        <v/>
      </c>
      <c r="Z69" s="24" t="str">
        <f t="shared" si="11"/>
        <v>#DIV/0!</v>
      </c>
      <c r="AA69" s="21" t="str">
        <f>IF(A69="","",SUMIFS('Inventory &amp; COGS'!$H$2:$H$2001,'Inventory &amp; COGS'!$A$2:$A$2001,A69,'Inventory &amp; COGS'!$B$2:$B$2001,"Food"))</f>
        <v/>
      </c>
      <c r="AB69" s="21" t="str">
        <f>IF(A69="","",SUMIFS('Inventory &amp; COGS'!$H$2:$H$2001,'Inventory &amp; COGS'!$A$2:$A$2001,A69,'Inventory &amp; COGS'!$B$2:$B$2001,"Beverage"))</f>
        <v/>
      </c>
      <c r="AC69" s="21" t="str">
        <f t="shared" si="12"/>
        <v/>
      </c>
      <c r="AD69" s="24" t="str">
        <f t="shared" ref="AD69:AE69" si="84">IF(I69=0,"",AA69/I69)</f>
        <v/>
      </c>
      <c r="AE69" s="24" t="str">
        <f t="shared" si="84"/>
        <v/>
      </c>
      <c r="AF69" s="21" t="str">
        <f t="shared" si="14"/>
        <v/>
      </c>
      <c r="AG69" s="24" t="str">
        <f t="shared" si="15"/>
        <v>#DIV/0!</v>
      </c>
      <c r="AH69" s="25" t="str">
        <f t="shared" si="16"/>
        <v/>
      </c>
      <c r="AI69" s="25" t="str">
        <f t="shared" si="17"/>
        <v/>
      </c>
      <c r="AJ69" s="26" t="str">
        <f t="shared" si="18"/>
        <v/>
      </c>
    </row>
    <row r="70" ht="15.75" customHeight="1">
      <c r="A70" s="3"/>
      <c r="B70" s="18" t="str">
        <f t="shared" si="2"/>
        <v/>
      </c>
      <c r="C70" s="19"/>
      <c r="D70" s="19"/>
      <c r="E70" s="19"/>
      <c r="F70" s="20"/>
      <c r="G70" s="20"/>
      <c r="H70" s="21" t="str">
        <f t="shared" si="3"/>
        <v/>
      </c>
      <c r="I70" s="20"/>
      <c r="J70" s="20"/>
      <c r="K70" s="20"/>
      <c r="L70" s="20"/>
      <c r="M70" s="21" t="str">
        <f t="shared" si="4"/>
        <v/>
      </c>
      <c r="N70" s="20"/>
      <c r="O70" s="20"/>
      <c r="P70" s="20"/>
      <c r="Q70" s="21" t="str">
        <f t="shared" si="5"/>
        <v/>
      </c>
      <c r="R70" s="21" t="str">
        <f t="shared" si="6"/>
        <v/>
      </c>
      <c r="S70" s="22"/>
      <c r="T70" s="22"/>
      <c r="U70" s="23" t="str">
        <f t="shared" si="7"/>
        <v/>
      </c>
      <c r="V70" s="21" t="str">
        <f t="shared" si="8"/>
        <v>#DIV/0!</v>
      </c>
      <c r="W70" s="24" t="str">
        <f t="shared" si="9"/>
        <v>#DIV/0!</v>
      </c>
      <c r="X70" s="24" t="str">
        <f t="shared" si="10"/>
        <v>#DIV/0!</v>
      </c>
      <c r="Y70" s="21" t="str">
        <f>IF(A70="","",SUMIFS('Labor Log'!$I$2:$I$2001,'Labor Log'!$A$2:$A$2001,A70))</f>
        <v/>
      </c>
      <c r="Z70" s="24" t="str">
        <f t="shared" si="11"/>
        <v>#DIV/0!</v>
      </c>
      <c r="AA70" s="21" t="str">
        <f>IF(A70="","",SUMIFS('Inventory &amp; COGS'!$H$2:$H$2001,'Inventory &amp; COGS'!$A$2:$A$2001,A70,'Inventory &amp; COGS'!$B$2:$B$2001,"Food"))</f>
        <v/>
      </c>
      <c r="AB70" s="21" t="str">
        <f>IF(A70="","",SUMIFS('Inventory &amp; COGS'!$H$2:$H$2001,'Inventory &amp; COGS'!$A$2:$A$2001,A70,'Inventory &amp; COGS'!$B$2:$B$2001,"Beverage"))</f>
        <v/>
      </c>
      <c r="AC70" s="21" t="str">
        <f t="shared" si="12"/>
        <v/>
      </c>
      <c r="AD70" s="24" t="str">
        <f t="shared" ref="AD70:AE70" si="85">IF(I70=0,"",AA70/I70)</f>
        <v/>
      </c>
      <c r="AE70" s="24" t="str">
        <f t="shared" si="85"/>
        <v/>
      </c>
      <c r="AF70" s="21" t="str">
        <f t="shared" si="14"/>
        <v/>
      </c>
      <c r="AG70" s="24" t="str">
        <f t="shared" si="15"/>
        <v>#DIV/0!</v>
      </c>
      <c r="AH70" s="25" t="str">
        <f t="shared" si="16"/>
        <v/>
      </c>
      <c r="AI70" s="25" t="str">
        <f t="shared" si="17"/>
        <v/>
      </c>
      <c r="AJ70" s="26" t="str">
        <f t="shared" si="18"/>
        <v/>
      </c>
    </row>
    <row r="71" ht="15.75" customHeight="1">
      <c r="A71" s="3"/>
      <c r="B71" s="18" t="str">
        <f t="shared" si="2"/>
        <v/>
      </c>
      <c r="C71" s="19"/>
      <c r="D71" s="19"/>
      <c r="E71" s="19"/>
      <c r="F71" s="20"/>
      <c r="G71" s="20"/>
      <c r="H71" s="21" t="str">
        <f t="shared" si="3"/>
        <v/>
      </c>
      <c r="I71" s="20"/>
      <c r="J71" s="20"/>
      <c r="K71" s="20"/>
      <c r="L71" s="20"/>
      <c r="M71" s="21" t="str">
        <f t="shared" si="4"/>
        <v/>
      </c>
      <c r="N71" s="20"/>
      <c r="O71" s="20"/>
      <c r="P71" s="20"/>
      <c r="Q71" s="21" t="str">
        <f t="shared" si="5"/>
        <v/>
      </c>
      <c r="R71" s="21" t="str">
        <f t="shared" si="6"/>
        <v/>
      </c>
      <c r="S71" s="22"/>
      <c r="T71" s="22"/>
      <c r="U71" s="23" t="str">
        <f t="shared" si="7"/>
        <v/>
      </c>
      <c r="V71" s="21" t="str">
        <f t="shared" si="8"/>
        <v>#DIV/0!</v>
      </c>
      <c r="W71" s="24" t="str">
        <f t="shared" si="9"/>
        <v>#DIV/0!</v>
      </c>
      <c r="X71" s="24" t="str">
        <f t="shared" si="10"/>
        <v>#DIV/0!</v>
      </c>
      <c r="Y71" s="21" t="str">
        <f>IF(A71="","",SUMIFS('Labor Log'!$I$2:$I$2001,'Labor Log'!$A$2:$A$2001,A71))</f>
        <v/>
      </c>
      <c r="Z71" s="24" t="str">
        <f t="shared" si="11"/>
        <v>#DIV/0!</v>
      </c>
      <c r="AA71" s="21" t="str">
        <f>IF(A71="","",SUMIFS('Inventory &amp; COGS'!$H$2:$H$2001,'Inventory &amp; COGS'!$A$2:$A$2001,A71,'Inventory &amp; COGS'!$B$2:$B$2001,"Food"))</f>
        <v/>
      </c>
      <c r="AB71" s="21" t="str">
        <f>IF(A71="","",SUMIFS('Inventory &amp; COGS'!$H$2:$H$2001,'Inventory &amp; COGS'!$A$2:$A$2001,A71,'Inventory &amp; COGS'!$B$2:$B$2001,"Beverage"))</f>
        <v/>
      </c>
      <c r="AC71" s="21" t="str">
        <f t="shared" si="12"/>
        <v/>
      </c>
      <c r="AD71" s="24" t="str">
        <f t="shared" ref="AD71:AE71" si="86">IF(I71=0,"",AA71/I71)</f>
        <v/>
      </c>
      <c r="AE71" s="24" t="str">
        <f t="shared" si="86"/>
        <v/>
      </c>
      <c r="AF71" s="21" t="str">
        <f t="shared" si="14"/>
        <v/>
      </c>
      <c r="AG71" s="24" t="str">
        <f t="shared" si="15"/>
        <v>#DIV/0!</v>
      </c>
      <c r="AH71" s="25" t="str">
        <f t="shared" si="16"/>
        <v/>
      </c>
      <c r="AI71" s="25" t="str">
        <f t="shared" si="17"/>
        <v/>
      </c>
      <c r="AJ71" s="26" t="str">
        <f t="shared" si="18"/>
        <v/>
      </c>
    </row>
    <row r="72" ht="15.75" customHeight="1">
      <c r="A72" s="3"/>
      <c r="B72" s="18" t="str">
        <f t="shared" si="2"/>
        <v/>
      </c>
      <c r="C72" s="19"/>
      <c r="D72" s="19"/>
      <c r="E72" s="19"/>
      <c r="F72" s="20"/>
      <c r="G72" s="20"/>
      <c r="H72" s="21" t="str">
        <f t="shared" si="3"/>
        <v/>
      </c>
      <c r="I72" s="20"/>
      <c r="J72" s="20"/>
      <c r="K72" s="20"/>
      <c r="L72" s="20"/>
      <c r="M72" s="21" t="str">
        <f t="shared" si="4"/>
        <v/>
      </c>
      <c r="N72" s="20"/>
      <c r="O72" s="20"/>
      <c r="P72" s="20"/>
      <c r="Q72" s="21" t="str">
        <f t="shared" si="5"/>
        <v/>
      </c>
      <c r="R72" s="21" t="str">
        <f t="shared" si="6"/>
        <v/>
      </c>
      <c r="S72" s="22"/>
      <c r="T72" s="22"/>
      <c r="U72" s="23" t="str">
        <f t="shared" si="7"/>
        <v/>
      </c>
      <c r="V72" s="21" t="str">
        <f t="shared" si="8"/>
        <v>#DIV/0!</v>
      </c>
      <c r="W72" s="24" t="str">
        <f t="shared" si="9"/>
        <v>#DIV/0!</v>
      </c>
      <c r="X72" s="24" t="str">
        <f t="shared" si="10"/>
        <v>#DIV/0!</v>
      </c>
      <c r="Y72" s="21" t="str">
        <f>IF(A72="","",SUMIFS('Labor Log'!$I$2:$I$2001,'Labor Log'!$A$2:$A$2001,A72))</f>
        <v/>
      </c>
      <c r="Z72" s="24" t="str">
        <f t="shared" si="11"/>
        <v>#DIV/0!</v>
      </c>
      <c r="AA72" s="21" t="str">
        <f>IF(A72="","",SUMIFS('Inventory &amp; COGS'!$H$2:$H$2001,'Inventory &amp; COGS'!$A$2:$A$2001,A72,'Inventory &amp; COGS'!$B$2:$B$2001,"Food"))</f>
        <v/>
      </c>
      <c r="AB72" s="21" t="str">
        <f>IF(A72="","",SUMIFS('Inventory &amp; COGS'!$H$2:$H$2001,'Inventory &amp; COGS'!$A$2:$A$2001,A72,'Inventory &amp; COGS'!$B$2:$B$2001,"Beverage"))</f>
        <v/>
      </c>
      <c r="AC72" s="21" t="str">
        <f t="shared" si="12"/>
        <v/>
      </c>
      <c r="AD72" s="24" t="str">
        <f t="shared" ref="AD72:AE72" si="87">IF(I72=0,"",AA72/I72)</f>
        <v/>
      </c>
      <c r="AE72" s="24" t="str">
        <f t="shared" si="87"/>
        <v/>
      </c>
      <c r="AF72" s="21" t="str">
        <f t="shared" si="14"/>
        <v/>
      </c>
      <c r="AG72" s="24" t="str">
        <f t="shared" si="15"/>
        <v>#DIV/0!</v>
      </c>
      <c r="AH72" s="25" t="str">
        <f t="shared" si="16"/>
        <v/>
      </c>
      <c r="AI72" s="25" t="str">
        <f t="shared" si="17"/>
        <v/>
      </c>
      <c r="AJ72" s="26" t="str">
        <f t="shared" si="18"/>
        <v/>
      </c>
    </row>
    <row r="73" ht="15.75" customHeight="1">
      <c r="A73" s="3"/>
      <c r="B73" s="18" t="str">
        <f t="shared" si="2"/>
        <v/>
      </c>
      <c r="C73" s="19"/>
      <c r="D73" s="19"/>
      <c r="E73" s="19"/>
      <c r="F73" s="20"/>
      <c r="G73" s="20"/>
      <c r="H73" s="21" t="str">
        <f t="shared" si="3"/>
        <v/>
      </c>
      <c r="I73" s="20"/>
      <c r="J73" s="20"/>
      <c r="K73" s="20"/>
      <c r="L73" s="20"/>
      <c r="M73" s="21" t="str">
        <f t="shared" si="4"/>
        <v/>
      </c>
      <c r="N73" s="20"/>
      <c r="O73" s="20"/>
      <c r="P73" s="20"/>
      <c r="Q73" s="21" t="str">
        <f t="shared" si="5"/>
        <v/>
      </c>
      <c r="R73" s="21" t="str">
        <f t="shared" si="6"/>
        <v/>
      </c>
      <c r="S73" s="22"/>
      <c r="T73" s="22"/>
      <c r="U73" s="23" t="str">
        <f t="shared" si="7"/>
        <v/>
      </c>
      <c r="V73" s="21" t="str">
        <f t="shared" si="8"/>
        <v>#DIV/0!</v>
      </c>
      <c r="W73" s="24" t="str">
        <f t="shared" si="9"/>
        <v>#DIV/0!</v>
      </c>
      <c r="X73" s="24" t="str">
        <f t="shared" si="10"/>
        <v>#DIV/0!</v>
      </c>
      <c r="Y73" s="21" t="str">
        <f>IF(A73="","",SUMIFS('Labor Log'!$I$2:$I$2001,'Labor Log'!$A$2:$A$2001,A73))</f>
        <v/>
      </c>
      <c r="Z73" s="24" t="str">
        <f t="shared" si="11"/>
        <v>#DIV/0!</v>
      </c>
      <c r="AA73" s="21" t="str">
        <f>IF(A73="","",SUMIFS('Inventory &amp; COGS'!$H$2:$H$2001,'Inventory &amp; COGS'!$A$2:$A$2001,A73,'Inventory &amp; COGS'!$B$2:$B$2001,"Food"))</f>
        <v/>
      </c>
      <c r="AB73" s="21" t="str">
        <f>IF(A73="","",SUMIFS('Inventory &amp; COGS'!$H$2:$H$2001,'Inventory &amp; COGS'!$A$2:$A$2001,A73,'Inventory &amp; COGS'!$B$2:$B$2001,"Beverage"))</f>
        <v/>
      </c>
      <c r="AC73" s="21" t="str">
        <f t="shared" si="12"/>
        <v/>
      </c>
      <c r="AD73" s="24" t="str">
        <f t="shared" ref="AD73:AE73" si="88">IF(I73=0,"",AA73/I73)</f>
        <v/>
      </c>
      <c r="AE73" s="24" t="str">
        <f t="shared" si="88"/>
        <v/>
      </c>
      <c r="AF73" s="21" t="str">
        <f t="shared" si="14"/>
        <v/>
      </c>
      <c r="AG73" s="24" t="str">
        <f t="shared" si="15"/>
        <v>#DIV/0!</v>
      </c>
      <c r="AH73" s="25" t="str">
        <f t="shared" si="16"/>
        <v/>
      </c>
      <c r="AI73" s="25" t="str">
        <f t="shared" si="17"/>
        <v/>
      </c>
      <c r="AJ73" s="26" t="str">
        <f t="shared" si="18"/>
        <v/>
      </c>
    </row>
    <row r="74" ht="15.75" customHeight="1">
      <c r="A74" s="3"/>
      <c r="B74" s="18" t="str">
        <f t="shared" si="2"/>
        <v/>
      </c>
      <c r="C74" s="19"/>
      <c r="D74" s="19"/>
      <c r="E74" s="19"/>
      <c r="F74" s="20"/>
      <c r="G74" s="20"/>
      <c r="H74" s="21" t="str">
        <f t="shared" si="3"/>
        <v/>
      </c>
      <c r="I74" s="20"/>
      <c r="J74" s="20"/>
      <c r="K74" s="20"/>
      <c r="L74" s="20"/>
      <c r="M74" s="21" t="str">
        <f t="shared" si="4"/>
        <v/>
      </c>
      <c r="N74" s="20"/>
      <c r="O74" s="20"/>
      <c r="P74" s="20"/>
      <c r="Q74" s="21" t="str">
        <f t="shared" si="5"/>
        <v/>
      </c>
      <c r="R74" s="21" t="str">
        <f t="shared" si="6"/>
        <v/>
      </c>
      <c r="S74" s="22"/>
      <c r="T74" s="22"/>
      <c r="U74" s="23" t="str">
        <f t="shared" si="7"/>
        <v/>
      </c>
      <c r="V74" s="21" t="str">
        <f t="shared" si="8"/>
        <v>#DIV/0!</v>
      </c>
      <c r="W74" s="24" t="str">
        <f t="shared" si="9"/>
        <v>#DIV/0!</v>
      </c>
      <c r="X74" s="24" t="str">
        <f t="shared" si="10"/>
        <v>#DIV/0!</v>
      </c>
      <c r="Y74" s="21" t="str">
        <f>IF(A74="","",SUMIFS('Labor Log'!$I$2:$I$2001,'Labor Log'!$A$2:$A$2001,A74))</f>
        <v/>
      </c>
      <c r="Z74" s="24" t="str">
        <f t="shared" si="11"/>
        <v>#DIV/0!</v>
      </c>
      <c r="AA74" s="21" t="str">
        <f>IF(A74="","",SUMIFS('Inventory &amp; COGS'!$H$2:$H$2001,'Inventory &amp; COGS'!$A$2:$A$2001,A74,'Inventory &amp; COGS'!$B$2:$B$2001,"Food"))</f>
        <v/>
      </c>
      <c r="AB74" s="21" t="str">
        <f>IF(A74="","",SUMIFS('Inventory &amp; COGS'!$H$2:$H$2001,'Inventory &amp; COGS'!$A$2:$A$2001,A74,'Inventory &amp; COGS'!$B$2:$B$2001,"Beverage"))</f>
        <v/>
      </c>
      <c r="AC74" s="21" t="str">
        <f t="shared" si="12"/>
        <v/>
      </c>
      <c r="AD74" s="24" t="str">
        <f t="shared" ref="AD74:AE74" si="89">IF(I74=0,"",AA74/I74)</f>
        <v/>
      </c>
      <c r="AE74" s="24" t="str">
        <f t="shared" si="89"/>
        <v/>
      </c>
      <c r="AF74" s="21" t="str">
        <f t="shared" si="14"/>
        <v/>
      </c>
      <c r="AG74" s="24" t="str">
        <f t="shared" si="15"/>
        <v>#DIV/0!</v>
      </c>
      <c r="AH74" s="25" t="str">
        <f t="shared" si="16"/>
        <v/>
      </c>
      <c r="AI74" s="25" t="str">
        <f t="shared" si="17"/>
        <v/>
      </c>
      <c r="AJ74" s="26" t="str">
        <f t="shared" si="18"/>
        <v/>
      </c>
    </row>
    <row r="75" ht="15.75" customHeight="1">
      <c r="A75" s="3"/>
      <c r="B75" s="18" t="str">
        <f t="shared" si="2"/>
        <v/>
      </c>
      <c r="C75" s="19"/>
      <c r="D75" s="19"/>
      <c r="E75" s="19"/>
      <c r="F75" s="20"/>
      <c r="G75" s="20"/>
      <c r="H75" s="21" t="str">
        <f t="shared" si="3"/>
        <v/>
      </c>
      <c r="I75" s="20"/>
      <c r="J75" s="20"/>
      <c r="K75" s="20"/>
      <c r="L75" s="20"/>
      <c r="M75" s="21" t="str">
        <f t="shared" si="4"/>
        <v/>
      </c>
      <c r="N75" s="20"/>
      <c r="O75" s="20"/>
      <c r="P75" s="20"/>
      <c r="Q75" s="21" t="str">
        <f t="shared" si="5"/>
        <v/>
      </c>
      <c r="R75" s="21" t="str">
        <f t="shared" si="6"/>
        <v/>
      </c>
      <c r="S75" s="22"/>
      <c r="T75" s="22"/>
      <c r="U75" s="23" t="str">
        <f t="shared" si="7"/>
        <v/>
      </c>
      <c r="V75" s="21" t="str">
        <f t="shared" si="8"/>
        <v>#DIV/0!</v>
      </c>
      <c r="W75" s="24" t="str">
        <f t="shared" si="9"/>
        <v>#DIV/0!</v>
      </c>
      <c r="X75" s="24" t="str">
        <f t="shared" si="10"/>
        <v>#DIV/0!</v>
      </c>
      <c r="Y75" s="21" t="str">
        <f>IF(A75="","",SUMIFS('Labor Log'!$I$2:$I$2001,'Labor Log'!$A$2:$A$2001,A75))</f>
        <v/>
      </c>
      <c r="Z75" s="24" t="str">
        <f t="shared" si="11"/>
        <v>#DIV/0!</v>
      </c>
      <c r="AA75" s="21" t="str">
        <f>IF(A75="","",SUMIFS('Inventory &amp; COGS'!$H$2:$H$2001,'Inventory &amp; COGS'!$A$2:$A$2001,A75,'Inventory &amp; COGS'!$B$2:$B$2001,"Food"))</f>
        <v/>
      </c>
      <c r="AB75" s="21" t="str">
        <f>IF(A75="","",SUMIFS('Inventory &amp; COGS'!$H$2:$H$2001,'Inventory &amp; COGS'!$A$2:$A$2001,A75,'Inventory &amp; COGS'!$B$2:$B$2001,"Beverage"))</f>
        <v/>
      </c>
      <c r="AC75" s="21" t="str">
        <f t="shared" si="12"/>
        <v/>
      </c>
      <c r="AD75" s="24" t="str">
        <f t="shared" ref="AD75:AE75" si="90">IF(I75=0,"",AA75/I75)</f>
        <v/>
      </c>
      <c r="AE75" s="24" t="str">
        <f t="shared" si="90"/>
        <v/>
      </c>
      <c r="AF75" s="21" t="str">
        <f t="shared" si="14"/>
        <v/>
      </c>
      <c r="AG75" s="24" t="str">
        <f t="shared" si="15"/>
        <v>#DIV/0!</v>
      </c>
      <c r="AH75" s="25" t="str">
        <f t="shared" si="16"/>
        <v/>
      </c>
      <c r="AI75" s="25" t="str">
        <f t="shared" si="17"/>
        <v/>
      </c>
      <c r="AJ75" s="26" t="str">
        <f t="shared" si="18"/>
        <v/>
      </c>
    </row>
    <row r="76" ht="15.75" customHeight="1">
      <c r="A76" s="3"/>
      <c r="B76" s="18" t="str">
        <f t="shared" si="2"/>
        <v/>
      </c>
      <c r="C76" s="19"/>
      <c r="D76" s="19"/>
      <c r="E76" s="19"/>
      <c r="F76" s="20"/>
      <c r="G76" s="20"/>
      <c r="H76" s="21" t="str">
        <f t="shared" si="3"/>
        <v/>
      </c>
      <c r="I76" s="20"/>
      <c r="J76" s="20"/>
      <c r="K76" s="20"/>
      <c r="L76" s="20"/>
      <c r="M76" s="21" t="str">
        <f t="shared" si="4"/>
        <v/>
      </c>
      <c r="N76" s="20"/>
      <c r="O76" s="20"/>
      <c r="P76" s="20"/>
      <c r="Q76" s="21" t="str">
        <f t="shared" si="5"/>
        <v/>
      </c>
      <c r="R76" s="21" t="str">
        <f t="shared" si="6"/>
        <v/>
      </c>
      <c r="S76" s="22"/>
      <c r="T76" s="22"/>
      <c r="U76" s="23" t="str">
        <f t="shared" si="7"/>
        <v/>
      </c>
      <c r="V76" s="21" t="str">
        <f t="shared" si="8"/>
        <v>#DIV/0!</v>
      </c>
      <c r="W76" s="24" t="str">
        <f t="shared" si="9"/>
        <v>#DIV/0!</v>
      </c>
      <c r="X76" s="24" t="str">
        <f t="shared" si="10"/>
        <v>#DIV/0!</v>
      </c>
      <c r="Y76" s="21" t="str">
        <f>IF(A76="","",SUMIFS('Labor Log'!$I$2:$I$2001,'Labor Log'!$A$2:$A$2001,A76))</f>
        <v/>
      </c>
      <c r="Z76" s="24" t="str">
        <f t="shared" si="11"/>
        <v>#DIV/0!</v>
      </c>
      <c r="AA76" s="21" t="str">
        <f>IF(A76="","",SUMIFS('Inventory &amp; COGS'!$H$2:$H$2001,'Inventory &amp; COGS'!$A$2:$A$2001,A76,'Inventory &amp; COGS'!$B$2:$B$2001,"Food"))</f>
        <v/>
      </c>
      <c r="AB76" s="21" t="str">
        <f>IF(A76="","",SUMIFS('Inventory &amp; COGS'!$H$2:$H$2001,'Inventory &amp; COGS'!$A$2:$A$2001,A76,'Inventory &amp; COGS'!$B$2:$B$2001,"Beverage"))</f>
        <v/>
      </c>
      <c r="AC76" s="21" t="str">
        <f t="shared" si="12"/>
        <v/>
      </c>
      <c r="AD76" s="24" t="str">
        <f t="shared" ref="AD76:AE76" si="91">IF(I76=0,"",AA76/I76)</f>
        <v/>
      </c>
      <c r="AE76" s="24" t="str">
        <f t="shared" si="91"/>
        <v/>
      </c>
      <c r="AF76" s="21" t="str">
        <f t="shared" si="14"/>
        <v/>
      </c>
      <c r="AG76" s="24" t="str">
        <f t="shared" si="15"/>
        <v>#DIV/0!</v>
      </c>
      <c r="AH76" s="25" t="str">
        <f t="shared" si="16"/>
        <v/>
      </c>
      <c r="AI76" s="25" t="str">
        <f t="shared" si="17"/>
        <v/>
      </c>
      <c r="AJ76" s="26" t="str">
        <f t="shared" si="18"/>
        <v/>
      </c>
    </row>
    <row r="77" ht="15.75" customHeight="1">
      <c r="A77" s="3"/>
      <c r="B77" s="18" t="str">
        <f t="shared" si="2"/>
        <v/>
      </c>
      <c r="C77" s="19"/>
      <c r="D77" s="19"/>
      <c r="E77" s="19"/>
      <c r="F77" s="20"/>
      <c r="G77" s="20"/>
      <c r="H77" s="21" t="str">
        <f t="shared" si="3"/>
        <v/>
      </c>
      <c r="I77" s="20"/>
      <c r="J77" s="20"/>
      <c r="K77" s="20"/>
      <c r="L77" s="20"/>
      <c r="M77" s="21" t="str">
        <f t="shared" si="4"/>
        <v/>
      </c>
      <c r="N77" s="20"/>
      <c r="O77" s="20"/>
      <c r="P77" s="20"/>
      <c r="Q77" s="21" t="str">
        <f t="shared" si="5"/>
        <v/>
      </c>
      <c r="R77" s="21" t="str">
        <f t="shared" si="6"/>
        <v/>
      </c>
      <c r="S77" s="22"/>
      <c r="T77" s="22"/>
      <c r="U77" s="23" t="str">
        <f t="shared" si="7"/>
        <v/>
      </c>
      <c r="V77" s="21" t="str">
        <f t="shared" si="8"/>
        <v>#DIV/0!</v>
      </c>
      <c r="W77" s="24" t="str">
        <f t="shared" si="9"/>
        <v>#DIV/0!</v>
      </c>
      <c r="X77" s="24" t="str">
        <f t="shared" si="10"/>
        <v>#DIV/0!</v>
      </c>
      <c r="Y77" s="21" t="str">
        <f>IF(A77="","",SUMIFS('Labor Log'!$I$2:$I$2001,'Labor Log'!$A$2:$A$2001,A77))</f>
        <v/>
      </c>
      <c r="Z77" s="24" t="str">
        <f t="shared" si="11"/>
        <v>#DIV/0!</v>
      </c>
      <c r="AA77" s="21" t="str">
        <f>IF(A77="","",SUMIFS('Inventory &amp; COGS'!$H$2:$H$2001,'Inventory &amp; COGS'!$A$2:$A$2001,A77,'Inventory &amp; COGS'!$B$2:$B$2001,"Food"))</f>
        <v/>
      </c>
      <c r="AB77" s="21" t="str">
        <f>IF(A77="","",SUMIFS('Inventory &amp; COGS'!$H$2:$H$2001,'Inventory &amp; COGS'!$A$2:$A$2001,A77,'Inventory &amp; COGS'!$B$2:$B$2001,"Beverage"))</f>
        <v/>
      </c>
      <c r="AC77" s="21" t="str">
        <f t="shared" si="12"/>
        <v/>
      </c>
      <c r="AD77" s="24" t="str">
        <f t="shared" ref="AD77:AE77" si="92">IF(I77=0,"",AA77/I77)</f>
        <v/>
      </c>
      <c r="AE77" s="24" t="str">
        <f t="shared" si="92"/>
        <v/>
      </c>
      <c r="AF77" s="21" t="str">
        <f t="shared" si="14"/>
        <v/>
      </c>
      <c r="AG77" s="24" t="str">
        <f t="shared" si="15"/>
        <v>#DIV/0!</v>
      </c>
      <c r="AH77" s="25" t="str">
        <f t="shared" si="16"/>
        <v/>
      </c>
      <c r="AI77" s="25" t="str">
        <f t="shared" si="17"/>
        <v/>
      </c>
      <c r="AJ77" s="26" t="str">
        <f t="shared" si="18"/>
        <v/>
      </c>
    </row>
    <row r="78" ht="15.75" customHeight="1">
      <c r="A78" s="3"/>
      <c r="B78" s="18" t="str">
        <f t="shared" si="2"/>
        <v/>
      </c>
      <c r="C78" s="19"/>
      <c r="D78" s="19"/>
      <c r="E78" s="19"/>
      <c r="F78" s="20"/>
      <c r="G78" s="20"/>
      <c r="H78" s="21" t="str">
        <f t="shared" si="3"/>
        <v/>
      </c>
      <c r="I78" s="20"/>
      <c r="J78" s="20"/>
      <c r="K78" s="20"/>
      <c r="L78" s="20"/>
      <c r="M78" s="21" t="str">
        <f t="shared" si="4"/>
        <v/>
      </c>
      <c r="N78" s="20"/>
      <c r="O78" s="20"/>
      <c r="P78" s="20"/>
      <c r="Q78" s="21" t="str">
        <f t="shared" si="5"/>
        <v/>
      </c>
      <c r="R78" s="21" t="str">
        <f t="shared" si="6"/>
        <v/>
      </c>
      <c r="S78" s="22"/>
      <c r="T78" s="22"/>
      <c r="U78" s="23" t="str">
        <f t="shared" si="7"/>
        <v/>
      </c>
      <c r="V78" s="21" t="str">
        <f t="shared" si="8"/>
        <v>#DIV/0!</v>
      </c>
      <c r="W78" s="24" t="str">
        <f t="shared" si="9"/>
        <v>#DIV/0!</v>
      </c>
      <c r="X78" s="24" t="str">
        <f t="shared" si="10"/>
        <v>#DIV/0!</v>
      </c>
      <c r="Y78" s="21" t="str">
        <f>IF(A78="","",SUMIFS('Labor Log'!$I$2:$I$2001,'Labor Log'!$A$2:$A$2001,A78))</f>
        <v/>
      </c>
      <c r="Z78" s="24" t="str">
        <f t="shared" si="11"/>
        <v>#DIV/0!</v>
      </c>
      <c r="AA78" s="21" t="str">
        <f>IF(A78="","",SUMIFS('Inventory &amp; COGS'!$H$2:$H$2001,'Inventory &amp; COGS'!$A$2:$A$2001,A78,'Inventory &amp; COGS'!$B$2:$B$2001,"Food"))</f>
        <v/>
      </c>
      <c r="AB78" s="21" t="str">
        <f>IF(A78="","",SUMIFS('Inventory &amp; COGS'!$H$2:$H$2001,'Inventory &amp; COGS'!$A$2:$A$2001,A78,'Inventory &amp; COGS'!$B$2:$B$2001,"Beverage"))</f>
        <v/>
      </c>
      <c r="AC78" s="21" t="str">
        <f t="shared" si="12"/>
        <v/>
      </c>
      <c r="AD78" s="24" t="str">
        <f t="shared" ref="AD78:AE78" si="93">IF(I78=0,"",AA78/I78)</f>
        <v/>
      </c>
      <c r="AE78" s="24" t="str">
        <f t="shared" si="93"/>
        <v/>
      </c>
      <c r="AF78" s="21" t="str">
        <f t="shared" si="14"/>
        <v/>
      </c>
      <c r="AG78" s="24" t="str">
        <f t="shared" si="15"/>
        <v>#DIV/0!</v>
      </c>
      <c r="AH78" s="25" t="str">
        <f t="shared" si="16"/>
        <v/>
      </c>
      <c r="AI78" s="25" t="str">
        <f t="shared" si="17"/>
        <v/>
      </c>
      <c r="AJ78" s="26" t="str">
        <f t="shared" si="18"/>
        <v/>
      </c>
    </row>
    <row r="79" ht="15.75" customHeight="1">
      <c r="A79" s="3"/>
      <c r="B79" s="18" t="str">
        <f t="shared" si="2"/>
        <v/>
      </c>
      <c r="C79" s="19"/>
      <c r="D79" s="19"/>
      <c r="E79" s="19"/>
      <c r="F79" s="20"/>
      <c r="G79" s="20"/>
      <c r="H79" s="21" t="str">
        <f t="shared" si="3"/>
        <v/>
      </c>
      <c r="I79" s="20"/>
      <c r="J79" s="20"/>
      <c r="K79" s="20"/>
      <c r="L79" s="20"/>
      <c r="M79" s="21" t="str">
        <f t="shared" si="4"/>
        <v/>
      </c>
      <c r="N79" s="20"/>
      <c r="O79" s="20"/>
      <c r="P79" s="20"/>
      <c r="Q79" s="21" t="str">
        <f t="shared" si="5"/>
        <v/>
      </c>
      <c r="R79" s="21" t="str">
        <f t="shared" si="6"/>
        <v/>
      </c>
      <c r="S79" s="22"/>
      <c r="T79" s="22"/>
      <c r="U79" s="23" t="str">
        <f t="shared" si="7"/>
        <v/>
      </c>
      <c r="V79" s="21" t="str">
        <f t="shared" si="8"/>
        <v>#DIV/0!</v>
      </c>
      <c r="W79" s="24" t="str">
        <f t="shared" si="9"/>
        <v>#DIV/0!</v>
      </c>
      <c r="X79" s="24" t="str">
        <f t="shared" si="10"/>
        <v>#DIV/0!</v>
      </c>
      <c r="Y79" s="21" t="str">
        <f>IF(A79="","",SUMIFS('Labor Log'!$I$2:$I$2001,'Labor Log'!$A$2:$A$2001,A79))</f>
        <v/>
      </c>
      <c r="Z79" s="24" t="str">
        <f t="shared" si="11"/>
        <v>#DIV/0!</v>
      </c>
      <c r="AA79" s="21" t="str">
        <f>IF(A79="","",SUMIFS('Inventory &amp; COGS'!$H$2:$H$2001,'Inventory &amp; COGS'!$A$2:$A$2001,A79,'Inventory &amp; COGS'!$B$2:$B$2001,"Food"))</f>
        <v/>
      </c>
      <c r="AB79" s="21" t="str">
        <f>IF(A79="","",SUMIFS('Inventory &amp; COGS'!$H$2:$H$2001,'Inventory &amp; COGS'!$A$2:$A$2001,A79,'Inventory &amp; COGS'!$B$2:$B$2001,"Beverage"))</f>
        <v/>
      </c>
      <c r="AC79" s="21" t="str">
        <f t="shared" si="12"/>
        <v/>
      </c>
      <c r="AD79" s="24" t="str">
        <f t="shared" ref="AD79:AE79" si="94">IF(I79=0,"",AA79/I79)</f>
        <v/>
      </c>
      <c r="AE79" s="24" t="str">
        <f t="shared" si="94"/>
        <v/>
      </c>
      <c r="AF79" s="21" t="str">
        <f t="shared" si="14"/>
        <v/>
      </c>
      <c r="AG79" s="24" t="str">
        <f t="shared" si="15"/>
        <v>#DIV/0!</v>
      </c>
      <c r="AH79" s="25" t="str">
        <f t="shared" si="16"/>
        <v/>
      </c>
      <c r="AI79" s="25" t="str">
        <f t="shared" si="17"/>
        <v/>
      </c>
      <c r="AJ79" s="26" t="str">
        <f t="shared" si="18"/>
        <v/>
      </c>
    </row>
    <row r="80" ht="15.75" customHeight="1">
      <c r="A80" s="3"/>
      <c r="B80" s="18" t="str">
        <f t="shared" si="2"/>
        <v/>
      </c>
      <c r="C80" s="19"/>
      <c r="D80" s="19"/>
      <c r="E80" s="19"/>
      <c r="F80" s="20"/>
      <c r="G80" s="20"/>
      <c r="H80" s="21" t="str">
        <f t="shared" si="3"/>
        <v/>
      </c>
      <c r="I80" s="20"/>
      <c r="J80" s="20"/>
      <c r="K80" s="20"/>
      <c r="L80" s="20"/>
      <c r="M80" s="21" t="str">
        <f t="shared" si="4"/>
        <v/>
      </c>
      <c r="N80" s="20"/>
      <c r="O80" s="20"/>
      <c r="P80" s="20"/>
      <c r="Q80" s="21" t="str">
        <f t="shared" si="5"/>
        <v/>
      </c>
      <c r="R80" s="21" t="str">
        <f t="shared" si="6"/>
        <v/>
      </c>
      <c r="S80" s="22"/>
      <c r="T80" s="22"/>
      <c r="U80" s="23" t="str">
        <f t="shared" si="7"/>
        <v/>
      </c>
      <c r="V80" s="21" t="str">
        <f t="shared" si="8"/>
        <v>#DIV/0!</v>
      </c>
      <c r="W80" s="24" t="str">
        <f t="shared" si="9"/>
        <v>#DIV/0!</v>
      </c>
      <c r="X80" s="24" t="str">
        <f t="shared" si="10"/>
        <v>#DIV/0!</v>
      </c>
      <c r="Y80" s="21" t="str">
        <f>IF(A80="","",SUMIFS('Labor Log'!$I$2:$I$2001,'Labor Log'!$A$2:$A$2001,A80))</f>
        <v/>
      </c>
      <c r="Z80" s="24" t="str">
        <f t="shared" si="11"/>
        <v>#DIV/0!</v>
      </c>
      <c r="AA80" s="21" t="str">
        <f>IF(A80="","",SUMIFS('Inventory &amp; COGS'!$H$2:$H$2001,'Inventory &amp; COGS'!$A$2:$A$2001,A80,'Inventory &amp; COGS'!$B$2:$B$2001,"Food"))</f>
        <v/>
      </c>
      <c r="AB80" s="21" t="str">
        <f>IF(A80="","",SUMIFS('Inventory &amp; COGS'!$H$2:$H$2001,'Inventory &amp; COGS'!$A$2:$A$2001,A80,'Inventory &amp; COGS'!$B$2:$B$2001,"Beverage"))</f>
        <v/>
      </c>
      <c r="AC80" s="21" t="str">
        <f t="shared" si="12"/>
        <v/>
      </c>
      <c r="AD80" s="24" t="str">
        <f t="shared" ref="AD80:AE80" si="95">IF(I80=0,"",AA80/I80)</f>
        <v/>
      </c>
      <c r="AE80" s="24" t="str">
        <f t="shared" si="95"/>
        <v/>
      </c>
      <c r="AF80" s="21" t="str">
        <f t="shared" si="14"/>
        <v/>
      </c>
      <c r="AG80" s="24" t="str">
        <f t="shared" si="15"/>
        <v>#DIV/0!</v>
      </c>
      <c r="AH80" s="25" t="str">
        <f t="shared" si="16"/>
        <v/>
      </c>
      <c r="AI80" s="25" t="str">
        <f t="shared" si="17"/>
        <v/>
      </c>
      <c r="AJ80" s="26" t="str">
        <f t="shared" si="18"/>
        <v/>
      </c>
    </row>
    <row r="81" ht="15.75" customHeight="1">
      <c r="A81" s="3"/>
      <c r="B81" s="18" t="str">
        <f t="shared" si="2"/>
        <v/>
      </c>
      <c r="C81" s="19"/>
      <c r="D81" s="19"/>
      <c r="E81" s="19"/>
      <c r="F81" s="20"/>
      <c r="G81" s="20"/>
      <c r="H81" s="21" t="str">
        <f t="shared" si="3"/>
        <v/>
      </c>
      <c r="I81" s="20"/>
      <c r="J81" s="20"/>
      <c r="K81" s="20"/>
      <c r="L81" s="20"/>
      <c r="M81" s="21" t="str">
        <f t="shared" si="4"/>
        <v/>
      </c>
      <c r="N81" s="20"/>
      <c r="O81" s="20"/>
      <c r="P81" s="20"/>
      <c r="Q81" s="21" t="str">
        <f t="shared" si="5"/>
        <v/>
      </c>
      <c r="R81" s="21" t="str">
        <f t="shared" si="6"/>
        <v/>
      </c>
      <c r="S81" s="22"/>
      <c r="T81" s="22"/>
      <c r="U81" s="23" t="str">
        <f t="shared" si="7"/>
        <v/>
      </c>
      <c r="V81" s="21" t="str">
        <f t="shared" si="8"/>
        <v>#DIV/0!</v>
      </c>
      <c r="W81" s="24" t="str">
        <f t="shared" si="9"/>
        <v>#DIV/0!</v>
      </c>
      <c r="X81" s="24" t="str">
        <f t="shared" si="10"/>
        <v>#DIV/0!</v>
      </c>
      <c r="Y81" s="21" t="str">
        <f>IF(A81="","",SUMIFS('Labor Log'!$I$2:$I$2001,'Labor Log'!$A$2:$A$2001,A81))</f>
        <v/>
      </c>
      <c r="Z81" s="24" t="str">
        <f t="shared" si="11"/>
        <v>#DIV/0!</v>
      </c>
      <c r="AA81" s="21" t="str">
        <f>IF(A81="","",SUMIFS('Inventory &amp; COGS'!$H$2:$H$2001,'Inventory &amp; COGS'!$A$2:$A$2001,A81,'Inventory &amp; COGS'!$B$2:$B$2001,"Food"))</f>
        <v/>
      </c>
      <c r="AB81" s="21" t="str">
        <f>IF(A81="","",SUMIFS('Inventory &amp; COGS'!$H$2:$H$2001,'Inventory &amp; COGS'!$A$2:$A$2001,A81,'Inventory &amp; COGS'!$B$2:$B$2001,"Beverage"))</f>
        <v/>
      </c>
      <c r="AC81" s="21" t="str">
        <f t="shared" si="12"/>
        <v/>
      </c>
      <c r="AD81" s="24" t="str">
        <f t="shared" ref="AD81:AE81" si="96">IF(I81=0,"",AA81/I81)</f>
        <v/>
      </c>
      <c r="AE81" s="24" t="str">
        <f t="shared" si="96"/>
        <v/>
      </c>
      <c r="AF81" s="21" t="str">
        <f t="shared" si="14"/>
        <v/>
      </c>
      <c r="AG81" s="24" t="str">
        <f t="shared" si="15"/>
        <v>#DIV/0!</v>
      </c>
      <c r="AH81" s="25" t="str">
        <f t="shared" si="16"/>
        <v/>
      </c>
      <c r="AI81" s="25" t="str">
        <f t="shared" si="17"/>
        <v/>
      </c>
      <c r="AJ81" s="26" t="str">
        <f t="shared" si="18"/>
        <v/>
      </c>
    </row>
    <row r="82" ht="15.75" customHeight="1">
      <c r="A82" s="3"/>
      <c r="B82" s="18" t="str">
        <f t="shared" si="2"/>
        <v/>
      </c>
      <c r="C82" s="19"/>
      <c r="D82" s="19"/>
      <c r="E82" s="19"/>
      <c r="F82" s="20"/>
      <c r="G82" s="20"/>
      <c r="H82" s="21" t="str">
        <f t="shared" si="3"/>
        <v/>
      </c>
      <c r="I82" s="20"/>
      <c r="J82" s="20"/>
      <c r="K82" s="20"/>
      <c r="L82" s="20"/>
      <c r="M82" s="21" t="str">
        <f t="shared" si="4"/>
        <v/>
      </c>
      <c r="N82" s="20"/>
      <c r="O82" s="20"/>
      <c r="P82" s="20"/>
      <c r="Q82" s="21" t="str">
        <f t="shared" si="5"/>
        <v/>
      </c>
      <c r="R82" s="21" t="str">
        <f t="shared" si="6"/>
        <v/>
      </c>
      <c r="S82" s="22"/>
      <c r="T82" s="22"/>
      <c r="U82" s="23" t="str">
        <f t="shared" si="7"/>
        <v/>
      </c>
      <c r="V82" s="21" t="str">
        <f t="shared" si="8"/>
        <v>#DIV/0!</v>
      </c>
      <c r="W82" s="24" t="str">
        <f t="shared" si="9"/>
        <v>#DIV/0!</v>
      </c>
      <c r="X82" s="24" t="str">
        <f t="shared" si="10"/>
        <v>#DIV/0!</v>
      </c>
      <c r="Y82" s="21" t="str">
        <f>IF(A82="","",SUMIFS('Labor Log'!$I$2:$I$2001,'Labor Log'!$A$2:$A$2001,A82))</f>
        <v/>
      </c>
      <c r="Z82" s="24" t="str">
        <f t="shared" si="11"/>
        <v>#DIV/0!</v>
      </c>
      <c r="AA82" s="21" t="str">
        <f>IF(A82="","",SUMIFS('Inventory &amp; COGS'!$H$2:$H$2001,'Inventory &amp; COGS'!$A$2:$A$2001,A82,'Inventory &amp; COGS'!$B$2:$B$2001,"Food"))</f>
        <v/>
      </c>
      <c r="AB82" s="21" t="str">
        <f>IF(A82="","",SUMIFS('Inventory &amp; COGS'!$H$2:$H$2001,'Inventory &amp; COGS'!$A$2:$A$2001,A82,'Inventory &amp; COGS'!$B$2:$B$2001,"Beverage"))</f>
        <v/>
      </c>
      <c r="AC82" s="21" t="str">
        <f t="shared" si="12"/>
        <v/>
      </c>
      <c r="AD82" s="24" t="str">
        <f t="shared" ref="AD82:AE82" si="97">IF(I82=0,"",AA82/I82)</f>
        <v/>
      </c>
      <c r="AE82" s="24" t="str">
        <f t="shared" si="97"/>
        <v/>
      </c>
      <c r="AF82" s="21" t="str">
        <f t="shared" si="14"/>
        <v/>
      </c>
      <c r="AG82" s="24" t="str">
        <f t="shared" si="15"/>
        <v>#DIV/0!</v>
      </c>
      <c r="AH82" s="25" t="str">
        <f t="shared" si="16"/>
        <v/>
      </c>
      <c r="AI82" s="25" t="str">
        <f t="shared" si="17"/>
        <v/>
      </c>
      <c r="AJ82" s="26" t="str">
        <f t="shared" si="18"/>
        <v/>
      </c>
    </row>
    <row r="83" ht="15.75" customHeight="1">
      <c r="A83" s="3"/>
      <c r="B83" s="18" t="str">
        <f t="shared" si="2"/>
        <v/>
      </c>
      <c r="C83" s="19"/>
      <c r="D83" s="19"/>
      <c r="E83" s="19"/>
      <c r="F83" s="20"/>
      <c r="G83" s="20"/>
      <c r="H83" s="21" t="str">
        <f t="shared" si="3"/>
        <v/>
      </c>
      <c r="I83" s="20"/>
      <c r="J83" s="20"/>
      <c r="K83" s="20"/>
      <c r="L83" s="20"/>
      <c r="M83" s="21" t="str">
        <f t="shared" si="4"/>
        <v/>
      </c>
      <c r="N83" s="20"/>
      <c r="O83" s="20"/>
      <c r="P83" s="20"/>
      <c r="Q83" s="21" t="str">
        <f t="shared" si="5"/>
        <v/>
      </c>
      <c r="R83" s="21" t="str">
        <f t="shared" si="6"/>
        <v/>
      </c>
      <c r="S83" s="22"/>
      <c r="T83" s="22"/>
      <c r="U83" s="23" t="str">
        <f t="shared" si="7"/>
        <v/>
      </c>
      <c r="V83" s="21" t="str">
        <f t="shared" si="8"/>
        <v>#DIV/0!</v>
      </c>
      <c r="W83" s="24" t="str">
        <f t="shared" si="9"/>
        <v>#DIV/0!</v>
      </c>
      <c r="X83" s="24" t="str">
        <f t="shared" si="10"/>
        <v>#DIV/0!</v>
      </c>
      <c r="Y83" s="21" t="str">
        <f>IF(A83="","",SUMIFS('Labor Log'!$I$2:$I$2001,'Labor Log'!$A$2:$A$2001,A83))</f>
        <v/>
      </c>
      <c r="Z83" s="24" t="str">
        <f t="shared" si="11"/>
        <v>#DIV/0!</v>
      </c>
      <c r="AA83" s="21" t="str">
        <f>IF(A83="","",SUMIFS('Inventory &amp; COGS'!$H$2:$H$2001,'Inventory &amp; COGS'!$A$2:$A$2001,A83,'Inventory &amp; COGS'!$B$2:$B$2001,"Food"))</f>
        <v/>
      </c>
      <c r="AB83" s="21" t="str">
        <f>IF(A83="","",SUMIFS('Inventory &amp; COGS'!$H$2:$H$2001,'Inventory &amp; COGS'!$A$2:$A$2001,A83,'Inventory &amp; COGS'!$B$2:$B$2001,"Beverage"))</f>
        <v/>
      </c>
      <c r="AC83" s="21" t="str">
        <f t="shared" si="12"/>
        <v/>
      </c>
      <c r="AD83" s="24" t="str">
        <f t="shared" ref="AD83:AE83" si="98">IF(I83=0,"",AA83/I83)</f>
        <v/>
      </c>
      <c r="AE83" s="24" t="str">
        <f t="shared" si="98"/>
        <v/>
      </c>
      <c r="AF83" s="21" t="str">
        <f t="shared" si="14"/>
        <v/>
      </c>
      <c r="AG83" s="24" t="str">
        <f t="shared" si="15"/>
        <v>#DIV/0!</v>
      </c>
      <c r="AH83" s="25" t="str">
        <f t="shared" si="16"/>
        <v/>
      </c>
      <c r="AI83" s="25" t="str">
        <f t="shared" si="17"/>
        <v/>
      </c>
      <c r="AJ83" s="26" t="str">
        <f t="shared" si="18"/>
        <v/>
      </c>
    </row>
    <row r="84" ht="15.75" customHeight="1">
      <c r="A84" s="3"/>
      <c r="B84" s="18" t="str">
        <f t="shared" si="2"/>
        <v/>
      </c>
      <c r="C84" s="19"/>
      <c r="D84" s="19"/>
      <c r="E84" s="19"/>
      <c r="F84" s="20"/>
      <c r="G84" s="20"/>
      <c r="H84" s="21" t="str">
        <f t="shared" si="3"/>
        <v/>
      </c>
      <c r="I84" s="20"/>
      <c r="J84" s="20"/>
      <c r="K84" s="20"/>
      <c r="L84" s="20"/>
      <c r="M84" s="21" t="str">
        <f t="shared" si="4"/>
        <v/>
      </c>
      <c r="N84" s="20"/>
      <c r="O84" s="20"/>
      <c r="P84" s="20"/>
      <c r="Q84" s="21" t="str">
        <f t="shared" si="5"/>
        <v/>
      </c>
      <c r="R84" s="21" t="str">
        <f t="shared" si="6"/>
        <v/>
      </c>
      <c r="S84" s="22"/>
      <c r="T84" s="22"/>
      <c r="U84" s="23" t="str">
        <f t="shared" si="7"/>
        <v/>
      </c>
      <c r="V84" s="21" t="str">
        <f t="shared" si="8"/>
        <v>#DIV/0!</v>
      </c>
      <c r="W84" s="24" t="str">
        <f t="shared" si="9"/>
        <v>#DIV/0!</v>
      </c>
      <c r="X84" s="24" t="str">
        <f t="shared" si="10"/>
        <v>#DIV/0!</v>
      </c>
      <c r="Y84" s="21" t="str">
        <f>IF(A84="","",SUMIFS('Labor Log'!$I$2:$I$2001,'Labor Log'!$A$2:$A$2001,A84))</f>
        <v/>
      </c>
      <c r="Z84" s="24" t="str">
        <f t="shared" si="11"/>
        <v>#DIV/0!</v>
      </c>
      <c r="AA84" s="21" t="str">
        <f>IF(A84="","",SUMIFS('Inventory &amp; COGS'!$H$2:$H$2001,'Inventory &amp; COGS'!$A$2:$A$2001,A84,'Inventory &amp; COGS'!$B$2:$B$2001,"Food"))</f>
        <v/>
      </c>
      <c r="AB84" s="21" t="str">
        <f>IF(A84="","",SUMIFS('Inventory &amp; COGS'!$H$2:$H$2001,'Inventory &amp; COGS'!$A$2:$A$2001,A84,'Inventory &amp; COGS'!$B$2:$B$2001,"Beverage"))</f>
        <v/>
      </c>
      <c r="AC84" s="21" t="str">
        <f t="shared" si="12"/>
        <v/>
      </c>
      <c r="AD84" s="24" t="str">
        <f t="shared" ref="AD84:AE84" si="99">IF(I84=0,"",AA84/I84)</f>
        <v/>
      </c>
      <c r="AE84" s="24" t="str">
        <f t="shared" si="99"/>
        <v/>
      </c>
      <c r="AF84" s="21" t="str">
        <f t="shared" si="14"/>
        <v/>
      </c>
      <c r="AG84" s="24" t="str">
        <f t="shared" si="15"/>
        <v>#DIV/0!</v>
      </c>
      <c r="AH84" s="25" t="str">
        <f t="shared" si="16"/>
        <v/>
      </c>
      <c r="AI84" s="25" t="str">
        <f t="shared" si="17"/>
        <v/>
      </c>
      <c r="AJ84" s="26" t="str">
        <f t="shared" si="18"/>
        <v/>
      </c>
    </row>
    <row r="85" ht="15.75" customHeight="1">
      <c r="A85" s="3"/>
      <c r="B85" s="18" t="str">
        <f t="shared" si="2"/>
        <v/>
      </c>
      <c r="C85" s="19"/>
      <c r="D85" s="19"/>
      <c r="E85" s="19"/>
      <c r="F85" s="20"/>
      <c r="G85" s="20"/>
      <c r="H85" s="21" t="str">
        <f t="shared" si="3"/>
        <v/>
      </c>
      <c r="I85" s="20"/>
      <c r="J85" s="20"/>
      <c r="K85" s="20"/>
      <c r="L85" s="20"/>
      <c r="M85" s="21" t="str">
        <f t="shared" si="4"/>
        <v/>
      </c>
      <c r="N85" s="20"/>
      <c r="O85" s="20"/>
      <c r="P85" s="20"/>
      <c r="Q85" s="21" t="str">
        <f t="shared" si="5"/>
        <v/>
      </c>
      <c r="R85" s="21" t="str">
        <f t="shared" si="6"/>
        <v/>
      </c>
      <c r="S85" s="22"/>
      <c r="T85" s="22"/>
      <c r="U85" s="23" t="str">
        <f t="shared" si="7"/>
        <v/>
      </c>
      <c r="V85" s="21" t="str">
        <f t="shared" si="8"/>
        <v>#DIV/0!</v>
      </c>
      <c r="W85" s="24" t="str">
        <f t="shared" si="9"/>
        <v>#DIV/0!</v>
      </c>
      <c r="X85" s="24" t="str">
        <f t="shared" si="10"/>
        <v>#DIV/0!</v>
      </c>
      <c r="Y85" s="21" t="str">
        <f>IF(A85="","",SUMIFS('Labor Log'!$I$2:$I$2001,'Labor Log'!$A$2:$A$2001,A85))</f>
        <v/>
      </c>
      <c r="Z85" s="24" t="str">
        <f t="shared" si="11"/>
        <v>#DIV/0!</v>
      </c>
      <c r="AA85" s="21" t="str">
        <f>IF(A85="","",SUMIFS('Inventory &amp; COGS'!$H$2:$H$2001,'Inventory &amp; COGS'!$A$2:$A$2001,A85,'Inventory &amp; COGS'!$B$2:$B$2001,"Food"))</f>
        <v/>
      </c>
      <c r="AB85" s="21" t="str">
        <f>IF(A85="","",SUMIFS('Inventory &amp; COGS'!$H$2:$H$2001,'Inventory &amp; COGS'!$A$2:$A$2001,A85,'Inventory &amp; COGS'!$B$2:$B$2001,"Beverage"))</f>
        <v/>
      </c>
      <c r="AC85" s="21" t="str">
        <f t="shared" si="12"/>
        <v/>
      </c>
      <c r="AD85" s="24" t="str">
        <f t="shared" ref="AD85:AE85" si="100">IF(I85=0,"",AA85/I85)</f>
        <v/>
      </c>
      <c r="AE85" s="24" t="str">
        <f t="shared" si="100"/>
        <v/>
      </c>
      <c r="AF85" s="21" t="str">
        <f t="shared" si="14"/>
        <v/>
      </c>
      <c r="AG85" s="24" t="str">
        <f t="shared" si="15"/>
        <v>#DIV/0!</v>
      </c>
      <c r="AH85" s="25" t="str">
        <f t="shared" si="16"/>
        <v/>
      </c>
      <c r="AI85" s="25" t="str">
        <f t="shared" si="17"/>
        <v/>
      </c>
      <c r="AJ85" s="26" t="str">
        <f t="shared" si="18"/>
        <v/>
      </c>
    </row>
    <row r="86" ht="15.75" customHeight="1">
      <c r="A86" s="3"/>
      <c r="B86" s="18" t="str">
        <f t="shared" si="2"/>
        <v/>
      </c>
      <c r="C86" s="19"/>
      <c r="D86" s="19"/>
      <c r="E86" s="19"/>
      <c r="F86" s="20"/>
      <c r="G86" s="20"/>
      <c r="H86" s="21" t="str">
        <f t="shared" si="3"/>
        <v/>
      </c>
      <c r="I86" s="20"/>
      <c r="J86" s="20"/>
      <c r="K86" s="20"/>
      <c r="L86" s="20"/>
      <c r="M86" s="21" t="str">
        <f t="shared" si="4"/>
        <v/>
      </c>
      <c r="N86" s="20"/>
      <c r="O86" s="20"/>
      <c r="P86" s="20"/>
      <c r="Q86" s="21" t="str">
        <f t="shared" si="5"/>
        <v/>
      </c>
      <c r="R86" s="21" t="str">
        <f t="shared" si="6"/>
        <v/>
      </c>
      <c r="S86" s="22"/>
      <c r="T86" s="22"/>
      <c r="U86" s="23" t="str">
        <f t="shared" si="7"/>
        <v/>
      </c>
      <c r="V86" s="21" t="str">
        <f t="shared" si="8"/>
        <v>#DIV/0!</v>
      </c>
      <c r="W86" s="24" t="str">
        <f t="shared" si="9"/>
        <v>#DIV/0!</v>
      </c>
      <c r="X86" s="24" t="str">
        <f t="shared" si="10"/>
        <v>#DIV/0!</v>
      </c>
      <c r="Y86" s="21" t="str">
        <f>IF(A86="","",SUMIFS('Labor Log'!$I$2:$I$2001,'Labor Log'!$A$2:$A$2001,A86))</f>
        <v/>
      </c>
      <c r="Z86" s="24" t="str">
        <f t="shared" si="11"/>
        <v>#DIV/0!</v>
      </c>
      <c r="AA86" s="21" t="str">
        <f>IF(A86="","",SUMIFS('Inventory &amp; COGS'!$H$2:$H$2001,'Inventory &amp; COGS'!$A$2:$A$2001,A86,'Inventory &amp; COGS'!$B$2:$B$2001,"Food"))</f>
        <v/>
      </c>
      <c r="AB86" s="21" t="str">
        <f>IF(A86="","",SUMIFS('Inventory &amp; COGS'!$H$2:$H$2001,'Inventory &amp; COGS'!$A$2:$A$2001,A86,'Inventory &amp; COGS'!$B$2:$B$2001,"Beverage"))</f>
        <v/>
      </c>
      <c r="AC86" s="21" t="str">
        <f t="shared" si="12"/>
        <v/>
      </c>
      <c r="AD86" s="24" t="str">
        <f t="shared" ref="AD86:AE86" si="101">IF(I86=0,"",AA86/I86)</f>
        <v/>
      </c>
      <c r="AE86" s="24" t="str">
        <f t="shared" si="101"/>
        <v/>
      </c>
      <c r="AF86" s="21" t="str">
        <f t="shared" si="14"/>
        <v/>
      </c>
      <c r="AG86" s="24" t="str">
        <f t="shared" si="15"/>
        <v>#DIV/0!</v>
      </c>
      <c r="AH86" s="25" t="str">
        <f t="shared" si="16"/>
        <v/>
      </c>
      <c r="AI86" s="25" t="str">
        <f t="shared" si="17"/>
        <v/>
      </c>
      <c r="AJ86" s="26" t="str">
        <f t="shared" si="18"/>
        <v/>
      </c>
    </row>
    <row r="87" ht="15.75" customHeight="1">
      <c r="A87" s="3"/>
      <c r="B87" s="18" t="str">
        <f t="shared" si="2"/>
        <v/>
      </c>
      <c r="C87" s="19"/>
      <c r="D87" s="19"/>
      <c r="E87" s="19"/>
      <c r="F87" s="20"/>
      <c r="G87" s="20"/>
      <c r="H87" s="21" t="str">
        <f t="shared" si="3"/>
        <v/>
      </c>
      <c r="I87" s="20"/>
      <c r="J87" s="20"/>
      <c r="K87" s="20"/>
      <c r="L87" s="20"/>
      <c r="M87" s="21" t="str">
        <f t="shared" si="4"/>
        <v/>
      </c>
      <c r="N87" s="20"/>
      <c r="O87" s="20"/>
      <c r="P87" s="20"/>
      <c r="Q87" s="21" t="str">
        <f t="shared" si="5"/>
        <v/>
      </c>
      <c r="R87" s="21" t="str">
        <f t="shared" si="6"/>
        <v/>
      </c>
      <c r="S87" s="22"/>
      <c r="T87" s="22"/>
      <c r="U87" s="23" t="str">
        <f t="shared" si="7"/>
        <v/>
      </c>
      <c r="V87" s="21" t="str">
        <f t="shared" si="8"/>
        <v>#DIV/0!</v>
      </c>
      <c r="W87" s="24" t="str">
        <f t="shared" si="9"/>
        <v>#DIV/0!</v>
      </c>
      <c r="X87" s="24" t="str">
        <f t="shared" si="10"/>
        <v>#DIV/0!</v>
      </c>
      <c r="Y87" s="21" t="str">
        <f>IF(A87="","",SUMIFS('Labor Log'!$I$2:$I$2001,'Labor Log'!$A$2:$A$2001,A87))</f>
        <v/>
      </c>
      <c r="Z87" s="24" t="str">
        <f t="shared" si="11"/>
        <v>#DIV/0!</v>
      </c>
      <c r="AA87" s="21" t="str">
        <f>IF(A87="","",SUMIFS('Inventory &amp; COGS'!$H$2:$H$2001,'Inventory &amp; COGS'!$A$2:$A$2001,A87,'Inventory &amp; COGS'!$B$2:$B$2001,"Food"))</f>
        <v/>
      </c>
      <c r="AB87" s="21" t="str">
        <f>IF(A87="","",SUMIFS('Inventory &amp; COGS'!$H$2:$H$2001,'Inventory &amp; COGS'!$A$2:$A$2001,A87,'Inventory &amp; COGS'!$B$2:$B$2001,"Beverage"))</f>
        <v/>
      </c>
      <c r="AC87" s="21" t="str">
        <f t="shared" si="12"/>
        <v/>
      </c>
      <c r="AD87" s="24" t="str">
        <f t="shared" ref="AD87:AE87" si="102">IF(I87=0,"",AA87/I87)</f>
        <v/>
      </c>
      <c r="AE87" s="24" t="str">
        <f t="shared" si="102"/>
        <v/>
      </c>
      <c r="AF87" s="21" t="str">
        <f t="shared" si="14"/>
        <v/>
      </c>
      <c r="AG87" s="24" t="str">
        <f t="shared" si="15"/>
        <v>#DIV/0!</v>
      </c>
      <c r="AH87" s="25" t="str">
        <f t="shared" si="16"/>
        <v/>
      </c>
      <c r="AI87" s="25" t="str">
        <f t="shared" si="17"/>
        <v/>
      </c>
      <c r="AJ87" s="26" t="str">
        <f t="shared" si="18"/>
        <v/>
      </c>
    </row>
    <row r="88" ht="15.75" customHeight="1">
      <c r="A88" s="3"/>
      <c r="B88" s="18" t="str">
        <f t="shared" si="2"/>
        <v/>
      </c>
      <c r="C88" s="19"/>
      <c r="D88" s="19"/>
      <c r="E88" s="19"/>
      <c r="F88" s="20"/>
      <c r="G88" s="20"/>
      <c r="H88" s="21" t="str">
        <f t="shared" si="3"/>
        <v/>
      </c>
      <c r="I88" s="20"/>
      <c r="J88" s="20"/>
      <c r="K88" s="20"/>
      <c r="L88" s="20"/>
      <c r="M88" s="21" t="str">
        <f t="shared" si="4"/>
        <v/>
      </c>
      <c r="N88" s="20"/>
      <c r="O88" s="20"/>
      <c r="P88" s="20"/>
      <c r="Q88" s="21" t="str">
        <f t="shared" si="5"/>
        <v/>
      </c>
      <c r="R88" s="21" t="str">
        <f t="shared" si="6"/>
        <v/>
      </c>
      <c r="S88" s="22"/>
      <c r="T88" s="22"/>
      <c r="U88" s="23" t="str">
        <f t="shared" si="7"/>
        <v/>
      </c>
      <c r="V88" s="21" t="str">
        <f t="shared" si="8"/>
        <v>#DIV/0!</v>
      </c>
      <c r="W88" s="24" t="str">
        <f t="shared" si="9"/>
        <v>#DIV/0!</v>
      </c>
      <c r="X88" s="24" t="str">
        <f t="shared" si="10"/>
        <v>#DIV/0!</v>
      </c>
      <c r="Y88" s="21" t="str">
        <f>IF(A88="","",SUMIFS('Labor Log'!$I$2:$I$2001,'Labor Log'!$A$2:$A$2001,A88))</f>
        <v/>
      </c>
      <c r="Z88" s="24" t="str">
        <f t="shared" si="11"/>
        <v>#DIV/0!</v>
      </c>
      <c r="AA88" s="21" t="str">
        <f>IF(A88="","",SUMIFS('Inventory &amp; COGS'!$H$2:$H$2001,'Inventory &amp; COGS'!$A$2:$A$2001,A88,'Inventory &amp; COGS'!$B$2:$B$2001,"Food"))</f>
        <v/>
      </c>
      <c r="AB88" s="21" t="str">
        <f>IF(A88="","",SUMIFS('Inventory &amp; COGS'!$H$2:$H$2001,'Inventory &amp; COGS'!$A$2:$A$2001,A88,'Inventory &amp; COGS'!$B$2:$B$2001,"Beverage"))</f>
        <v/>
      </c>
      <c r="AC88" s="21" t="str">
        <f t="shared" si="12"/>
        <v/>
      </c>
      <c r="AD88" s="24" t="str">
        <f t="shared" ref="AD88:AE88" si="103">IF(I88=0,"",AA88/I88)</f>
        <v/>
      </c>
      <c r="AE88" s="24" t="str">
        <f t="shared" si="103"/>
        <v/>
      </c>
      <c r="AF88" s="21" t="str">
        <f t="shared" si="14"/>
        <v/>
      </c>
      <c r="AG88" s="24" t="str">
        <f t="shared" si="15"/>
        <v>#DIV/0!</v>
      </c>
      <c r="AH88" s="25" t="str">
        <f t="shared" si="16"/>
        <v/>
      </c>
      <c r="AI88" s="25" t="str">
        <f t="shared" si="17"/>
        <v/>
      </c>
      <c r="AJ88" s="26" t="str">
        <f t="shared" si="18"/>
        <v/>
      </c>
    </row>
    <row r="89" ht="15.75" customHeight="1">
      <c r="A89" s="3"/>
      <c r="B89" s="18" t="str">
        <f t="shared" si="2"/>
        <v/>
      </c>
      <c r="C89" s="19"/>
      <c r="D89" s="19"/>
      <c r="E89" s="19"/>
      <c r="F89" s="20"/>
      <c r="G89" s="20"/>
      <c r="H89" s="21" t="str">
        <f t="shared" si="3"/>
        <v/>
      </c>
      <c r="I89" s="20"/>
      <c r="J89" s="20"/>
      <c r="K89" s="20"/>
      <c r="L89" s="20"/>
      <c r="M89" s="21" t="str">
        <f t="shared" si="4"/>
        <v/>
      </c>
      <c r="N89" s="20"/>
      <c r="O89" s="20"/>
      <c r="P89" s="20"/>
      <c r="Q89" s="21" t="str">
        <f t="shared" si="5"/>
        <v/>
      </c>
      <c r="R89" s="21" t="str">
        <f t="shared" si="6"/>
        <v/>
      </c>
      <c r="S89" s="22"/>
      <c r="T89" s="22"/>
      <c r="U89" s="23" t="str">
        <f t="shared" si="7"/>
        <v/>
      </c>
      <c r="V89" s="21" t="str">
        <f t="shared" si="8"/>
        <v>#DIV/0!</v>
      </c>
      <c r="W89" s="24" t="str">
        <f t="shared" si="9"/>
        <v>#DIV/0!</v>
      </c>
      <c r="X89" s="24" t="str">
        <f t="shared" si="10"/>
        <v>#DIV/0!</v>
      </c>
      <c r="Y89" s="21" t="str">
        <f>IF(A89="","",SUMIFS('Labor Log'!$I$2:$I$2001,'Labor Log'!$A$2:$A$2001,A89))</f>
        <v/>
      </c>
      <c r="Z89" s="24" t="str">
        <f t="shared" si="11"/>
        <v>#DIV/0!</v>
      </c>
      <c r="AA89" s="21" t="str">
        <f>IF(A89="","",SUMIFS('Inventory &amp; COGS'!$H$2:$H$2001,'Inventory &amp; COGS'!$A$2:$A$2001,A89,'Inventory &amp; COGS'!$B$2:$B$2001,"Food"))</f>
        <v/>
      </c>
      <c r="AB89" s="21" t="str">
        <f>IF(A89="","",SUMIFS('Inventory &amp; COGS'!$H$2:$H$2001,'Inventory &amp; COGS'!$A$2:$A$2001,A89,'Inventory &amp; COGS'!$B$2:$B$2001,"Beverage"))</f>
        <v/>
      </c>
      <c r="AC89" s="21" t="str">
        <f t="shared" si="12"/>
        <v/>
      </c>
      <c r="AD89" s="24" t="str">
        <f t="shared" ref="AD89:AE89" si="104">IF(I89=0,"",AA89/I89)</f>
        <v/>
      </c>
      <c r="AE89" s="24" t="str">
        <f t="shared" si="104"/>
        <v/>
      </c>
      <c r="AF89" s="21" t="str">
        <f t="shared" si="14"/>
        <v/>
      </c>
      <c r="AG89" s="24" t="str">
        <f t="shared" si="15"/>
        <v>#DIV/0!</v>
      </c>
      <c r="AH89" s="25" t="str">
        <f t="shared" si="16"/>
        <v/>
      </c>
      <c r="AI89" s="25" t="str">
        <f t="shared" si="17"/>
        <v/>
      </c>
      <c r="AJ89" s="26" t="str">
        <f t="shared" si="18"/>
        <v/>
      </c>
    </row>
    <row r="90" ht="15.75" customHeight="1">
      <c r="A90" s="3"/>
      <c r="B90" s="18" t="str">
        <f t="shared" si="2"/>
        <v/>
      </c>
      <c r="C90" s="19"/>
      <c r="D90" s="19"/>
      <c r="E90" s="19"/>
      <c r="F90" s="20"/>
      <c r="G90" s="20"/>
      <c r="H90" s="21" t="str">
        <f t="shared" si="3"/>
        <v/>
      </c>
      <c r="I90" s="20"/>
      <c r="J90" s="20"/>
      <c r="K90" s="20"/>
      <c r="L90" s="20"/>
      <c r="M90" s="21" t="str">
        <f t="shared" si="4"/>
        <v/>
      </c>
      <c r="N90" s="20"/>
      <c r="O90" s="20"/>
      <c r="P90" s="20"/>
      <c r="Q90" s="21" t="str">
        <f t="shared" si="5"/>
        <v/>
      </c>
      <c r="R90" s="21" t="str">
        <f t="shared" si="6"/>
        <v/>
      </c>
      <c r="S90" s="22"/>
      <c r="T90" s="22"/>
      <c r="U90" s="23" t="str">
        <f t="shared" si="7"/>
        <v/>
      </c>
      <c r="V90" s="21" t="str">
        <f t="shared" si="8"/>
        <v>#DIV/0!</v>
      </c>
      <c r="W90" s="24" t="str">
        <f t="shared" si="9"/>
        <v>#DIV/0!</v>
      </c>
      <c r="X90" s="24" t="str">
        <f t="shared" si="10"/>
        <v>#DIV/0!</v>
      </c>
      <c r="Y90" s="21" t="str">
        <f>IF(A90="","",SUMIFS('Labor Log'!$I$2:$I$2001,'Labor Log'!$A$2:$A$2001,A90))</f>
        <v/>
      </c>
      <c r="Z90" s="24" t="str">
        <f t="shared" si="11"/>
        <v>#DIV/0!</v>
      </c>
      <c r="AA90" s="21" t="str">
        <f>IF(A90="","",SUMIFS('Inventory &amp; COGS'!$H$2:$H$2001,'Inventory &amp; COGS'!$A$2:$A$2001,A90,'Inventory &amp; COGS'!$B$2:$B$2001,"Food"))</f>
        <v/>
      </c>
      <c r="AB90" s="21" t="str">
        <f>IF(A90="","",SUMIFS('Inventory &amp; COGS'!$H$2:$H$2001,'Inventory &amp; COGS'!$A$2:$A$2001,A90,'Inventory &amp; COGS'!$B$2:$B$2001,"Beverage"))</f>
        <v/>
      </c>
      <c r="AC90" s="21" t="str">
        <f t="shared" si="12"/>
        <v/>
      </c>
      <c r="AD90" s="24" t="str">
        <f t="shared" ref="AD90:AE90" si="105">IF(I90=0,"",AA90/I90)</f>
        <v/>
      </c>
      <c r="AE90" s="24" t="str">
        <f t="shared" si="105"/>
        <v/>
      </c>
      <c r="AF90" s="21" t="str">
        <f t="shared" si="14"/>
        <v/>
      </c>
      <c r="AG90" s="24" t="str">
        <f t="shared" si="15"/>
        <v>#DIV/0!</v>
      </c>
      <c r="AH90" s="25" t="str">
        <f t="shared" si="16"/>
        <v/>
      </c>
      <c r="AI90" s="25" t="str">
        <f t="shared" si="17"/>
        <v/>
      </c>
      <c r="AJ90" s="26" t="str">
        <f t="shared" si="18"/>
        <v/>
      </c>
    </row>
    <row r="91" ht="15.75" customHeight="1">
      <c r="A91" s="3"/>
      <c r="B91" s="18" t="str">
        <f t="shared" si="2"/>
        <v/>
      </c>
      <c r="C91" s="19"/>
      <c r="D91" s="19"/>
      <c r="E91" s="19"/>
      <c r="F91" s="20"/>
      <c r="G91" s="20"/>
      <c r="H91" s="21" t="str">
        <f t="shared" si="3"/>
        <v/>
      </c>
      <c r="I91" s="20"/>
      <c r="J91" s="20"/>
      <c r="K91" s="20"/>
      <c r="L91" s="20"/>
      <c r="M91" s="21" t="str">
        <f t="shared" si="4"/>
        <v/>
      </c>
      <c r="N91" s="20"/>
      <c r="O91" s="20"/>
      <c r="P91" s="20"/>
      <c r="Q91" s="21" t="str">
        <f t="shared" si="5"/>
        <v/>
      </c>
      <c r="R91" s="21" t="str">
        <f t="shared" si="6"/>
        <v/>
      </c>
      <c r="S91" s="22"/>
      <c r="T91" s="22"/>
      <c r="U91" s="23" t="str">
        <f t="shared" si="7"/>
        <v/>
      </c>
      <c r="V91" s="21" t="str">
        <f t="shared" si="8"/>
        <v>#DIV/0!</v>
      </c>
      <c r="W91" s="24" t="str">
        <f t="shared" si="9"/>
        <v>#DIV/0!</v>
      </c>
      <c r="X91" s="24" t="str">
        <f t="shared" si="10"/>
        <v>#DIV/0!</v>
      </c>
      <c r="Y91" s="21" t="str">
        <f>IF(A91="","",SUMIFS('Labor Log'!$I$2:$I$2001,'Labor Log'!$A$2:$A$2001,A91))</f>
        <v/>
      </c>
      <c r="Z91" s="24" t="str">
        <f t="shared" si="11"/>
        <v>#DIV/0!</v>
      </c>
      <c r="AA91" s="21" t="str">
        <f>IF(A91="","",SUMIFS('Inventory &amp; COGS'!$H$2:$H$2001,'Inventory &amp; COGS'!$A$2:$A$2001,A91,'Inventory &amp; COGS'!$B$2:$B$2001,"Food"))</f>
        <v/>
      </c>
      <c r="AB91" s="21" t="str">
        <f>IF(A91="","",SUMIFS('Inventory &amp; COGS'!$H$2:$H$2001,'Inventory &amp; COGS'!$A$2:$A$2001,A91,'Inventory &amp; COGS'!$B$2:$B$2001,"Beverage"))</f>
        <v/>
      </c>
      <c r="AC91" s="21" t="str">
        <f t="shared" si="12"/>
        <v/>
      </c>
      <c r="AD91" s="24" t="str">
        <f t="shared" ref="AD91:AE91" si="106">IF(I91=0,"",AA91/I91)</f>
        <v/>
      </c>
      <c r="AE91" s="24" t="str">
        <f t="shared" si="106"/>
        <v/>
      </c>
      <c r="AF91" s="21" t="str">
        <f t="shared" si="14"/>
        <v/>
      </c>
      <c r="AG91" s="24" t="str">
        <f t="shared" si="15"/>
        <v>#DIV/0!</v>
      </c>
      <c r="AH91" s="25" t="str">
        <f t="shared" si="16"/>
        <v/>
      </c>
      <c r="AI91" s="25" t="str">
        <f t="shared" si="17"/>
        <v/>
      </c>
      <c r="AJ91" s="26" t="str">
        <f t="shared" si="18"/>
        <v/>
      </c>
    </row>
    <row r="92" ht="15.75" customHeight="1">
      <c r="A92" s="3"/>
      <c r="B92" s="18" t="str">
        <f t="shared" si="2"/>
        <v/>
      </c>
      <c r="C92" s="19"/>
      <c r="D92" s="19"/>
      <c r="E92" s="19"/>
      <c r="F92" s="20"/>
      <c r="G92" s="20"/>
      <c r="H92" s="21" t="str">
        <f t="shared" si="3"/>
        <v/>
      </c>
      <c r="I92" s="20"/>
      <c r="J92" s="20"/>
      <c r="K92" s="20"/>
      <c r="L92" s="20"/>
      <c r="M92" s="21" t="str">
        <f t="shared" si="4"/>
        <v/>
      </c>
      <c r="N92" s="20"/>
      <c r="O92" s="20"/>
      <c r="P92" s="20"/>
      <c r="Q92" s="21" t="str">
        <f t="shared" si="5"/>
        <v/>
      </c>
      <c r="R92" s="21" t="str">
        <f t="shared" si="6"/>
        <v/>
      </c>
      <c r="S92" s="22"/>
      <c r="T92" s="22"/>
      <c r="U92" s="23" t="str">
        <f t="shared" si="7"/>
        <v/>
      </c>
      <c r="V92" s="21" t="str">
        <f t="shared" si="8"/>
        <v>#DIV/0!</v>
      </c>
      <c r="W92" s="24" t="str">
        <f t="shared" si="9"/>
        <v>#DIV/0!</v>
      </c>
      <c r="X92" s="24" t="str">
        <f t="shared" si="10"/>
        <v>#DIV/0!</v>
      </c>
      <c r="Y92" s="21" t="str">
        <f>IF(A92="","",SUMIFS('Labor Log'!$I$2:$I$2001,'Labor Log'!$A$2:$A$2001,A92))</f>
        <v/>
      </c>
      <c r="Z92" s="24" t="str">
        <f t="shared" si="11"/>
        <v>#DIV/0!</v>
      </c>
      <c r="AA92" s="21" t="str">
        <f>IF(A92="","",SUMIFS('Inventory &amp; COGS'!$H$2:$H$2001,'Inventory &amp; COGS'!$A$2:$A$2001,A92,'Inventory &amp; COGS'!$B$2:$B$2001,"Food"))</f>
        <v/>
      </c>
      <c r="AB92" s="21" t="str">
        <f>IF(A92="","",SUMIFS('Inventory &amp; COGS'!$H$2:$H$2001,'Inventory &amp; COGS'!$A$2:$A$2001,A92,'Inventory &amp; COGS'!$B$2:$B$2001,"Beverage"))</f>
        <v/>
      </c>
      <c r="AC92" s="21" t="str">
        <f t="shared" si="12"/>
        <v/>
      </c>
      <c r="AD92" s="24" t="str">
        <f t="shared" ref="AD92:AE92" si="107">IF(I92=0,"",AA92/I92)</f>
        <v/>
      </c>
      <c r="AE92" s="24" t="str">
        <f t="shared" si="107"/>
        <v/>
      </c>
      <c r="AF92" s="21" t="str">
        <f t="shared" si="14"/>
        <v/>
      </c>
      <c r="AG92" s="24" t="str">
        <f t="shared" si="15"/>
        <v>#DIV/0!</v>
      </c>
      <c r="AH92" s="25" t="str">
        <f t="shared" si="16"/>
        <v/>
      </c>
      <c r="AI92" s="25" t="str">
        <f t="shared" si="17"/>
        <v/>
      </c>
      <c r="AJ92" s="26" t="str">
        <f t="shared" si="18"/>
        <v/>
      </c>
    </row>
    <row r="93" ht="15.75" customHeight="1">
      <c r="A93" s="3"/>
      <c r="B93" s="18" t="str">
        <f t="shared" si="2"/>
        <v/>
      </c>
      <c r="C93" s="19"/>
      <c r="D93" s="19"/>
      <c r="E93" s="19"/>
      <c r="F93" s="20"/>
      <c r="G93" s="20"/>
      <c r="H93" s="21" t="str">
        <f t="shared" si="3"/>
        <v/>
      </c>
      <c r="I93" s="20"/>
      <c r="J93" s="20"/>
      <c r="K93" s="20"/>
      <c r="L93" s="20"/>
      <c r="M93" s="21" t="str">
        <f t="shared" si="4"/>
        <v/>
      </c>
      <c r="N93" s="20"/>
      <c r="O93" s="20"/>
      <c r="P93" s="20"/>
      <c r="Q93" s="21" t="str">
        <f t="shared" si="5"/>
        <v/>
      </c>
      <c r="R93" s="21" t="str">
        <f t="shared" si="6"/>
        <v/>
      </c>
      <c r="S93" s="22"/>
      <c r="T93" s="22"/>
      <c r="U93" s="23" t="str">
        <f t="shared" si="7"/>
        <v/>
      </c>
      <c r="V93" s="21" t="str">
        <f t="shared" si="8"/>
        <v>#DIV/0!</v>
      </c>
      <c r="W93" s="24" t="str">
        <f t="shared" si="9"/>
        <v>#DIV/0!</v>
      </c>
      <c r="X93" s="24" t="str">
        <f t="shared" si="10"/>
        <v>#DIV/0!</v>
      </c>
      <c r="Y93" s="21" t="str">
        <f>IF(A93="","",SUMIFS('Labor Log'!$I$2:$I$2001,'Labor Log'!$A$2:$A$2001,A93))</f>
        <v/>
      </c>
      <c r="Z93" s="24" t="str">
        <f t="shared" si="11"/>
        <v>#DIV/0!</v>
      </c>
      <c r="AA93" s="21" t="str">
        <f>IF(A93="","",SUMIFS('Inventory &amp; COGS'!$H$2:$H$2001,'Inventory &amp; COGS'!$A$2:$A$2001,A93,'Inventory &amp; COGS'!$B$2:$B$2001,"Food"))</f>
        <v/>
      </c>
      <c r="AB93" s="21" t="str">
        <f>IF(A93="","",SUMIFS('Inventory &amp; COGS'!$H$2:$H$2001,'Inventory &amp; COGS'!$A$2:$A$2001,A93,'Inventory &amp; COGS'!$B$2:$B$2001,"Beverage"))</f>
        <v/>
      </c>
      <c r="AC93" s="21" t="str">
        <f t="shared" si="12"/>
        <v/>
      </c>
      <c r="AD93" s="24" t="str">
        <f t="shared" ref="AD93:AE93" si="108">IF(I93=0,"",AA93/I93)</f>
        <v/>
      </c>
      <c r="AE93" s="24" t="str">
        <f t="shared" si="108"/>
        <v/>
      </c>
      <c r="AF93" s="21" t="str">
        <f t="shared" si="14"/>
        <v/>
      </c>
      <c r="AG93" s="24" t="str">
        <f t="shared" si="15"/>
        <v>#DIV/0!</v>
      </c>
      <c r="AH93" s="25" t="str">
        <f t="shared" si="16"/>
        <v/>
      </c>
      <c r="AI93" s="25" t="str">
        <f t="shared" si="17"/>
        <v/>
      </c>
      <c r="AJ93" s="26" t="str">
        <f t="shared" si="18"/>
        <v/>
      </c>
    </row>
    <row r="94" ht="15.75" customHeight="1">
      <c r="A94" s="3"/>
      <c r="B94" s="18" t="str">
        <f t="shared" si="2"/>
        <v/>
      </c>
      <c r="C94" s="19"/>
      <c r="D94" s="19"/>
      <c r="E94" s="19"/>
      <c r="F94" s="20"/>
      <c r="G94" s="20"/>
      <c r="H94" s="21" t="str">
        <f t="shared" si="3"/>
        <v/>
      </c>
      <c r="I94" s="20"/>
      <c r="J94" s="20"/>
      <c r="K94" s="20"/>
      <c r="L94" s="20"/>
      <c r="M94" s="21" t="str">
        <f t="shared" si="4"/>
        <v/>
      </c>
      <c r="N94" s="20"/>
      <c r="O94" s="20"/>
      <c r="P94" s="20"/>
      <c r="Q94" s="21" t="str">
        <f t="shared" si="5"/>
        <v/>
      </c>
      <c r="R94" s="21" t="str">
        <f t="shared" si="6"/>
        <v/>
      </c>
      <c r="S94" s="22"/>
      <c r="T94" s="22"/>
      <c r="U94" s="23" t="str">
        <f t="shared" si="7"/>
        <v/>
      </c>
      <c r="V94" s="21" t="str">
        <f t="shared" si="8"/>
        <v>#DIV/0!</v>
      </c>
      <c r="W94" s="24" t="str">
        <f t="shared" si="9"/>
        <v>#DIV/0!</v>
      </c>
      <c r="X94" s="24" t="str">
        <f t="shared" si="10"/>
        <v>#DIV/0!</v>
      </c>
      <c r="Y94" s="21" t="str">
        <f>IF(A94="","",SUMIFS('Labor Log'!$I$2:$I$2001,'Labor Log'!$A$2:$A$2001,A94))</f>
        <v/>
      </c>
      <c r="Z94" s="24" t="str">
        <f t="shared" si="11"/>
        <v>#DIV/0!</v>
      </c>
      <c r="AA94" s="21" t="str">
        <f>IF(A94="","",SUMIFS('Inventory &amp; COGS'!$H$2:$H$2001,'Inventory &amp; COGS'!$A$2:$A$2001,A94,'Inventory &amp; COGS'!$B$2:$B$2001,"Food"))</f>
        <v/>
      </c>
      <c r="AB94" s="21" t="str">
        <f>IF(A94="","",SUMIFS('Inventory &amp; COGS'!$H$2:$H$2001,'Inventory &amp; COGS'!$A$2:$A$2001,A94,'Inventory &amp; COGS'!$B$2:$B$2001,"Beverage"))</f>
        <v/>
      </c>
      <c r="AC94" s="21" t="str">
        <f t="shared" si="12"/>
        <v/>
      </c>
      <c r="AD94" s="24" t="str">
        <f t="shared" ref="AD94:AE94" si="109">IF(I94=0,"",AA94/I94)</f>
        <v/>
      </c>
      <c r="AE94" s="24" t="str">
        <f t="shared" si="109"/>
        <v/>
      </c>
      <c r="AF94" s="21" t="str">
        <f t="shared" si="14"/>
        <v/>
      </c>
      <c r="AG94" s="24" t="str">
        <f t="shared" si="15"/>
        <v>#DIV/0!</v>
      </c>
      <c r="AH94" s="25" t="str">
        <f t="shared" si="16"/>
        <v/>
      </c>
      <c r="AI94" s="25" t="str">
        <f t="shared" si="17"/>
        <v/>
      </c>
      <c r="AJ94" s="26" t="str">
        <f t="shared" si="18"/>
        <v/>
      </c>
    </row>
    <row r="95" ht="15.75" customHeight="1">
      <c r="A95" s="3"/>
      <c r="B95" s="18" t="str">
        <f t="shared" si="2"/>
        <v/>
      </c>
      <c r="C95" s="19"/>
      <c r="D95" s="19"/>
      <c r="E95" s="19"/>
      <c r="F95" s="20"/>
      <c r="G95" s="20"/>
      <c r="H95" s="21" t="str">
        <f t="shared" si="3"/>
        <v/>
      </c>
      <c r="I95" s="20"/>
      <c r="J95" s="20"/>
      <c r="K95" s="20"/>
      <c r="L95" s="20"/>
      <c r="M95" s="21" t="str">
        <f t="shared" si="4"/>
        <v/>
      </c>
      <c r="N95" s="20"/>
      <c r="O95" s="20"/>
      <c r="P95" s="20"/>
      <c r="Q95" s="21" t="str">
        <f t="shared" si="5"/>
        <v/>
      </c>
      <c r="R95" s="21" t="str">
        <f t="shared" si="6"/>
        <v/>
      </c>
      <c r="S95" s="22"/>
      <c r="T95" s="22"/>
      <c r="U95" s="23" t="str">
        <f t="shared" si="7"/>
        <v/>
      </c>
      <c r="V95" s="21" t="str">
        <f t="shared" si="8"/>
        <v>#DIV/0!</v>
      </c>
      <c r="W95" s="24" t="str">
        <f t="shared" si="9"/>
        <v>#DIV/0!</v>
      </c>
      <c r="X95" s="24" t="str">
        <f t="shared" si="10"/>
        <v>#DIV/0!</v>
      </c>
      <c r="Y95" s="21" t="str">
        <f>IF(A95="","",SUMIFS('Labor Log'!$I$2:$I$2001,'Labor Log'!$A$2:$A$2001,A95))</f>
        <v/>
      </c>
      <c r="Z95" s="24" t="str">
        <f t="shared" si="11"/>
        <v>#DIV/0!</v>
      </c>
      <c r="AA95" s="21" t="str">
        <f>IF(A95="","",SUMIFS('Inventory &amp; COGS'!$H$2:$H$2001,'Inventory &amp; COGS'!$A$2:$A$2001,A95,'Inventory &amp; COGS'!$B$2:$B$2001,"Food"))</f>
        <v/>
      </c>
      <c r="AB95" s="21" t="str">
        <f>IF(A95="","",SUMIFS('Inventory &amp; COGS'!$H$2:$H$2001,'Inventory &amp; COGS'!$A$2:$A$2001,A95,'Inventory &amp; COGS'!$B$2:$B$2001,"Beverage"))</f>
        <v/>
      </c>
      <c r="AC95" s="21" t="str">
        <f t="shared" si="12"/>
        <v/>
      </c>
      <c r="AD95" s="24" t="str">
        <f t="shared" ref="AD95:AE95" si="110">IF(I95=0,"",AA95/I95)</f>
        <v/>
      </c>
      <c r="AE95" s="24" t="str">
        <f t="shared" si="110"/>
        <v/>
      </c>
      <c r="AF95" s="21" t="str">
        <f t="shared" si="14"/>
        <v/>
      </c>
      <c r="AG95" s="24" t="str">
        <f t="shared" si="15"/>
        <v>#DIV/0!</v>
      </c>
      <c r="AH95" s="25" t="str">
        <f t="shared" si="16"/>
        <v/>
      </c>
      <c r="AI95" s="25" t="str">
        <f t="shared" si="17"/>
        <v/>
      </c>
      <c r="AJ95" s="26" t="str">
        <f t="shared" si="18"/>
        <v/>
      </c>
    </row>
    <row r="96" ht="15.75" customHeight="1">
      <c r="A96" s="3"/>
      <c r="B96" s="18" t="str">
        <f t="shared" si="2"/>
        <v/>
      </c>
      <c r="C96" s="19"/>
      <c r="D96" s="19"/>
      <c r="E96" s="19"/>
      <c r="F96" s="20"/>
      <c r="G96" s="20"/>
      <c r="H96" s="21" t="str">
        <f t="shared" si="3"/>
        <v/>
      </c>
      <c r="I96" s="20"/>
      <c r="J96" s="20"/>
      <c r="K96" s="20"/>
      <c r="L96" s="20"/>
      <c r="M96" s="21" t="str">
        <f t="shared" si="4"/>
        <v/>
      </c>
      <c r="N96" s="20"/>
      <c r="O96" s="20"/>
      <c r="P96" s="20"/>
      <c r="Q96" s="21" t="str">
        <f t="shared" si="5"/>
        <v/>
      </c>
      <c r="R96" s="21" t="str">
        <f t="shared" si="6"/>
        <v/>
      </c>
      <c r="S96" s="22"/>
      <c r="T96" s="22"/>
      <c r="U96" s="23" t="str">
        <f t="shared" si="7"/>
        <v/>
      </c>
      <c r="V96" s="21" t="str">
        <f t="shared" si="8"/>
        <v>#DIV/0!</v>
      </c>
      <c r="W96" s="24" t="str">
        <f t="shared" si="9"/>
        <v>#DIV/0!</v>
      </c>
      <c r="X96" s="24" t="str">
        <f t="shared" si="10"/>
        <v>#DIV/0!</v>
      </c>
      <c r="Y96" s="21" t="str">
        <f>IF(A96="","",SUMIFS('Labor Log'!$I$2:$I$2001,'Labor Log'!$A$2:$A$2001,A96))</f>
        <v/>
      </c>
      <c r="Z96" s="24" t="str">
        <f t="shared" si="11"/>
        <v>#DIV/0!</v>
      </c>
      <c r="AA96" s="21" t="str">
        <f>IF(A96="","",SUMIFS('Inventory &amp; COGS'!$H$2:$H$2001,'Inventory &amp; COGS'!$A$2:$A$2001,A96,'Inventory &amp; COGS'!$B$2:$B$2001,"Food"))</f>
        <v/>
      </c>
      <c r="AB96" s="21" t="str">
        <f>IF(A96="","",SUMIFS('Inventory &amp; COGS'!$H$2:$H$2001,'Inventory &amp; COGS'!$A$2:$A$2001,A96,'Inventory &amp; COGS'!$B$2:$B$2001,"Beverage"))</f>
        <v/>
      </c>
      <c r="AC96" s="21" t="str">
        <f t="shared" si="12"/>
        <v/>
      </c>
      <c r="AD96" s="24" t="str">
        <f t="shared" ref="AD96:AE96" si="111">IF(I96=0,"",AA96/I96)</f>
        <v/>
      </c>
      <c r="AE96" s="24" t="str">
        <f t="shared" si="111"/>
        <v/>
      </c>
      <c r="AF96" s="21" t="str">
        <f t="shared" si="14"/>
        <v/>
      </c>
      <c r="AG96" s="24" t="str">
        <f t="shared" si="15"/>
        <v>#DIV/0!</v>
      </c>
      <c r="AH96" s="25" t="str">
        <f t="shared" si="16"/>
        <v/>
      </c>
      <c r="AI96" s="25" t="str">
        <f t="shared" si="17"/>
        <v/>
      </c>
      <c r="AJ96" s="26" t="str">
        <f t="shared" si="18"/>
        <v/>
      </c>
    </row>
    <row r="97" ht="15.75" customHeight="1">
      <c r="A97" s="3"/>
      <c r="B97" s="18" t="str">
        <f t="shared" si="2"/>
        <v/>
      </c>
      <c r="C97" s="19"/>
      <c r="D97" s="19"/>
      <c r="E97" s="19"/>
      <c r="F97" s="20"/>
      <c r="G97" s="20"/>
      <c r="H97" s="21" t="str">
        <f t="shared" si="3"/>
        <v/>
      </c>
      <c r="I97" s="20"/>
      <c r="J97" s="20"/>
      <c r="K97" s="20"/>
      <c r="L97" s="20"/>
      <c r="M97" s="21" t="str">
        <f t="shared" si="4"/>
        <v/>
      </c>
      <c r="N97" s="20"/>
      <c r="O97" s="20"/>
      <c r="P97" s="20"/>
      <c r="Q97" s="21" t="str">
        <f t="shared" si="5"/>
        <v/>
      </c>
      <c r="R97" s="21" t="str">
        <f t="shared" si="6"/>
        <v/>
      </c>
      <c r="S97" s="22"/>
      <c r="T97" s="22"/>
      <c r="U97" s="23" t="str">
        <f t="shared" si="7"/>
        <v/>
      </c>
      <c r="V97" s="21" t="str">
        <f t="shared" si="8"/>
        <v>#DIV/0!</v>
      </c>
      <c r="W97" s="24" t="str">
        <f t="shared" si="9"/>
        <v>#DIV/0!</v>
      </c>
      <c r="X97" s="24" t="str">
        <f t="shared" si="10"/>
        <v>#DIV/0!</v>
      </c>
      <c r="Y97" s="21" t="str">
        <f>IF(A97="","",SUMIFS('Labor Log'!$I$2:$I$2001,'Labor Log'!$A$2:$A$2001,A97))</f>
        <v/>
      </c>
      <c r="Z97" s="24" t="str">
        <f t="shared" si="11"/>
        <v>#DIV/0!</v>
      </c>
      <c r="AA97" s="21" t="str">
        <f>IF(A97="","",SUMIFS('Inventory &amp; COGS'!$H$2:$H$2001,'Inventory &amp; COGS'!$A$2:$A$2001,A97,'Inventory &amp; COGS'!$B$2:$B$2001,"Food"))</f>
        <v/>
      </c>
      <c r="AB97" s="21" t="str">
        <f>IF(A97="","",SUMIFS('Inventory &amp; COGS'!$H$2:$H$2001,'Inventory &amp; COGS'!$A$2:$A$2001,A97,'Inventory &amp; COGS'!$B$2:$B$2001,"Beverage"))</f>
        <v/>
      </c>
      <c r="AC97" s="21" t="str">
        <f t="shared" si="12"/>
        <v/>
      </c>
      <c r="AD97" s="24" t="str">
        <f t="shared" ref="AD97:AE97" si="112">IF(I97=0,"",AA97/I97)</f>
        <v/>
      </c>
      <c r="AE97" s="24" t="str">
        <f t="shared" si="112"/>
        <v/>
      </c>
      <c r="AF97" s="21" t="str">
        <f t="shared" si="14"/>
        <v/>
      </c>
      <c r="AG97" s="24" t="str">
        <f t="shared" si="15"/>
        <v>#DIV/0!</v>
      </c>
      <c r="AH97" s="25" t="str">
        <f t="shared" si="16"/>
        <v/>
      </c>
      <c r="AI97" s="25" t="str">
        <f t="shared" si="17"/>
        <v/>
      </c>
      <c r="AJ97" s="26" t="str">
        <f t="shared" si="18"/>
        <v/>
      </c>
    </row>
    <row r="98" ht="15.75" customHeight="1">
      <c r="A98" s="3"/>
      <c r="B98" s="18" t="str">
        <f t="shared" si="2"/>
        <v/>
      </c>
      <c r="C98" s="19"/>
      <c r="D98" s="19"/>
      <c r="E98" s="19"/>
      <c r="F98" s="20"/>
      <c r="G98" s="20"/>
      <c r="H98" s="21" t="str">
        <f t="shared" si="3"/>
        <v/>
      </c>
      <c r="I98" s="20"/>
      <c r="J98" s="20"/>
      <c r="K98" s="20"/>
      <c r="L98" s="20"/>
      <c r="M98" s="21" t="str">
        <f t="shared" si="4"/>
        <v/>
      </c>
      <c r="N98" s="20"/>
      <c r="O98" s="20"/>
      <c r="P98" s="20"/>
      <c r="Q98" s="21" t="str">
        <f t="shared" si="5"/>
        <v/>
      </c>
      <c r="R98" s="21" t="str">
        <f t="shared" si="6"/>
        <v/>
      </c>
      <c r="S98" s="22"/>
      <c r="T98" s="22"/>
      <c r="U98" s="23" t="str">
        <f t="shared" si="7"/>
        <v/>
      </c>
      <c r="V98" s="21" t="str">
        <f t="shared" si="8"/>
        <v>#DIV/0!</v>
      </c>
      <c r="W98" s="24" t="str">
        <f t="shared" si="9"/>
        <v>#DIV/0!</v>
      </c>
      <c r="X98" s="24" t="str">
        <f t="shared" si="10"/>
        <v>#DIV/0!</v>
      </c>
      <c r="Y98" s="21" t="str">
        <f>IF(A98="","",SUMIFS('Labor Log'!$I$2:$I$2001,'Labor Log'!$A$2:$A$2001,A98))</f>
        <v/>
      </c>
      <c r="Z98" s="24" t="str">
        <f t="shared" si="11"/>
        <v>#DIV/0!</v>
      </c>
      <c r="AA98" s="21" t="str">
        <f>IF(A98="","",SUMIFS('Inventory &amp; COGS'!$H$2:$H$2001,'Inventory &amp; COGS'!$A$2:$A$2001,A98,'Inventory &amp; COGS'!$B$2:$B$2001,"Food"))</f>
        <v/>
      </c>
      <c r="AB98" s="21" t="str">
        <f>IF(A98="","",SUMIFS('Inventory &amp; COGS'!$H$2:$H$2001,'Inventory &amp; COGS'!$A$2:$A$2001,A98,'Inventory &amp; COGS'!$B$2:$B$2001,"Beverage"))</f>
        <v/>
      </c>
      <c r="AC98" s="21" t="str">
        <f t="shared" si="12"/>
        <v/>
      </c>
      <c r="AD98" s="24" t="str">
        <f t="shared" ref="AD98:AE98" si="113">IF(I98=0,"",AA98/I98)</f>
        <v/>
      </c>
      <c r="AE98" s="24" t="str">
        <f t="shared" si="113"/>
        <v/>
      </c>
      <c r="AF98" s="21" t="str">
        <f t="shared" si="14"/>
        <v/>
      </c>
      <c r="AG98" s="24" t="str">
        <f t="shared" si="15"/>
        <v>#DIV/0!</v>
      </c>
      <c r="AH98" s="25" t="str">
        <f t="shared" si="16"/>
        <v/>
      </c>
      <c r="AI98" s="25" t="str">
        <f t="shared" si="17"/>
        <v/>
      </c>
      <c r="AJ98" s="26" t="str">
        <f t="shared" si="18"/>
        <v/>
      </c>
    </row>
    <row r="99" ht="15.75" customHeight="1">
      <c r="A99" s="3"/>
      <c r="B99" s="18" t="str">
        <f t="shared" si="2"/>
        <v/>
      </c>
      <c r="C99" s="19"/>
      <c r="D99" s="19"/>
      <c r="E99" s="19"/>
      <c r="F99" s="20"/>
      <c r="G99" s="20"/>
      <c r="H99" s="21" t="str">
        <f t="shared" si="3"/>
        <v/>
      </c>
      <c r="I99" s="20"/>
      <c r="J99" s="20"/>
      <c r="K99" s="20"/>
      <c r="L99" s="20"/>
      <c r="M99" s="21" t="str">
        <f t="shared" si="4"/>
        <v/>
      </c>
      <c r="N99" s="20"/>
      <c r="O99" s="20"/>
      <c r="P99" s="20"/>
      <c r="Q99" s="21" t="str">
        <f t="shared" si="5"/>
        <v/>
      </c>
      <c r="R99" s="21" t="str">
        <f t="shared" si="6"/>
        <v/>
      </c>
      <c r="S99" s="22"/>
      <c r="T99" s="22"/>
      <c r="U99" s="23" t="str">
        <f t="shared" si="7"/>
        <v/>
      </c>
      <c r="V99" s="21" t="str">
        <f t="shared" si="8"/>
        <v>#DIV/0!</v>
      </c>
      <c r="W99" s="24" t="str">
        <f t="shared" si="9"/>
        <v>#DIV/0!</v>
      </c>
      <c r="X99" s="24" t="str">
        <f t="shared" si="10"/>
        <v>#DIV/0!</v>
      </c>
      <c r="Y99" s="21" t="str">
        <f>IF(A99="","",SUMIFS('Labor Log'!$I$2:$I$2001,'Labor Log'!$A$2:$A$2001,A99))</f>
        <v/>
      </c>
      <c r="Z99" s="24" t="str">
        <f t="shared" si="11"/>
        <v>#DIV/0!</v>
      </c>
      <c r="AA99" s="21" t="str">
        <f>IF(A99="","",SUMIFS('Inventory &amp; COGS'!$H$2:$H$2001,'Inventory &amp; COGS'!$A$2:$A$2001,A99,'Inventory &amp; COGS'!$B$2:$B$2001,"Food"))</f>
        <v/>
      </c>
      <c r="AB99" s="21" t="str">
        <f>IF(A99="","",SUMIFS('Inventory &amp; COGS'!$H$2:$H$2001,'Inventory &amp; COGS'!$A$2:$A$2001,A99,'Inventory &amp; COGS'!$B$2:$B$2001,"Beverage"))</f>
        <v/>
      </c>
      <c r="AC99" s="21" t="str">
        <f t="shared" si="12"/>
        <v/>
      </c>
      <c r="AD99" s="24" t="str">
        <f t="shared" ref="AD99:AE99" si="114">IF(I99=0,"",AA99/I99)</f>
        <v/>
      </c>
      <c r="AE99" s="24" t="str">
        <f t="shared" si="114"/>
        <v/>
      </c>
      <c r="AF99" s="21" t="str">
        <f t="shared" si="14"/>
        <v/>
      </c>
      <c r="AG99" s="24" t="str">
        <f t="shared" si="15"/>
        <v>#DIV/0!</v>
      </c>
      <c r="AH99" s="25" t="str">
        <f t="shared" si="16"/>
        <v/>
      </c>
      <c r="AI99" s="25" t="str">
        <f t="shared" si="17"/>
        <v/>
      </c>
      <c r="AJ99" s="26" t="str">
        <f t="shared" si="18"/>
        <v/>
      </c>
    </row>
    <row r="100" ht="15.75" customHeight="1">
      <c r="A100" s="3"/>
      <c r="B100" s="18" t="str">
        <f t="shared" si="2"/>
        <v/>
      </c>
      <c r="C100" s="19"/>
      <c r="D100" s="19"/>
      <c r="E100" s="19"/>
      <c r="F100" s="20"/>
      <c r="G100" s="20"/>
      <c r="H100" s="21" t="str">
        <f t="shared" si="3"/>
        <v/>
      </c>
      <c r="I100" s="20"/>
      <c r="J100" s="20"/>
      <c r="K100" s="20"/>
      <c r="L100" s="20"/>
      <c r="M100" s="21" t="str">
        <f t="shared" si="4"/>
        <v/>
      </c>
      <c r="N100" s="20"/>
      <c r="O100" s="20"/>
      <c r="P100" s="20"/>
      <c r="Q100" s="21" t="str">
        <f t="shared" si="5"/>
        <v/>
      </c>
      <c r="R100" s="21" t="str">
        <f t="shared" si="6"/>
        <v/>
      </c>
      <c r="S100" s="22"/>
      <c r="T100" s="22"/>
      <c r="U100" s="23" t="str">
        <f t="shared" si="7"/>
        <v/>
      </c>
      <c r="V100" s="21" t="str">
        <f t="shared" si="8"/>
        <v>#DIV/0!</v>
      </c>
      <c r="W100" s="24" t="str">
        <f t="shared" si="9"/>
        <v>#DIV/0!</v>
      </c>
      <c r="X100" s="24" t="str">
        <f t="shared" si="10"/>
        <v>#DIV/0!</v>
      </c>
      <c r="Y100" s="21" t="str">
        <f>IF(A100="","",SUMIFS('Labor Log'!$I$2:$I$2001,'Labor Log'!$A$2:$A$2001,A100))</f>
        <v/>
      </c>
      <c r="Z100" s="24" t="str">
        <f t="shared" si="11"/>
        <v>#DIV/0!</v>
      </c>
      <c r="AA100" s="21" t="str">
        <f>IF(A100="","",SUMIFS('Inventory &amp; COGS'!$H$2:$H$2001,'Inventory &amp; COGS'!$A$2:$A$2001,A100,'Inventory &amp; COGS'!$B$2:$B$2001,"Food"))</f>
        <v/>
      </c>
      <c r="AB100" s="21" t="str">
        <f>IF(A100="","",SUMIFS('Inventory &amp; COGS'!$H$2:$H$2001,'Inventory &amp; COGS'!$A$2:$A$2001,A100,'Inventory &amp; COGS'!$B$2:$B$2001,"Beverage"))</f>
        <v/>
      </c>
      <c r="AC100" s="21" t="str">
        <f t="shared" si="12"/>
        <v/>
      </c>
      <c r="AD100" s="24" t="str">
        <f t="shared" ref="AD100:AE100" si="115">IF(I100=0,"",AA100/I100)</f>
        <v/>
      </c>
      <c r="AE100" s="24" t="str">
        <f t="shared" si="115"/>
        <v/>
      </c>
      <c r="AF100" s="21" t="str">
        <f t="shared" si="14"/>
        <v/>
      </c>
      <c r="AG100" s="24" t="str">
        <f t="shared" si="15"/>
        <v>#DIV/0!</v>
      </c>
      <c r="AH100" s="25" t="str">
        <f t="shared" si="16"/>
        <v/>
      </c>
      <c r="AI100" s="25" t="str">
        <f t="shared" si="17"/>
        <v/>
      </c>
      <c r="AJ100" s="26" t="str">
        <f t="shared" si="18"/>
        <v/>
      </c>
    </row>
    <row r="101" ht="15.75" customHeight="1">
      <c r="A101" s="3"/>
      <c r="B101" s="18" t="str">
        <f t="shared" si="2"/>
        <v/>
      </c>
      <c r="C101" s="19"/>
      <c r="D101" s="19"/>
      <c r="E101" s="19"/>
      <c r="F101" s="20"/>
      <c r="G101" s="20"/>
      <c r="H101" s="21" t="str">
        <f t="shared" si="3"/>
        <v/>
      </c>
      <c r="I101" s="20"/>
      <c r="J101" s="20"/>
      <c r="K101" s="20"/>
      <c r="L101" s="20"/>
      <c r="M101" s="21" t="str">
        <f t="shared" si="4"/>
        <v/>
      </c>
      <c r="N101" s="20"/>
      <c r="O101" s="20"/>
      <c r="P101" s="20"/>
      <c r="Q101" s="21" t="str">
        <f t="shared" si="5"/>
        <v/>
      </c>
      <c r="R101" s="21" t="str">
        <f t="shared" si="6"/>
        <v/>
      </c>
      <c r="S101" s="22"/>
      <c r="T101" s="22"/>
      <c r="U101" s="23" t="str">
        <f t="shared" si="7"/>
        <v/>
      </c>
      <c r="V101" s="21" t="str">
        <f t="shared" si="8"/>
        <v>#DIV/0!</v>
      </c>
      <c r="W101" s="24" t="str">
        <f t="shared" si="9"/>
        <v>#DIV/0!</v>
      </c>
      <c r="X101" s="24" t="str">
        <f t="shared" si="10"/>
        <v>#DIV/0!</v>
      </c>
      <c r="Y101" s="21" t="str">
        <f>IF(A101="","",SUMIFS('Labor Log'!$I$2:$I$2001,'Labor Log'!$A$2:$A$2001,A101))</f>
        <v/>
      </c>
      <c r="Z101" s="24" t="str">
        <f t="shared" si="11"/>
        <v>#DIV/0!</v>
      </c>
      <c r="AA101" s="21" t="str">
        <f>IF(A101="","",SUMIFS('Inventory &amp; COGS'!$H$2:$H$2001,'Inventory &amp; COGS'!$A$2:$A$2001,A101,'Inventory &amp; COGS'!$B$2:$B$2001,"Food"))</f>
        <v/>
      </c>
      <c r="AB101" s="21" t="str">
        <f>IF(A101="","",SUMIFS('Inventory &amp; COGS'!$H$2:$H$2001,'Inventory &amp; COGS'!$A$2:$A$2001,A101,'Inventory &amp; COGS'!$B$2:$B$2001,"Beverage"))</f>
        <v/>
      </c>
      <c r="AC101" s="21" t="str">
        <f t="shared" si="12"/>
        <v/>
      </c>
      <c r="AD101" s="24" t="str">
        <f t="shared" ref="AD101:AE101" si="116">IF(I101=0,"",AA101/I101)</f>
        <v/>
      </c>
      <c r="AE101" s="24" t="str">
        <f t="shared" si="116"/>
        <v/>
      </c>
      <c r="AF101" s="21" t="str">
        <f t="shared" si="14"/>
        <v/>
      </c>
      <c r="AG101" s="24" t="str">
        <f t="shared" si="15"/>
        <v>#DIV/0!</v>
      </c>
      <c r="AH101" s="25" t="str">
        <f t="shared" si="16"/>
        <v/>
      </c>
      <c r="AI101" s="25" t="str">
        <f t="shared" si="17"/>
        <v/>
      </c>
      <c r="AJ101" s="26" t="str">
        <f t="shared" si="18"/>
        <v/>
      </c>
    </row>
    <row r="102" ht="15.75" customHeight="1">
      <c r="A102" s="3"/>
      <c r="B102" s="18" t="str">
        <f t="shared" si="2"/>
        <v/>
      </c>
      <c r="C102" s="19"/>
      <c r="D102" s="19"/>
      <c r="E102" s="19"/>
      <c r="F102" s="20"/>
      <c r="G102" s="20"/>
      <c r="H102" s="21" t="str">
        <f t="shared" si="3"/>
        <v/>
      </c>
      <c r="I102" s="20"/>
      <c r="J102" s="20"/>
      <c r="K102" s="20"/>
      <c r="L102" s="20"/>
      <c r="M102" s="21" t="str">
        <f t="shared" si="4"/>
        <v/>
      </c>
      <c r="N102" s="20"/>
      <c r="O102" s="20"/>
      <c r="P102" s="20"/>
      <c r="Q102" s="21" t="str">
        <f t="shared" si="5"/>
        <v/>
      </c>
      <c r="R102" s="21" t="str">
        <f t="shared" si="6"/>
        <v/>
      </c>
      <c r="S102" s="22"/>
      <c r="T102" s="22"/>
      <c r="U102" s="23" t="str">
        <f t="shared" si="7"/>
        <v/>
      </c>
      <c r="V102" s="21" t="str">
        <f t="shared" si="8"/>
        <v>#DIV/0!</v>
      </c>
      <c r="W102" s="24" t="str">
        <f t="shared" si="9"/>
        <v>#DIV/0!</v>
      </c>
      <c r="X102" s="24" t="str">
        <f t="shared" si="10"/>
        <v>#DIV/0!</v>
      </c>
      <c r="Y102" s="21" t="str">
        <f>IF(A102="","",SUMIFS('Labor Log'!$I$2:$I$2001,'Labor Log'!$A$2:$A$2001,A102))</f>
        <v/>
      </c>
      <c r="Z102" s="24" t="str">
        <f t="shared" si="11"/>
        <v>#DIV/0!</v>
      </c>
      <c r="AA102" s="21" t="str">
        <f>IF(A102="","",SUMIFS('Inventory &amp; COGS'!$H$2:$H$2001,'Inventory &amp; COGS'!$A$2:$A$2001,A102,'Inventory &amp; COGS'!$B$2:$B$2001,"Food"))</f>
        <v/>
      </c>
      <c r="AB102" s="21" t="str">
        <f>IF(A102="","",SUMIFS('Inventory &amp; COGS'!$H$2:$H$2001,'Inventory &amp; COGS'!$A$2:$A$2001,A102,'Inventory &amp; COGS'!$B$2:$B$2001,"Beverage"))</f>
        <v/>
      </c>
      <c r="AC102" s="21" t="str">
        <f t="shared" si="12"/>
        <v/>
      </c>
      <c r="AD102" s="24" t="str">
        <f t="shared" ref="AD102:AE102" si="117">IF(I102=0,"",AA102/I102)</f>
        <v/>
      </c>
      <c r="AE102" s="24" t="str">
        <f t="shared" si="117"/>
        <v/>
      </c>
      <c r="AF102" s="21" t="str">
        <f t="shared" si="14"/>
        <v/>
      </c>
      <c r="AG102" s="24" t="str">
        <f t="shared" si="15"/>
        <v>#DIV/0!</v>
      </c>
      <c r="AH102" s="25" t="str">
        <f t="shared" si="16"/>
        <v/>
      </c>
      <c r="AI102" s="25" t="str">
        <f t="shared" si="17"/>
        <v/>
      </c>
      <c r="AJ102" s="26" t="str">
        <f t="shared" si="18"/>
        <v/>
      </c>
    </row>
    <row r="103" ht="15.75" customHeight="1">
      <c r="A103" s="3"/>
      <c r="B103" s="18" t="str">
        <f t="shared" si="2"/>
        <v/>
      </c>
      <c r="C103" s="19"/>
      <c r="D103" s="19"/>
      <c r="E103" s="19"/>
      <c r="F103" s="20"/>
      <c r="G103" s="20"/>
      <c r="H103" s="21" t="str">
        <f t="shared" si="3"/>
        <v/>
      </c>
      <c r="I103" s="20"/>
      <c r="J103" s="20"/>
      <c r="K103" s="20"/>
      <c r="L103" s="20"/>
      <c r="M103" s="21" t="str">
        <f t="shared" si="4"/>
        <v/>
      </c>
      <c r="N103" s="20"/>
      <c r="O103" s="20"/>
      <c r="P103" s="20"/>
      <c r="Q103" s="21" t="str">
        <f t="shared" si="5"/>
        <v/>
      </c>
      <c r="R103" s="21" t="str">
        <f t="shared" si="6"/>
        <v/>
      </c>
      <c r="S103" s="22"/>
      <c r="T103" s="22"/>
      <c r="U103" s="23" t="str">
        <f t="shared" si="7"/>
        <v/>
      </c>
      <c r="V103" s="21" t="str">
        <f t="shared" si="8"/>
        <v>#DIV/0!</v>
      </c>
      <c r="W103" s="24" t="str">
        <f t="shared" si="9"/>
        <v>#DIV/0!</v>
      </c>
      <c r="X103" s="24" t="str">
        <f t="shared" si="10"/>
        <v>#DIV/0!</v>
      </c>
      <c r="Y103" s="21" t="str">
        <f>IF(A103="","",SUMIFS('Labor Log'!$I$2:$I$2001,'Labor Log'!$A$2:$A$2001,A103))</f>
        <v/>
      </c>
      <c r="Z103" s="24" t="str">
        <f t="shared" si="11"/>
        <v>#DIV/0!</v>
      </c>
      <c r="AA103" s="21" t="str">
        <f>IF(A103="","",SUMIFS('Inventory &amp; COGS'!$H$2:$H$2001,'Inventory &amp; COGS'!$A$2:$A$2001,A103,'Inventory &amp; COGS'!$B$2:$B$2001,"Food"))</f>
        <v/>
      </c>
      <c r="AB103" s="21" t="str">
        <f>IF(A103="","",SUMIFS('Inventory &amp; COGS'!$H$2:$H$2001,'Inventory &amp; COGS'!$A$2:$A$2001,A103,'Inventory &amp; COGS'!$B$2:$B$2001,"Beverage"))</f>
        <v/>
      </c>
      <c r="AC103" s="21" t="str">
        <f t="shared" si="12"/>
        <v/>
      </c>
      <c r="AD103" s="24" t="str">
        <f t="shared" ref="AD103:AE103" si="118">IF(I103=0,"",AA103/I103)</f>
        <v/>
      </c>
      <c r="AE103" s="24" t="str">
        <f t="shared" si="118"/>
        <v/>
      </c>
      <c r="AF103" s="21" t="str">
        <f t="shared" si="14"/>
        <v/>
      </c>
      <c r="AG103" s="24" t="str">
        <f t="shared" si="15"/>
        <v>#DIV/0!</v>
      </c>
      <c r="AH103" s="25" t="str">
        <f t="shared" si="16"/>
        <v/>
      </c>
      <c r="AI103" s="25" t="str">
        <f t="shared" si="17"/>
        <v/>
      </c>
      <c r="AJ103" s="26" t="str">
        <f t="shared" si="18"/>
        <v/>
      </c>
    </row>
    <row r="104" ht="15.75" customHeight="1">
      <c r="A104" s="3"/>
      <c r="B104" s="18" t="str">
        <f t="shared" si="2"/>
        <v/>
      </c>
      <c r="C104" s="19"/>
      <c r="D104" s="19"/>
      <c r="E104" s="19"/>
      <c r="F104" s="20"/>
      <c r="G104" s="20"/>
      <c r="H104" s="21" t="str">
        <f t="shared" si="3"/>
        <v/>
      </c>
      <c r="I104" s="20"/>
      <c r="J104" s="20"/>
      <c r="K104" s="20"/>
      <c r="L104" s="20"/>
      <c r="M104" s="21" t="str">
        <f t="shared" si="4"/>
        <v/>
      </c>
      <c r="N104" s="20"/>
      <c r="O104" s="20"/>
      <c r="P104" s="20"/>
      <c r="Q104" s="21" t="str">
        <f t="shared" si="5"/>
        <v/>
      </c>
      <c r="R104" s="21" t="str">
        <f t="shared" si="6"/>
        <v/>
      </c>
      <c r="S104" s="22"/>
      <c r="T104" s="22"/>
      <c r="U104" s="23" t="str">
        <f t="shared" si="7"/>
        <v/>
      </c>
      <c r="V104" s="21" t="str">
        <f t="shared" si="8"/>
        <v>#DIV/0!</v>
      </c>
      <c r="W104" s="24" t="str">
        <f t="shared" si="9"/>
        <v>#DIV/0!</v>
      </c>
      <c r="X104" s="24" t="str">
        <f t="shared" si="10"/>
        <v>#DIV/0!</v>
      </c>
      <c r="Y104" s="21" t="str">
        <f>IF(A104="","",SUMIFS('Labor Log'!$I$2:$I$2001,'Labor Log'!$A$2:$A$2001,A104))</f>
        <v/>
      </c>
      <c r="Z104" s="24" t="str">
        <f t="shared" si="11"/>
        <v>#DIV/0!</v>
      </c>
      <c r="AA104" s="21" t="str">
        <f>IF(A104="","",SUMIFS('Inventory &amp; COGS'!$H$2:$H$2001,'Inventory &amp; COGS'!$A$2:$A$2001,A104,'Inventory &amp; COGS'!$B$2:$B$2001,"Food"))</f>
        <v/>
      </c>
      <c r="AB104" s="21" t="str">
        <f>IF(A104="","",SUMIFS('Inventory &amp; COGS'!$H$2:$H$2001,'Inventory &amp; COGS'!$A$2:$A$2001,A104,'Inventory &amp; COGS'!$B$2:$B$2001,"Beverage"))</f>
        <v/>
      </c>
      <c r="AC104" s="21" t="str">
        <f t="shared" si="12"/>
        <v/>
      </c>
      <c r="AD104" s="24" t="str">
        <f t="shared" ref="AD104:AE104" si="119">IF(I104=0,"",AA104/I104)</f>
        <v/>
      </c>
      <c r="AE104" s="24" t="str">
        <f t="shared" si="119"/>
        <v/>
      </c>
      <c r="AF104" s="21" t="str">
        <f t="shared" si="14"/>
        <v/>
      </c>
      <c r="AG104" s="24" t="str">
        <f t="shared" si="15"/>
        <v>#DIV/0!</v>
      </c>
      <c r="AH104" s="25" t="str">
        <f t="shared" si="16"/>
        <v/>
      </c>
      <c r="AI104" s="25" t="str">
        <f t="shared" si="17"/>
        <v/>
      </c>
      <c r="AJ104" s="26" t="str">
        <f t="shared" si="18"/>
        <v/>
      </c>
    </row>
    <row r="105" ht="15.75" customHeight="1">
      <c r="A105" s="3"/>
      <c r="B105" s="18" t="str">
        <f t="shared" si="2"/>
        <v/>
      </c>
      <c r="C105" s="19"/>
      <c r="D105" s="19"/>
      <c r="E105" s="19"/>
      <c r="F105" s="20"/>
      <c r="G105" s="20"/>
      <c r="H105" s="21" t="str">
        <f t="shared" si="3"/>
        <v/>
      </c>
      <c r="I105" s="20"/>
      <c r="J105" s="20"/>
      <c r="K105" s="20"/>
      <c r="L105" s="20"/>
      <c r="M105" s="21" t="str">
        <f t="shared" si="4"/>
        <v/>
      </c>
      <c r="N105" s="20"/>
      <c r="O105" s="20"/>
      <c r="P105" s="20"/>
      <c r="Q105" s="21" t="str">
        <f t="shared" si="5"/>
        <v/>
      </c>
      <c r="R105" s="21" t="str">
        <f t="shared" si="6"/>
        <v/>
      </c>
      <c r="S105" s="22"/>
      <c r="T105" s="22"/>
      <c r="U105" s="23" t="str">
        <f t="shared" si="7"/>
        <v/>
      </c>
      <c r="V105" s="21" t="str">
        <f t="shared" si="8"/>
        <v>#DIV/0!</v>
      </c>
      <c r="W105" s="24" t="str">
        <f t="shared" si="9"/>
        <v>#DIV/0!</v>
      </c>
      <c r="X105" s="24" t="str">
        <f t="shared" si="10"/>
        <v>#DIV/0!</v>
      </c>
      <c r="Y105" s="21" t="str">
        <f>IF(A105="","",SUMIFS('Labor Log'!$I$2:$I$2001,'Labor Log'!$A$2:$A$2001,A105))</f>
        <v/>
      </c>
      <c r="Z105" s="24" t="str">
        <f t="shared" si="11"/>
        <v>#DIV/0!</v>
      </c>
      <c r="AA105" s="21" t="str">
        <f>IF(A105="","",SUMIFS('Inventory &amp; COGS'!$H$2:$H$2001,'Inventory &amp; COGS'!$A$2:$A$2001,A105,'Inventory &amp; COGS'!$B$2:$B$2001,"Food"))</f>
        <v/>
      </c>
      <c r="AB105" s="21" t="str">
        <f>IF(A105="","",SUMIFS('Inventory &amp; COGS'!$H$2:$H$2001,'Inventory &amp; COGS'!$A$2:$A$2001,A105,'Inventory &amp; COGS'!$B$2:$B$2001,"Beverage"))</f>
        <v/>
      </c>
      <c r="AC105" s="21" t="str">
        <f t="shared" si="12"/>
        <v/>
      </c>
      <c r="AD105" s="24" t="str">
        <f t="shared" ref="AD105:AE105" si="120">IF(I105=0,"",AA105/I105)</f>
        <v/>
      </c>
      <c r="AE105" s="24" t="str">
        <f t="shared" si="120"/>
        <v/>
      </c>
      <c r="AF105" s="21" t="str">
        <f t="shared" si="14"/>
        <v/>
      </c>
      <c r="AG105" s="24" t="str">
        <f t="shared" si="15"/>
        <v>#DIV/0!</v>
      </c>
      <c r="AH105" s="25" t="str">
        <f t="shared" si="16"/>
        <v/>
      </c>
      <c r="AI105" s="25" t="str">
        <f t="shared" si="17"/>
        <v/>
      </c>
      <c r="AJ105" s="26" t="str">
        <f t="shared" si="18"/>
        <v/>
      </c>
    </row>
    <row r="106" ht="15.75" customHeight="1">
      <c r="A106" s="3"/>
      <c r="B106" s="18" t="str">
        <f t="shared" si="2"/>
        <v/>
      </c>
      <c r="C106" s="19"/>
      <c r="D106" s="19"/>
      <c r="E106" s="19"/>
      <c r="F106" s="20"/>
      <c r="G106" s="20"/>
      <c r="H106" s="21" t="str">
        <f t="shared" si="3"/>
        <v/>
      </c>
      <c r="I106" s="20"/>
      <c r="J106" s="20"/>
      <c r="K106" s="20"/>
      <c r="L106" s="20"/>
      <c r="M106" s="21" t="str">
        <f t="shared" si="4"/>
        <v/>
      </c>
      <c r="N106" s="20"/>
      <c r="O106" s="20"/>
      <c r="P106" s="20"/>
      <c r="Q106" s="21" t="str">
        <f t="shared" si="5"/>
        <v/>
      </c>
      <c r="R106" s="21" t="str">
        <f t="shared" si="6"/>
        <v/>
      </c>
      <c r="S106" s="22"/>
      <c r="T106" s="22"/>
      <c r="U106" s="23" t="str">
        <f t="shared" si="7"/>
        <v/>
      </c>
      <c r="V106" s="21" t="str">
        <f t="shared" si="8"/>
        <v>#DIV/0!</v>
      </c>
      <c r="W106" s="24" t="str">
        <f t="shared" si="9"/>
        <v>#DIV/0!</v>
      </c>
      <c r="X106" s="24" t="str">
        <f t="shared" si="10"/>
        <v>#DIV/0!</v>
      </c>
      <c r="Y106" s="21" t="str">
        <f>IF(A106="","",SUMIFS('Labor Log'!$I$2:$I$2001,'Labor Log'!$A$2:$A$2001,A106))</f>
        <v/>
      </c>
      <c r="Z106" s="24" t="str">
        <f t="shared" si="11"/>
        <v>#DIV/0!</v>
      </c>
      <c r="AA106" s="21" t="str">
        <f>IF(A106="","",SUMIFS('Inventory &amp; COGS'!$H$2:$H$2001,'Inventory &amp; COGS'!$A$2:$A$2001,A106,'Inventory &amp; COGS'!$B$2:$B$2001,"Food"))</f>
        <v/>
      </c>
      <c r="AB106" s="21" t="str">
        <f>IF(A106="","",SUMIFS('Inventory &amp; COGS'!$H$2:$H$2001,'Inventory &amp; COGS'!$A$2:$A$2001,A106,'Inventory &amp; COGS'!$B$2:$B$2001,"Beverage"))</f>
        <v/>
      </c>
      <c r="AC106" s="21" t="str">
        <f t="shared" si="12"/>
        <v/>
      </c>
      <c r="AD106" s="24" t="str">
        <f t="shared" ref="AD106:AE106" si="121">IF(I106=0,"",AA106/I106)</f>
        <v/>
      </c>
      <c r="AE106" s="24" t="str">
        <f t="shared" si="121"/>
        <v/>
      </c>
      <c r="AF106" s="21" t="str">
        <f t="shared" si="14"/>
        <v/>
      </c>
      <c r="AG106" s="24" t="str">
        <f t="shared" si="15"/>
        <v>#DIV/0!</v>
      </c>
      <c r="AH106" s="25" t="str">
        <f t="shared" si="16"/>
        <v/>
      </c>
      <c r="AI106" s="25" t="str">
        <f t="shared" si="17"/>
        <v/>
      </c>
      <c r="AJ106" s="26" t="str">
        <f t="shared" si="18"/>
        <v/>
      </c>
    </row>
    <row r="107" ht="15.75" customHeight="1">
      <c r="A107" s="3"/>
      <c r="B107" s="18" t="str">
        <f t="shared" si="2"/>
        <v/>
      </c>
      <c r="C107" s="19"/>
      <c r="D107" s="19"/>
      <c r="E107" s="19"/>
      <c r="F107" s="20"/>
      <c r="G107" s="20"/>
      <c r="H107" s="21" t="str">
        <f t="shared" si="3"/>
        <v/>
      </c>
      <c r="I107" s="20"/>
      <c r="J107" s="20"/>
      <c r="K107" s="20"/>
      <c r="L107" s="20"/>
      <c r="M107" s="21" t="str">
        <f t="shared" si="4"/>
        <v/>
      </c>
      <c r="N107" s="20"/>
      <c r="O107" s="20"/>
      <c r="P107" s="20"/>
      <c r="Q107" s="21" t="str">
        <f t="shared" si="5"/>
        <v/>
      </c>
      <c r="R107" s="21" t="str">
        <f t="shared" si="6"/>
        <v/>
      </c>
      <c r="S107" s="22"/>
      <c r="T107" s="22"/>
      <c r="U107" s="23" t="str">
        <f t="shared" si="7"/>
        <v/>
      </c>
      <c r="V107" s="21" t="str">
        <f t="shared" si="8"/>
        <v>#DIV/0!</v>
      </c>
      <c r="W107" s="24" t="str">
        <f t="shared" si="9"/>
        <v>#DIV/0!</v>
      </c>
      <c r="X107" s="24" t="str">
        <f t="shared" si="10"/>
        <v>#DIV/0!</v>
      </c>
      <c r="Y107" s="21" t="str">
        <f>IF(A107="","",SUMIFS('Labor Log'!$I$2:$I$2001,'Labor Log'!$A$2:$A$2001,A107))</f>
        <v/>
      </c>
      <c r="Z107" s="24" t="str">
        <f t="shared" si="11"/>
        <v>#DIV/0!</v>
      </c>
      <c r="AA107" s="21" t="str">
        <f>IF(A107="","",SUMIFS('Inventory &amp; COGS'!$H$2:$H$2001,'Inventory &amp; COGS'!$A$2:$A$2001,A107,'Inventory &amp; COGS'!$B$2:$B$2001,"Food"))</f>
        <v/>
      </c>
      <c r="AB107" s="21" t="str">
        <f>IF(A107="","",SUMIFS('Inventory &amp; COGS'!$H$2:$H$2001,'Inventory &amp; COGS'!$A$2:$A$2001,A107,'Inventory &amp; COGS'!$B$2:$B$2001,"Beverage"))</f>
        <v/>
      </c>
      <c r="AC107" s="21" t="str">
        <f t="shared" si="12"/>
        <v/>
      </c>
      <c r="AD107" s="24" t="str">
        <f t="shared" ref="AD107:AE107" si="122">IF(I107=0,"",AA107/I107)</f>
        <v/>
      </c>
      <c r="AE107" s="24" t="str">
        <f t="shared" si="122"/>
        <v/>
      </c>
      <c r="AF107" s="21" t="str">
        <f t="shared" si="14"/>
        <v/>
      </c>
      <c r="AG107" s="24" t="str">
        <f t="shared" si="15"/>
        <v>#DIV/0!</v>
      </c>
      <c r="AH107" s="25" t="str">
        <f t="shared" si="16"/>
        <v/>
      </c>
      <c r="AI107" s="25" t="str">
        <f t="shared" si="17"/>
        <v/>
      </c>
      <c r="AJ107" s="26" t="str">
        <f t="shared" si="18"/>
        <v/>
      </c>
    </row>
    <row r="108" ht="15.75" customHeight="1">
      <c r="A108" s="3"/>
      <c r="B108" s="18" t="str">
        <f t="shared" si="2"/>
        <v/>
      </c>
      <c r="C108" s="19"/>
      <c r="D108" s="19"/>
      <c r="E108" s="19"/>
      <c r="F108" s="20"/>
      <c r="G108" s="20"/>
      <c r="H108" s="21" t="str">
        <f t="shared" si="3"/>
        <v/>
      </c>
      <c r="I108" s="20"/>
      <c r="J108" s="20"/>
      <c r="K108" s="20"/>
      <c r="L108" s="20"/>
      <c r="M108" s="21" t="str">
        <f t="shared" si="4"/>
        <v/>
      </c>
      <c r="N108" s="20"/>
      <c r="O108" s="20"/>
      <c r="P108" s="20"/>
      <c r="Q108" s="21" t="str">
        <f t="shared" si="5"/>
        <v/>
      </c>
      <c r="R108" s="21" t="str">
        <f t="shared" si="6"/>
        <v/>
      </c>
      <c r="S108" s="22"/>
      <c r="T108" s="22"/>
      <c r="U108" s="23" t="str">
        <f t="shared" si="7"/>
        <v/>
      </c>
      <c r="V108" s="21" t="str">
        <f t="shared" si="8"/>
        <v>#DIV/0!</v>
      </c>
      <c r="W108" s="24" t="str">
        <f t="shared" si="9"/>
        <v>#DIV/0!</v>
      </c>
      <c r="X108" s="24" t="str">
        <f t="shared" si="10"/>
        <v>#DIV/0!</v>
      </c>
      <c r="Y108" s="21" t="str">
        <f>IF(A108="","",SUMIFS('Labor Log'!$I$2:$I$2001,'Labor Log'!$A$2:$A$2001,A108))</f>
        <v/>
      </c>
      <c r="Z108" s="24" t="str">
        <f t="shared" si="11"/>
        <v>#DIV/0!</v>
      </c>
      <c r="AA108" s="21" t="str">
        <f>IF(A108="","",SUMIFS('Inventory &amp; COGS'!$H$2:$H$2001,'Inventory &amp; COGS'!$A$2:$A$2001,A108,'Inventory &amp; COGS'!$B$2:$B$2001,"Food"))</f>
        <v/>
      </c>
      <c r="AB108" s="21" t="str">
        <f>IF(A108="","",SUMIFS('Inventory &amp; COGS'!$H$2:$H$2001,'Inventory &amp; COGS'!$A$2:$A$2001,A108,'Inventory &amp; COGS'!$B$2:$B$2001,"Beverage"))</f>
        <v/>
      </c>
      <c r="AC108" s="21" t="str">
        <f t="shared" si="12"/>
        <v/>
      </c>
      <c r="AD108" s="24" t="str">
        <f t="shared" ref="AD108:AE108" si="123">IF(I108=0,"",AA108/I108)</f>
        <v/>
      </c>
      <c r="AE108" s="24" t="str">
        <f t="shared" si="123"/>
        <v/>
      </c>
      <c r="AF108" s="21" t="str">
        <f t="shared" si="14"/>
        <v/>
      </c>
      <c r="AG108" s="24" t="str">
        <f t="shared" si="15"/>
        <v>#DIV/0!</v>
      </c>
      <c r="AH108" s="25" t="str">
        <f t="shared" si="16"/>
        <v/>
      </c>
      <c r="AI108" s="25" t="str">
        <f t="shared" si="17"/>
        <v/>
      </c>
      <c r="AJ108" s="26" t="str">
        <f t="shared" si="18"/>
        <v/>
      </c>
    </row>
    <row r="109" ht="15.75" customHeight="1">
      <c r="A109" s="3"/>
      <c r="B109" s="18" t="str">
        <f t="shared" si="2"/>
        <v/>
      </c>
      <c r="C109" s="19"/>
      <c r="D109" s="19"/>
      <c r="E109" s="19"/>
      <c r="F109" s="20"/>
      <c r="G109" s="20"/>
      <c r="H109" s="21" t="str">
        <f t="shared" si="3"/>
        <v/>
      </c>
      <c r="I109" s="20"/>
      <c r="J109" s="20"/>
      <c r="K109" s="20"/>
      <c r="L109" s="20"/>
      <c r="M109" s="21" t="str">
        <f t="shared" si="4"/>
        <v/>
      </c>
      <c r="N109" s="20"/>
      <c r="O109" s="20"/>
      <c r="P109" s="20"/>
      <c r="Q109" s="21" t="str">
        <f t="shared" si="5"/>
        <v/>
      </c>
      <c r="R109" s="21" t="str">
        <f t="shared" si="6"/>
        <v/>
      </c>
      <c r="S109" s="22"/>
      <c r="T109" s="22"/>
      <c r="U109" s="23" t="str">
        <f t="shared" si="7"/>
        <v/>
      </c>
      <c r="V109" s="21" t="str">
        <f t="shared" si="8"/>
        <v>#DIV/0!</v>
      </c>
      <c r="W109" s="24" t="str">
        <f t="shared" si="9"/>
        <v>#DIV/0!</v>
      </c>
      <c r="X109" s="24" t="str">
        <f t="shared" si="10"/>
        <v>#DIV/0!</v>
      </c>
      <c r="Y109" s="21" t="str">
        <f>IF(A109="","",SUMIFS('Labor Log'!$I$2:$I$2001,'Labor Log'!$A$2:$A$2001,A109))</f>
        <v/>
      </c>
      <c r="Z109" s="24" t="str">
        <f t="shared" si="11"/>
        <v>#DIV/0!</v>
      </c>
      <c r="AA109" s="21" t="str">
        <f>IF(A109="","",SUMIFS('Inventory &amp; COGS'!$H$2:$H$2001,'Inventory &amp; COGS'!$A$2:$A$2001,A109,'Inventory &amp; COGS'!$B$2:$B$2001,"Food"))</f>
        <v/>
      </c>
      <c r="AB109" s="21" t="str">
        <f>IF(A109="","",SUMIFS('Inventory &amp; COGS'!$H$2:$H$2001,'Inventory &amp; COGS'!$A$2:$A$2001,A109,'Inventory &amp; COGS'!$B$2:$B$2001,"Beverage"))</f>
        <v/>
      </c>
      <c r="AC109" s="21" t="str">
        <f t="shared" si="12"/>
        <v/>
      </c>
      <c r="AD109" s="24" t="str">
        <f t="shared" ref="AD109:AE109" si="124">IF(I109=0,"",AA109/I109)</f>
        <v/>
      </c>
      <c r="AE109" s="24" t="str">
        <f t="shared" si="124"/>
        <v/>
      </c>
      <c r="AF109" s="21" t="str">
        <f t="shared" si="14"/>
        <v/>
      </c>
      <c r="AG109" s="24" t="str">
        <f t="shared" si="15"/>
        <v>#DIV/0!</v>
      </c>
      <c r="AH109" s="25" t="str">
        <f t="shared" si="16"/>
        <v/>
      </c>
      <c r="AI109" s="25" t="str">
        <f t="shared" si="17"/>
        <v/>
      </c>
      <c r="AJ109" s="26" t="str">
        <f t="shared" si="18"/>
        <v/>
      </c>
    </row>
    <row r="110" ht="15.75" customHeight="1">
      <c r="A110" s="3"/>
      <c r="B110" s="18" t="str">
        <f t="shared" si="2"/>
        <v/>
      </c>
      <c r="C110" s="19"/>
      <c r="D110" s="19"/>
      <c r="E110" s="19"/>
      <c r="F110" s="20"/>
      <c r="G110" s="20"/>
      <c r="H110" s="21" t="str">
        <f t="shared" si="3"/>
        <v/>
      </c>
      <c r="I110" s="20"/>
      <c r="J110" s="20"/>
      <c r="K110" s="20"/>
      <c r="L110" s="20"/>
      <c r="M110" s="21" t="str">
        <f t="shared" si="4"/>
        <v/>
      </c>
      <c r="N110" s="20"/>
      <c r="O110" s="20"/>
      <c r="P110" s="20"/>
      <c r="Q110" s="21" t="str">
        <f t="shared" si="5"/>
        <v/>
      </c>
      <c r="R110" s="21" t="str">
        <f t="shared" si="6"/>
        <v/>
      </c>
      <c r="S110" s="22"/>
      <c r="T110" s="22"/>
      <c r="U110" s="23" t="str">
        <f t="shared" si="7"/>
        <v/>
      </c>
      <c r="V110" s="21" t="str">
        <f t="shared" si="8"/>
        <v>#DIV/0!</v>
      </c>
      <c r="W110" s="24" t="str">
        <f t="shared" si="9"/>
        <v>#DIV/0!</v>
      </c>
      <c r="X110" s="24" t="str">
        <f t="shared" si="10"/>
        <v>#DIV/0!</v>
      </c>
      <c r="Y110" s="21" t="str">
        <f>IF(A110="","",SUMIFS('Labor Log'!$I$2:$I$2001,'Labor Log'!$A$2:$A$2001,A110))</f>
        <v/>
      </c>
      <c r="Z110" s="24" t="str">
        <f t="shared" si="11"/>
        <v>#DIV/0!</v>
      </c>
      <c r="AA110" s="21" t="str">
        <f>IF(A110="","",SUMIFS('Inventory &amp; COGS'!$H$2:$H$2001,'Inventory &amp; COGS'!$A$2:$A$2001,A110,'Inventory &amp; COGS'!$B$2:$B$2001,"Food"))</f>
        <v/>
      </c>
      <c r="AB110" s="21" t="str">
        <f>IF(A110="","",SUMIFS('Inventory &amp; COGS'!$H$2:$H$2001,'Inventory &amp; COGS'!$A$2:$A$2001,A110,'Inventory &amp; COGS'!$B$2:$B$2001,"Beverage"))</f>
        <v/>
      </c>
      <c r="AC110" s="21" t="str">
        <f t="shared" si="12"/>
        <v/>
      </c>
      <c r="AD110" s="24" t="str">
        <f t="shared" ref="AD110:AE110" si="125">IF(I110=0,"",AA110/I110)</f>
        <v/>
      </c>
      <c r="AE110" s="24" t="str">
        <f t="shared" si="125"/>
        <v/>
      </c>
      <c r="AF110" s="21" t="str">
        <f t="shared" si="14"/>
        <v/>
      </c>
      <c r="AG110" s="24" t="str">
        <f t="shared" si="15"/>
        <v>#DIV/0!</v>
      </c>
      <c r="AH110" s="25" t="str">
        <f t="shared" si="16"/>
        <v/>
      </c>
      <c r="AI110" s="25" t="str">
        <f t="shared" si="17"/>
        <v/>
      </c>
      <c r="AJ110" s="26" t="str">
        <f t="shared" si="18"/>
        <v/>
      </c>
    </row>
    <row r="111" ht="15.75" customHeight="1">
      <c r="A111" s="3"/>
      <c r="B111" s="18" t="str">
        <f t="shared" si="2"/>
        <v/>
      </c>
      <c r="C111" s="19"/>
      <c r="D111" s="19"/>
      <c r="E111" s="19"/>
      <c r="F111" s="20"/>
      <c r="G111" s="20"/>
      <c r="H111" s="21" t="str">
        <f t="shared" si="3"/>
        <v/>
      </c>
      <c r="I111" s="20"/>
      <c r="J111" s="20"/>
      <c r="K111" s="20"/>
      <c r="L111" s="20"/>
      <c r="M111" s="21" t="str">
        <f t="shared" si="4"/>
        <v/>
      </c>
      <c r="N111" s="20"/>
      <c r="O111" s="20"/>
      <c r="P111" s="20"/>
      <c r="Q111" s="21" t="str">
        <f t="shared" si="5"/>
        <v/>
      </c>
      <c r="R111" s="21" t="str">
        <f t="shared" si="6"/>
        <v/>
      </c>
      <c r="S111" s="22"/>
      <c r="T111" s="22"/>
      <c r="U111" s="23" t="str">
        <f t="shared" si="7"/>
        <v/>
      </c>
      <c r="V111" s="21" t="str">
        <f t="shared" si="8"/>
        <v>#DIV/0!</v>
      </c>
      <c r="W111" s="24" t="str">
        <f t="shared" si="9"/>
        <v>#DIV/0!</v>
      </c>
      <c r="X111" s="24" t="str">
        <f t="shared" si="10"/>
        <v>#DIV/0!</v>
      </c>
      <c r="Y111" s="21" t="str">
        <f>IF(A111="","",SUMIFS('Labor Log'!$I$2:$I$2001,'Labor Log'!$A$2:$A$2001,A111))</f>
        <v/>
      </c>
      <c r="Z111" s="24" t="str">
        <f t="shared" si="11"/>
        <v>#DIV/0!</v>
      </c>
      <c r="AA111" s="21" t="str">
        <f>IF(A111="","",SUMIFS('Inventory &amp; COGS'!$H$2:$H$2001,'Inventory &amp; COGS'!$A$2:$A$2001,A111,'Inventory &amp; COGS'!$B$2:$B$2001,"Food"))</f>
        <v/>
      </c>
      <c r="AB111" s="21" t="str">
        <f>IF(A111="","",SUMIFS('Inventory &amp; COGS'!$H$2:$H$2001,'Inventory &amp; COGS'!$A$2:$A$2001,A111,'Inventory &amp; COGS'!$B$2:$B$2001,"Beverage"))</f>
        <v/>
      </c>
      <c r="AC111" s="21" t="str">
        <f t="shared" si="12"/>
        <v/>
      </c>
      <c r="AD111" s="24" t="str">
        <f t="shared" ref="AD111:AE111" si="126">IF(I111=0,"",AA111/I111)</f>
        <v/>
      </c>
      <c r="AE111" s="24" t="str">
        <f t="shared" si="126"/>
        <v/>
      </c>
      <c r="AF111" s="21" t="str">
        <f t="shared" si="14"/>
        <v/>
      </c>
      <c r="AG111" s="24" t="str">
        <f t="shared" si="15"/>
        <v>#DIV/0!</v>
      </c>
      <c r="AH111" s="25" t="str">
        <f t="shared" si="16"/>
        <v/>
      </c>
      <c r="AI111" s="25" t="str">
        <f t="shared" si="17"/>
        <v/>
      </c>
      <c r="AJ111" s="26" t="str">
        <f t="shared" si="18"/>
        <v/>
      </c>
    </row>
    <row r="112" ht="15.75" customHeight="1">
      <c r="A112" s="3"/>
      <c r="B112" s="18" t="str">
        <f t="shared" si="2"/>
        <v/>
      </c>
      <c r="C112" s="19"/>
      <c r="D112" s="19"/>
      <c r="E112" s="19"/>
      <c r="F112" s="20"/>
      <c r="G112" s="20"/>
      <c r="H112" s="21" t="str">
        <f t="shared" si="3"/>
        <v/>
      </c>
      <c r="I112" s="20"/>
      <c r="J112" s="20"/>
      <c r="K112" s="20"/>
      <c r="L112" s="20"/>
      <c r="M112" s="21" t="str">
        <f t="shared" si="4"/>
        <v/>
      </c>
      <c r="N112" s="20"/>
      <c r="O112" s="20"/>
      <c r="P112" s="20"/>
      <c r="Q112" s="21" t="str">
        <f t="shared" si="5"/>
        <v/>
      </c>
      <c r="R112" s="21" t="str">
        <f t="shared" si="6"/>
        <v/>
      </c>
      <c r="S112" s="22"/>
      <c r="T112" s="22"/>
      <c r="U112" s="23" t="str">
        <f t="shared" si="7"/>
        <v/>
      </c>
      <c r="V112" s="21" t="str">
        <f t="shared" si="8"/>
        <v>#DIV/0!</v>
      </c>
      <c r="W112" s="24" t="str">
        <f t="shared" si="9"/>
        <v>#DIV/0!</v>
      </c>
      <c r="X112" s="24" t="str">
        <f t="shared" si="10"/>
        <v>#DIV/0!</v>
      </c>
      <c r="Y112" s="21" t="str">
        <f>IF(A112="","",SUMIFS('Labor Log'!$I$2:$I$2001,'Labor Log'!$A$2:$A$2001,A112))</f>
        <v/>
      </c>
      <c r="Z112" s="24" t="str">
        <f t="shared" si="11"/>
        <v>#DIV/0!</v>
      </c>
      <c r="AA112" s="21" t="str">
        <f>IF(A112="","",SUMIFS('Inventory &amp; COGS'!$H$2:$H$2001,'Inventory &amp; COGS'!$A$2:$A$2001,A112,'Inventory &amp; COGS'!$B$2:$B$2001,"Food"))</f>
        <v/>
      </c>
      <c r="AB112" s="21" t="str">
        <f>IF(A112="","",SUMIFS('Inventory &amp; COGS'!$H$2:$H$2001,'Inventory &amp; COGS'!$A$2:$A$2001,A112,'Inventory &amp; COGS'!$B$2:$B$2001,"Beverage"))</f>
        <v/>
      </c>
      <c r="AC112" s="21" t="str">
        <f t="shared" si="12"/>
        <v/>
      </c>
      <c r="AD112" s="24" t="str">
        <f t="shared" ref="AD112:AE112" si="127">IF(I112=0,"",AA112/I112)</f>
        <v/>
      </c>
      <c r="AE112" s="24" t="str">
        <f t="shared" si="127"/>
        <v/>
      </c>
      <c r="AF112" s="21" t="str">
        <f t="shared" si="14"/>
        <v/>
      </c>
      <c r="AG112" s="24" t="str">
        <f t="shared" si="15"/>
        <v>#DIV/0!</v>
      </c>
      <c r="AH112" s="25" t="str">
        <f t="shared" si="16"/>
        <v/>
      </c>
      <c r="AI112" s="25" t="str">
        <f t="shared" si="17"/>
        <v/>
      </c>
      <c r="AJ112" s="26" t="str">
        <f t="shared" si="18"/>
        <v/>
      </c>
    </row>
    <row r="113" ht="15.75" customHeight="1">
      <c r="A113" s="3"/>
      <c r="B113" s="18" t="str">
        <f t="shared" si="2"/>
        <v/>
      </c>
      <c r="C113" s="19"/>
      <c r="D113" s="19"/>
      <c r="E113" s="19"/>
      <c r="F113" s="20"/>
      <c r="G113" s="20"/>
      <c r="H113" s="21" t="str">
        <f t="shared" si="3"/>
        <v/>
      </c>
      <c r="I113" s="20"/>
      <c r="J113" s="20"/>
      <c r="K113" s="20"/>
      <c r="L113" s="20"/>
      <c r="M113" s="21" t="str">
        <f t="shared" si="4"/>
        <v/>
      </c>
      <c r="N113" s="20"/>
      <c r="O113" s="20"/>
      <c r="P113" s="20"/>
      <c r="Q113" s="21" t="str">
        <f t="shared" si="5"/>
        <v/>
      </c>
      <c r="R113" s="21" t="str">
        <f t="shared" si="6"/>
        <v/>
      </c>
      <c r="S113" s="22"/>
      <c r="T113" s="22"/>
      <c r="U113" s="23" t="str">
        <f t="shared" si="7"/>
        <v/>
      </c>
      <c r="V113" s="21" t="str">
        <f t="shared" si="8"/>
        <v>#DIV/0!</v>
      </c>
      <c r="W113" s="24" t="str">
        <f t="shared" si="9"/>
        <v>#DIV/0!</v>
      </c>
      <c r="X113" s="24" t="str">
        <f t="shared" si="10"/>
        <v>#DIV/0!</v>
      </c>
      <c r="Y113" s="21" t="str">
        <f>IF(A113="","",SUMIFS('Labor Log'!$I$2:$I$2001,'Labor Log'!$A$2:$A$2001,A113))</f>
        <v/>
      </c>
      <c r="Z113" s="24" t="str">
        <f t="shared" si="11"/>
        <v>#DIV/0!</v>
      </c>
      <c r="AA113" s="21" t="str">
        <f>IF(A113="","",SUMIFS('Inventory &amp; COGS'!$H$2:$H$2001,'Inventory &amp; COGS'!$A$2:$A$2001,A113,'Inventory &amp; COGS'!$B$2:$B$2001,"Food"))</f>
        <v/>
      </c>
      <c r="AB113" s="21" t="str">
        <f>IF(A113="","",SUMIFS('Inventory &amp; COGS'!$H$2:$H$2001,'Inventory &amp; COGS'!$A$2:$A$2001,A113,'Inventory &amp; COGS'!$B$2:$B$2001,"Beverage"))</f>
        <v/>
      </c>
      <c r="AC113" s="21" t="str">
        <f t="shared" si="12"/>
        <v/>
      </c>
      <c r="AD113" s="24" t="str">
        <f t="shared" ref="AD113:AE113" si="128">IF(I113=0,"",AA113/I113)</f>
        <v/>
      </c>
      <c r="AE113" s="24" t="str">
        <f t="shared" si="128"/>
        <v/>
      </c>
      <c r="AF113" s="21" t="str">
        <f t="shared" si="14"/>
        <v/>
      </c>
      <c r="AG113" s="24" t="str">
        <f t="shared" si="15"/>
        <v>#DIV/0!</v>
      </c>
      <c r="AH113" s="25" t="str">
        <f t="shared" si="16"/>
        <v/>
      </c>
      <c r="AI113" s="25" t="str">
        <f t="shared" si="17"/>
        <v/>
      </c>
      <c r="AJ113" s="26" t="str">
        <f t="shared" si="18"/>
        <v/>
      </c>
    </row>
    <row r="114" ht="15.75" customHeight="1">
      <c r="A114" s="3"/>
      <c r="B114" s="18" t="str">
        <f t="shared" si="2"/>
        <v/>
      </c>
      <c r="C114" s="19"/>
      <c r="D114" s="19"/>
      <c r="E114" s="19"/>
      <c r="F114" s="20"/>
      <c r="G114" s="20"/>
      <c r="H114" s="21" t="str">
        <f t="shared" si="3"/>
        <v/>
      </c>
      <c r="I114" s="20"/>
      <c r="J114" s="20"/>
      <c r="K114" s="20"/>
      <c r="L114" s="20"/>
      <c r="M114" s="21" t="str">
        <f t="shared" si="4"/>
        <v/>
      </c>
      <c r="N114" s="20"/>
      <c r="O114" s="20"/>
      <c r="P114" s="20"/>
      <c r="Q114" s="21" t="str">
        <f t="shared" si="5"/>
        <v/>
      </c>
      <c r="R114" s="21" t="str">
        <f t="shared" si="6"/>
        <v/>
      </c>
      <c r="S114" s="22"/>
      <c r="T114" s="22"/>
      <c r="U114" s="23" t="str">
        <f t="shared" si="7"/>
        <v/>
      </c>
      <c r="V114" s="21" t="str">
        <f t="shared" si="8"/>
        <v>#DIV/0!</v>
      </c>
      <c r="W114" s="24" t="str">
        <f t="shared" si="9"/>
        <v>#DIV/0!</v>
      </c>
      <c r="X114" s="24" t="str">
        <f t="shared" si="10"/>
        <v>#DIV/0!</v>
      </c>
      <c r="Y114" s="21" t="str">
        <f>IF(A114="","",SUMIFS('Labor Log'!$I$2:$I$2001,'Labor Log'!$A$2:$A$2001,A114))</f>
        <v/>
      </c>
      <c r="Z114" s="24" t="str">
        <f t="shared" si="11"/>
        <v>#DIV/0!</v>
      </c>
      <c r="AA114" s="21" t="str">
        <f>IF(A114="","",SUMIFS('Inventory &amp; COGS'!$H$2:$H$2001,'Inventory &amp; COGS'!$A$2:$A$2001,A114,'Inventory &amp; COGS'!$B$2:$B$2001,"Food"))</f>
        <v/>
      </c>
      <c r="AB114" s="21" t="str">
        <f>IF(A114="","",SUMIFS('Inventory &amp; COGS'!$H$2:$H$2001,'Inventory &amp; COGS'!$A$2:$A$2001,A114,'Inventory &amp; COGS'!$B$2:$B$2001,"Beverage"))</f>
        <v/>
      </c>
      <c r="AC114" s="21" t="str">
        <f t="shared" si="12"/>
        <v/>
      </c>
      <c r="AD114" s="24" t="str">
        <f t="shared" ref="AD114:AE114" si="129">IF(I114=0,"",AA114/I114)</f>
        <v/>
      </c>
      <c r="AE114" s="24" t="str">
        <f t="shared" si="129"/>
        <v/>
      </c>
      <c r="AF114" s="21" t="str">
        <f t="shared" si="14"/>
        <v/>
      </c>
      <c r="AG114" s="24" t="str">
        <f t="shared" si="15"/>
        <v>#DIV/0!</v>
      </c>
      <c r="AH114" s="25" t="str">
        <f t="shared" si="16"/>
        <v/>
      </c>
      <c r="AI114" s="25" t="str">
        <f t="shared" si="17"/>
        <v/>
      </c>
      <c r="AJ114" s="26" t="str">
        <f t="shared" si="18"/>
        <v/>
      </c>
    </row>
    <row r="115" ht="15.75" customHeight="1">
      <c r="A115" s="3"/>
      <c r="B115" s="18" t="str">
        <f t="shared" si="2"/>
        <v/>
      </c>
      <c r="C115" s="19"/>
      <c r="D115" s="19"/>
      <c r="E115" s="19"/>
      <c r="F115" s="20"/>
      <c r="G115" s="20"/>
      <c r="H115" s="21" t="str">
        <f t="shared" si="3"/>
        <v/>
      </c>
      <c r="I115" s="20"/>
      <c r="J115" s="20"/>
      <c r="K115" s="20"/>
      <c r="L115" s="20"/>
      <c r="M115" s="21" t="str">
        <f t="shared" si="4"/>
        <v/>
      </c>
      <c r="N115" s="20"/>
      <c r="O115" s="20"/>
      <c r="P115" s="20"/>
      <c r="Q115" s="21" t="str">
        <f t="shared" si="5"/>
        <v/>
      </c>
      <c r="R115" s="21" t="str">
        <f t="shared" si="6"/>
        <v/>
      </c>
      <c r="S115" s="22"/>
      <c r="T115" s="22"/>
      <c r="U115" s="23" t="str">
        <f t="shared" si="7"/>
        <v/>
      </c>
      <c r="V115" s="21" t="str">
        <f t="shared" si="8"/>
        <v>#DIV/0!</v>
      </c>
      <c r="W115" s="24" t="str">
        <f t="shared" si="9"/>
        <v>#DIV/0!</v>
      </c>
      <c r="X115" s="24" t="str">
        <f t="shared" si="10"/>
        <v>#DIV/0!</v>
      </c>
      <c r="Y115" s="21" t="str">
        <f>IF(A115="","",SUMIFS('Labor Log'!$I$2:$I$2001,'Labor Log'!$A$2:$A$2001,A115))</f>
        <v/>
      </c>
      <c r="Z115" s="24" t="str">
        <f t="shared" si="11"/>
        <v>#DIV/0!</v>
      </c>
      <c r="AA115" s="21" t="str">
        <f>IF(A115="","",SUMIFS('Inventory &amp; COGS'!$H$2:$H$2001,'Inventory &amp; COGS'!$A$2:$A$2001,A115,'Inventory &amp; COGS'!$B$2:$B$2001,"Food"))</f>
        <v/>
      </c>
      <c r="AB115" s="21" t="str">
        <f>IF(A115="","",SUMIFS('Inventory &amp; COGS'!$H$2:$H$2001,'Inventory &amp; COGS'!$A$2:$A$2001,A115,'Inventory &amp; COGS'!$B$2:$B$2001,"Beverage"))</f>
        <v/>
      </c>
      <c r="AC115" s="21" t="str">
        <f t="shared" si="12"/>
        <v/>
      </c>
      <c r="AD115" s="24" t="str">
        <f t="shared" ref="AD115:AE115" si="130">IF(I115=0,"",AA115/I115)</f>
        <v/>
      </c>
      <c r="AE115" s="24" t="str">
        <f t="shared" si="130"/>
        <v/>
      </c>
      <c r="AF115" s="21" t="str">
        <f t="shared" si="14"/>
        <v/>
      </c>
      <c r="AG115" s="24" t="str">
        <f t="shared" si="15"/>
        <v>#DIV/0!</v>
      </c>
      <c r="AH115" s="25" t="str">
        <f t="shared" si="16"/>
        <v/>
      </c>
      <c r="AI115" s="25" t="str">
        <f t="shared" si="17"/>
        <v/>
      </c>
      <c r="AJ115" s="26" t="str">
        <f t="shared" si="18"/>
        <v/>
      </c>
    </row>
    <row r="116" ht="15.75" customHeight="1">
      <c r="A116" s="3"/>
      <c r="B116" s="18" t="str">
        <f t="shared" si="2"/>
        <v/>
      </c>
      <c r="C116" s="19"/>
      <c r="D116" s="19"/>
      <c r="E116" s="19"/>
      <c r="F116" s="20"/>
      <c r="G116" s="20"/>
      <c r="H116" s="21" t="str">
        <f t="shared" si="3"/>
        <v/>
      </c>
      <c r="I116" s="20"/>
      <c r="J116" s="20"/>
      <c r="K116" s="20"/>
      <c r="L116" s="20"/>
      <c r="M116" s="21" t="str">
        <f t="shared" si="4"/>
        <v/>
      </c>
      <c r="N116" s="20"/>
      <c r="O116" s="20"/>
      <c r="P116" s="20"/>
      <c r="Q116" s="21" t="str">
        <f t="shared" si="5"/>
        <v/>
      </c>
      <c r="R116" s="21" t="str">
        <f t="shared" si="6"/>
        <v/>
      </c>
      <c r="S116" s="22"/>
      <c r="T116" s="22"/>
      <c r="U116" s="23" t="str">
        <f t="shared" si="7"/>
        <v/>
      </c>
      <c r="V116" s="21" t="str">
        <f t="shared" si="8"/>
        <v>#DIV/0!</v>
      </c>
      <c r="W116" s="24" t="str">
        <f t="shared" si="9"/>
        <v>#DIV/0!</v>
      </c>
      <c r="X116" s="24" t="str">
        <f t="shared" si="10"/>
        <v>#DIV/0!</v>
      </c>
      <c r="Y116" s="21" t="str">
        <f>IF(A116="","",SUMIFS('Labor Log'!$I$2:$I$2001,'Labor Log'!$A$2:$A$2001,A116))</f>
        <v/>
      </c>
      <c r="Z116" s="24" t="str">
        <f t="shared" si="11"/>
        <v>#DIV/0!</v>
      </c>
      <c r="AA116" s="21" t="str">
        <f>IF(A116="","",SUMIFS('Inventory &amp; COGS'!$H$2:$H$2001,'Inventory &amp; COGS'!$A$2:$A$2001,A116,'Inventory &amp; COGS'!$B$2:$B$2001,"Food"))</f>
        <v/>
      </c>
      <c r="AB116" s="21" t="str">
        <f>IF(A116="","",SUMIFS('Inventory &amp; COGS'!$H$2:$H$2001,'Inventory &amp; COGS'!$A$2:$A$2001,A116,'Inventory &amp; COGS'!$B$2:$B$2001,"Beverage"))</f>
        <v/>
      </c>
      <c r="AC116" s="21" t="str">
        <f t="shared" si="12"/>
        <v/>
      </c>
      <c r="AD116" s="24" t="str">
        <f t="shared" ref="AD116:AE116" si="131">IF(I116=0,"",AA116/I116)</f>
        <v/>
      </c>
      <c r="AE116" s="24" t="str">
        <f t="shared" si="131"/>
        <v/>
      </c>
      <c r="AF116" s="21" t="str">
        <f t="shared" si="14"/>
        <v/>
      </c>
      <c r="AG116" s="24" t="str">
        <f t="shared" si="15"/>
        <v>#DIV/0!</v>
      </c>
      <c r="AH116" s="25" t="str">
        <f t="shared" si="16"/>
        <v/>
      </c>
      <c r="AI116" s="25" t="str">
        <f t="shared" si="17"/>
        <v/>
      </c>
      <c r="AJ116" s="26" t="str">
        <f t="shared" si="18"/>
        <v/>
      </c>
    </row>
    <row r="117" ht="15.75" customHeight="1">
      <c r="A117" s="3"/>
      <c r="B117" s="18" t="str">
        <f t="shared" si="2"/>
        <v/>
      </c>
      <c r="C117" s="19"/>
      <c r="D117" s="19"/>
      <c r="E117" s="19"/>
      <c r="F117" s="20"/>
      <c r="G117" s="20"/>
      <c r="H117" s="21" t="str">
        <f t="shared" si="3"/>
        <v/>
      </c>
      <c r="I117" s="20"/>
      <c r="J117" s="20"/>
      <c r="K117" s="20"/>
      <c r="L117" s="20"/>
      <c r="M117" s="21" t="str">
        <f t="shared" si="4"/>
        <v/>
      </c>
      <c r="N117" s="20"/>
      <c r="O117" s="20"/>
      <c r="P117" s="20"/>
      <c r="Q117" s="21" t="str">
        <f t="shared" si="5"/>
        <v/>
      </c>
      <c r="R117" s="21" t="str">
        <f t="shared" si="6"/>
        <v/>
      </c>
      <c r="S117" s="22"/>
      <c r="T117" s="22"/>
      <c r="U117" s="23" t="str">
        <f t="shared" si="7"/>
        <v/>
      </c>
      <c r="V117" s="21" t="str">
        <f t="shared" si="8"/>
        <v>#DIV/0!</v>
      </c>
      <c r="W117" s="24" t="str">
        <f t="shared" si="9"/>
        <v>#DIV/0!</v>
      </c>
      <c r="X117" s="24" t="str">
        <f t="shared" si="10"/>
        <v>#DIV/0!</v>
      </c>
      <c r="Y117" s="21" t="str">
        <f>IF(A117="","",SUMIFS('Labor Log'!$I$2:$I$2001,'Labor Log'!$A$2:$A$2001,A117))</f>
        <v/>
      </c>
      <c r="Z117" s="24" t="str">
        <f t="shared" si="11"/>
        <v>#DIV/0!</v>
      </c>
      <c r="AA117" s="21" t="str">
        <f>IF(A117="","",SUMIFS('Inventory &amp; COGS'!$H$2:$H$2001,'Inventory &amp; COGS'!$A$2:$A$2001,A117,'Inventory &amp; COGS'!$B$2:$B$2001,"Food"))</f>
        <v/>
      </c>
      <c r="AB117" s="21" t="str">
        <f>IF(A117="","",SUMIFS('Inventory &amp; COGS'!$H$2:$H$2001,'Inventory &amp; COGS'!$A$2:$A$2001,A117,'Inventory &amp; COGS'!$B$2:$B$2001,"Beverage"))</f>
        <v/>
      </c>
      <c r="AC117" s="21" t="str">
        <f t="shared" si="12"/>
        <v/>
      </c>
      <c r="AD117" s="24" t="str">
        <f t="shared" ref="AD117:AE117" si="132">IF(I117=0,"",AA117/I117)</f>
        <v/>
      </c>
      <c r="AE117" s="24" t="str">
        <f t="shared" si="132"/>
        <v/>
      </c>
      <c r="AF117" s="21" t="str">
        <f t="shared" si="14"/>
        <v/>
      </c>
      <c r="AG117" s="24" t="str">
        <f t="shared" si="15"/>
        <v>#DIV/0!</v>
      </c>
      <c r="AH117" s="25" t="str">
        <f t="shared" si="16"/>
        <v/>
      </c>
      <c r="AI117" s="25" t="str">
        <f t="shared" si="17"/>
        <v/>
      </c>
      <c r="AJ117" s="26" t="str">
        <f t="shared" si="18"/>
        <v/>
      </c>
    </row>
    <row r="118" ht="15.75" customHeight="1">
      <c r="A118" s="3"/>
      <c r="B118" s="18" t="str">
        <f t="shared" si="2"/>
        <v/>
      </c>
      <c r="C118" s="19"/>
      <c r="D118" s="19"/>
      <c r="E118" s="19"/>
      <c r="F118" s="20"/>
      <c r="G118" s="20"/>
      <c r="H118" s="21" t="str">
        <f t="shared" si="3"/>
        <v/>
      </c>
      <c r="I118" s="20"/>
      <c r="J118" s="20"/>
      <c r="K118" s="20"/>
      <c r="L118" s="20"/>
      <c r="M118" s="21" t="str">
        <f t="shared" si="4"/>
        <v/>
      </c>
      <c r="N118" s="20"/>
      <c r="O118" s="20"/>
      <c r="P118" s="20"/>
      <c r="Q118" s="21" t="str">
        <f t="shared" si="5"/>
        <v/>
      </c>
      <c r="R118" s="21" t="str">
        <f t="shared" si="6"/>
        <v/>
      </c>
      <c r="S118" s="22"/>
      <c r="T118" s="22"/>
      <c r="U118" s="23" t="str">
        <f t="shared" si="7"/>
        <v/>
      </c>
      <c r="V118" s="21" t="str">
        <f t="shared" si="8"/>
        <v>#DIV/0!</v>
      </c>
      <c r="W118" s="24" t="str">
        <f t="shared" si="9"/>
        <v>#DIV/0!</v>
      </c>
      <c r="X118" s="24" t="str">
        <f t="shared" si="10"/>
        <v>#DIV/0!</v>
      </c>
      <c r="Y118" s="21" t="str">
        <f>IF(A118="","",SUMIFS('Labor Log'!$I$2:$I$2001,'Labor Log'!$A$2:$A$2001,A118))</f>
        <v/>
      </c>
      <c r="Z118" s="24" t="str">
        <f t="shared" si="11"/>
        <v>#DIV/0!</v>
      </c>
      <c r="AA118" s="21" t="str">
        <f>IF(A118="","",SUMIFS('Inventory &amp; COGS'!$H$2:$H$2001,'Inventory &amp; COGS'!$A$2:$A$2001,A118,'Inventory &amp; COGS'!$B$2:$B$2001,"Food"))</f>
        <v/>
      </c>
      <c r="AB118" s="21" t="str">
        <f>IF(A118="","",SUMIFS('Inventory &amp; COGS'!$H$2:$H$2001,'Inventory &amp; COGS'!$A$2:$A$2001,A118,'Inventory &amp; COGS'!$B$2:$B$2001,"Beverage"))</f>
        <v/>
      </c>
      <c r="AC118" s="21" t="str">
        <f t="shared" si="12"/>
        <v/>
      </c>
      <c r="AD118" s="24" t="str">
        <f t="shared" ref="AD118:AE118" si="133">IF(I118=0,"",AA118/I118)</f>
        <v/>
      </c>
      <c r="AE118" s="24" t="str">
        <f t="shared" si="133"/>
        <v/>
      </c>
      <c r="AF118" s="21" t="str">
        <f t="shared" si="14"/>
        <v/>
      </c>
      <c r="AG118" s="24" t="str">
        <f t="shared" si="15"/>
        <v>#DIV/0!</v>
      </c>
      <c r="AH118" s="25" t="str">
        <f t="shared" si="16"/>
        <v/>
      </c>
      <c r="AI118" s="25" t="str">
        <f t="shared" si="17"/>
        <v/>
      </c>
      <c r="AJ118" s="26" t="str">
        <f t="shared" si="18"/>
        <v/>
      </c>
    </row>
    <row r="119" ht="15.75" customHeight="1">
      <c r="A119" s="3"/>
      <c r="B119" s="18" t="str">
        <f t="shared" si="2"/>
        <v/>
      </c>
      <c r="C119" s="19"/>
      <c r="D119" s="19"/>
      <c r="E119" s="19"/>
      <c r="F119" s="20"/>
      <c r="G119" s="20"/>
      <c r="H119" s="21" t="str">
        <f t="shared" si="3"/>
        <v/>
      </c>
      <c r="I119" s="20"/>
      <c r="J119" s="20"/>
      <c r="K119" s="20"/>
      <c r="L119" s="20"/>
      <c r="M119" s="21" t="str">
        <f t="shared" si="4"/>
        <v/>
      </c>
      <c r="N119" s="20"/>
      <c r="O119" s="20"/>
      <c r="P119" s="20"/>
      <c r="Q119" s="21" t="str">
        <f t="shared" si="5"/>
        <v/>
      </c>
      <c r="R119" s="21" t="str">
        <f t="shared" si="6"/>
        <v/>
      </c>
      <c r="S119" s="22"/>
      <c r="T119" s="22"/>
      <c r="U119" s="23" t="str">
        <f t="shared" si="7"/>
        <v/>
      </c>
      <c r="V119" s="21" t="str">
        <f t="shared" si="8"/>
        <v>#DIV/0!</v>
      </c>
      <c r="W119" s="24" t="str">
        <f t="shared" si="9"/>
        <v>#DIV/0!</v>
      </c>
      <c r="X119" s="24" t="str">
        <f t="shared" si="10"/>
        <v>#DIV/0!</v>
      </c>
      <c r="Y119" s="21" t="str">
        <f>IF(A119="","",SUMIFS('Labor Log'!$I$2:$I$2001,'Labor Log'!$A$2:$A$2001,A119))</f>
        <v/>
      </c>
      <c r="Z119" s="24" t="str">
        <f t="shared" si="11"/>
        <v>#DIV/0!</v>
      </c>
      <c r="AA119" s="21" t="str">
        <f>IF(A119="","",SUMIFS('Inventory &amp; COGS'!$H$2:$H$2001,'Inventory &amp; COGS'!$A$2:$A$2001,A119,'Inventory &amp; COGS'!$B$2:$B$2001,"Food"))</f>
        <v/>
      </c>
      <c r="AB119" s="21" t="str">
        <f>IF(A119="","",SUMIFS('Inventory &amp; COGS'!$H$2:$H$2001,'Inventory &amp; COGS'!$A$2:$A$2001,A119,'Inventory &amp; COGS'!$B$2:$B$2001,"Beverage"))</f>
        <v/>
      </c>
      <c r="AC119" s="21" t="str">
        <f t="shared" si="12"/>
        <v/>
      </c>
      <c r="AD119" s="24" t="str">
        <f t="shared" ref="AD119:AE119" si="134">IF(I119=0,"",AA119/I119)</f>
        <v/>
      </c>
      <c r="AE119" s="24" t="str">
        <f t="shared" si="134"/>
        <v/>
      </c>
      <c r="AF119" s="21" t="str">
        <f t="shared" si="14"/>
        <v/>
      </c>
      <c r="AG119" s="24" t="str">
        <f t="shared" si="15"/>
        <v>#DIV/0!</v>
      </c>
      <c r="AH119" s="25" t="str">
        <f t="shared" si="16"/>
        <v/>
      </c>
      <c r="AI119" s="25" t="str">
        <f t="shared" si="17"/>
        <v/>
      </c>
      <c r="AJ119" s="26" t="str">
        <f t="shared" si="18"/>
        <v/>
      </c>
    </row>
    <row r="120" ht="15.75" customHeight="1">
      <c r="A120" s="3"/>
      <c r="B120" s="18" t="str">
        <f t="shared" si="2"/>
        <v/>
      </c>
      <c r="C120" s="19"/>
      <c r="D120" s="19"/>
      <c r="E120" s="19"/>
      <c r="F120" s="20"/>
      <c r="G120" s="20"/>
      <c r="H120" s="21" t="str">
        <f t="shared" si="3"/>
        <v/>
      </c>
      <c r="I120" s="20"/>
      <c r="J120" s="20"/>
      <c r="K120" s="20"/>
      <c r="L120" s="20"/>
      <c r="M120" s="21" t="str">
        <f t="shared" si="4"/>
        <v/>
      </c>
      <c r="N120" s="20"/>
      <c r="O120" s="20"/>
      <c r="P120" s="20"/>
      <c r="Q120" s="21" t="str">
        <f t="shared" si="5"/>
        <v/>
      </c>
      <c r="R120" s="21" t="str">
        <f t="shared" si="6"/>
        <v/>
      </c>
      <c r="S120" s="22"/>
      <c r="T120" s="22"/>
      <c r="U120" s="23" t="str">
        <f t="shared" si="7"/>
        <v/>
      </c>
      <c r="V120" s="21" t="str">
        <f t="shared" si="8"/>
        <v>#DIV/0!</v>
      </c>
      <c r="W120" s="24" t="str">
        <f t="shared" si="9"/>
        <v>#DIV/0!</v>
      </c>
      <c r="X120" s="24" t="str">
        <f t="shared" si="10"/>
        <v>#DIV/0!</v>
      </c>
      <c r="Y120" s="21" t="str">
        <f>IF(A120="","",SUMIFS('Labor Log'!$I$2:$I$2001,'Labor Log'!$A$2:$A$2001,A120))</f>
        <v/>
      </c>
      <c r="Z120" s="24" t="str">
        <f t="shared" si="11"/>
        <v>#DIV/0!</v>
      </c>
      <c r="AA120" s="21" t="str">
        <f>IF(A120="","",SUMIFS('Inventory &amp; COGS'!$H$2:$H$2001,'Inventory &amp; COGS'!$A$2:$A$2001,A120,'Inventory &amp; COGS'!$B$2:$B$2001,"Food"))</f>
        <v/>
      </c>
      <c r="AB120" s="21" t="str">
        <f>IF(A120="","",SUMIFS('Inventory &amp; COGS'!$H$2:$H$2001,'Inventory &amp; COGS'!$A$2:$A$2001,A120,'Inventory &amp; COGS'!$B$2:$B$2001,"Beverage"))</f>
        <v/>
      </c>
      <c r="AC120" s="21" t="str">
        <f t="shared" si="12"/>
        <v/>
      </c>
      <c r="AD120" s="24" t="str">
        <f t="shared" ref="AD120:AE120" si="135">IF(I120=0,"",AA120/I120)</f>
        <v/>
      </c>
      <c r="AE120" s="24" t="str">
        <f t="shared" si="135"/>
        <v/>
      </c>
      <c r="AF120" s="21" t="str">
        <f t="shared" si="14"/>
        <v/>
      </c>
      <c r="AG120" s="24" t="str">
        <f t="shared" si="15"/>
        <v>#DIV/0!</v>
      </c>
      <c r="AH120" s="25" t="str">
        <f t="shared" si="16"/>
        <v/>
      </c>
      <c r="AI120" s="25" t="str">
        <f t="shared" si="17"/>
        <v/>
      </c>
      <c r="AJ120" s="26" t="str">
        <f t="shared" si="18"/>
        <v/>
      </c>
    </row>
    <row r="121" ht="15.75" customHeight="1">
      <c r="A121" s="3"/>
      <c r="B121" s="18" t="str">
        <f t="shared" si="2"/>
        <v/>
      </c>
      <c r="C121" s="19"/>
      <c r="D121" s="19"/>
      <c r="E121" s="19"/>
      <c r="F121" s="20"/>
      <c r="G121" s="20"/>
      <c r="H121" s="21" t="str">
        <f t="shared" si="3"/>
        <v/>
      </c>
      <c r="I121" s="20"/>
      <c r="J121" s="20"/>
      <c r="K121" s="20"/>
      <c r="L121" s="20"/>
      <c r="M121" s="21" t="str">
        <f t="shared" si="4"/>
        <v/>
      </c>
      <c r="N121" s="20"/>
      <c r="O121" s="20"/>
      <c r="P121" s="20"/>
      <c r="Q121" s="21" t="str">
        <f t="shared" si="5"/>
        <v/>
      </c>
      <c r="R121" s="21" t="str">
        <f t="shared" si="6"/>
        <v/>
      </c>
      <c r="S121" s="22"/>
      <c r="T121" s="22"/>
      <c r="U121" s="23" t="str">
        <f t="shared" si="7"/>
        <v/>
      </c>
      <c r="V121" s="21" t="str">
        <f t="shared" si="8"/>
        <v>#DIV/0!</v>
      </c>
      <c r="W121" s="24" t="str">
        <f t="shared" si="9"/>
        <v>#DIV/0!</v>
      </c>
      <c r="X121" s="24" t="str">
        <f t="shared" si="10"/>
        <v>#DIV/0!</v>
      </c>
      <c r="Y121" s="21" t="str">
        <f>IF(A121="","",SUMIFS('Labor Log'!$I$2:$I$2001,'Labor Log'!$A$2:$A$2001,A121))</f>
        <v/>
      </c>
      <c r="Z121" s="24" t="str">
        <f t="shared" si="11"/>
        <v>#DIV/0!</v>
      </c>
      <c r="AA121" s="21" t="str">
        <f>IF(A121="","",SUMIFS('Inventory &amp; COGS'!$H$2:$H$2001,'Inventory &amp; COGS'!$A$2:$A$2001,A121,'Inventory &amp; COGS'!$B$2:$B$2001,"Food"))</f>
        <v/>
      </c>
      <c r="AB121" s="21" t="str">
        <f>IF(A121="","",SUMIFS('Inventory &amp; COGS'!$H$2:$H$2001,'Inventory &amp; COGS'!$A$2:$A$2001,A121,'Inventory &amp; COGS'!$B$2:$B$2001,"Beverage"))</f>
        <v/>
      </c>
      <c r="AC121" s="21" t="str">
        <f t="shared" si="12"/>
        <v/>
      </c>
      <c r="AD121" s="24" t="str">
        <f t="shared" ref="AD121:AE121" si="136">IF(I121=0,"",AA121/I121)</f>
        <v/>
      </c>
      <c r="AE121" s="24" t="str">
        <f t="shared" si="136"/>
        <v/>
      </c>
      <c r="AF121" s="21" t="str">
        <f t="shared" si="14"/>
        <v/>
      </c>
      <c r="AG121" s="24" t="str">
        <f t="shared" si="15"/>
        <v>#DIV/0!</v>
      </c>
      <c r="AH121" s="25" t="str">
        <f t="shared" si="16"/>
        <v/>
      </c>
      <c r="AI121" s="25" t="str">
        <f t="shared" si="17"/>
        <v/>
      </c>
      <c r="AJ121" s="26" t="str">
        <f t="shared" si="18"/>
        <v/>
      </c>
    </row>
    <row r="122" ht="15.75" customHeight="1">
      <c r="A122" s="3"/>
      <c r="B122" s="18" t="str">
        <f t="shared" si="2"/>
        <v/>
      </c>
      <c r="C122" s="19"/>
      <c r="D122" s="19"/>
      <c r="E122" s="19"/>
      <c r="F122" s="20"/>
      <c r="G122" s="20"/>
      <c r="H122" s="21" t="str">
        <f t="shared" si="3"/>
        <v/>
      </c>
      <c r="I122" s="20"/>
      <c r="J122" s="20"/>
      <c r="K122" s="20"/>
      <c r="L122" s="20"/>
      <c r="M122" s="21" t="str">
        <f t="shared" si="4"/>
        <v/>
      </c>
      <c r="N122" s="20"/>
      <c r="O122" s="20"/>
      <c r="P122" s="20"/>
      <c r="Q122" s="21" t="str">
        <f t="shared" si="5"/>
        <v/>
      </c>
      <c r="R122" s="21" t="str">
        <f t="shared" si="6"/>
        <v/>
      </c>
      <c r="S122" s="22"/>
      <c r="T122" s="22"/>
      <c r="U122" s="23" t="str">
        <f t="shared" si="7"/>
        <v/>
      </c>
      <c r="V122" s="21" t="str">
        <f t="shared" si="8"/>
        <v>#DIV/0!</v>
      </c>
      <c r="W122" s="24" t="str">
        <f t="shared" si="9"/>
        <v>#DIV/0!</v>
      </c>
      <c r="X122" s="24" t="str">
        <f t="shared" si="10"/>
        <v>#DIV/0!</v>
      </c>
      <c r="Y122" s="21" t="str">
        <f>IF(A122="","",SUMIFS('Labor Log'!$I$2:$I$2001,'Labor Log'!$A$2:$A$2001,A122))</f>
        <v/>
      </c>
      <c r="Z122" s="24" t="str">
        <f t="shared" si="11"/>
        <v>#DIV/0!</v>
      </c>
      <c r="AA122" s="21" t="str">
        <f>IF(A122="","",SUMIFS('Inventory &amp; COGS'!$H$2:$H$2001,'Inventory &amp; COGS'!$A$2:$A$2001,A122,'Inventory &amp; COGS'!$B$2:$B$2001,"Food"))</f>
        <v/>
      </c>
      <c r="AB122" s="21" t="str">
        <f>IF(A122="","",SUMIFS('Inventory &amp; COGS'!$H$2:$H$2001,'Inventory &amp; COGS'!$A$2:$A$2001,A122,'Inventory &amp; COGS'!$B$2:$B$2001,"Beverage"))</f>
        <v/>
      </c>
      <c r="AC122" s="21" t="str">
        <f t="shared" si="12"/>
        <v/>
      </c>
      <c r="AD122" s="24" t="str">
        <f t="shared" ref="AD122:AE122" si="137">IF(I122=0,"",AA122/I122)</f>
        <v/>
      </c>
      <c r="AE122" s="24" t="str">
        <f t="shared" si="137"/>
        <v/>
      </c>
      <c r="AF122" s="21" t="str">
        <f t="shared" si="14"/>
        <v/>
      </c>
      <c r="AG122" s="24" t="str">
        <f t="shared" si="15"/>
        <v>#DIV/0!</v>
      </c>
      <c r="AH122" s="25" t="str">
        <f t="shared" si="16"/>
        <v/>
      </c>
      <c r="AI122" s="25" t="str">
        <f t="shared" si="17"/>
        <v/>
      </c>
      <c r="AJ122" s="26" t="str">
        <f t="shared" si="18"/>
        <v/>
      </c>
    </row>
    <row r="123" ht="15.75" customHeight="1">
      <c r="A123" s="3"/>
      <c r="B123" s="18" t="str">
        <f t="shared" si="2"/>
        <v/>
      </c>
      <c r="C123" s="19"/>
      <c r="D123" s="19"/>
      <c r="E123" s="19"/>
      <c r="F123" s="20"/>
      <c r="G123" s="20"/>
      <c r="H123" s="21" t="str">
        <f t="shared" si="3"/>
        <v/>
      </c>
      <c r="I123" s="20"/>
      <c r="J123" s="20"/>
      <c r="K123" s="20"/>
      <c r="L123" s="20"/>
      <c r="M123" s="21" t="str">
        <f t="shared" si="4"/>
        <v/>
      </c>
      <c r="N123" s="20"/>
      <c r="O123" s="20"/>
      <c r="P123" s="20"/>
      <c r="Q123" s="21" t="str">
        <f t="shared" si="5"/>
        <v/>
      </c>
      <c r="R123" s="21" t="str">
        <f t="shared" si="6"/>
        <v/>
      </c>
      <c r="S123" s="22"/>
      <c r="T123" s="22"/>
      <c r="U123" s="23" t="str">
        <f t="shared" si="7"/>
        <v/>
      </c>
      <c r="V123" s="21" t="str">
        <f t="shared" si="8"/>
        <v>#DIV/0!</v>
      </c>
      <c r="W123" s="24" t="str">
        <f t="shared" si="9"/>
        <v>#DIV/0!</v>
      </c>
      <c r="X123" s="24" t="str">
        <f t="shared" si="10"/>
        <v>#DIV/0!</v>
      </c>
      <c r="Y123" s="21" t="str">
        <f>IF(A123="","",SUMIFS('Labor Log'!$I$2:$I$2001,'Labor Log'!$A$2:$A$2001,A123))</f>
        <v/>
      </c>
      <c r="Z123" s="24" t="str">
        <f t="shared" si="11"/>
        <v>#DIV/0!</v>
      </c>
      <c r="AA123" s="21" t="str">
        <f>IF(A123="","",SUMIFS('Inventory &amp; COGS'!$H$2:$H$2001,'Inventory &amp; COGS'!$A$2:$A$2001,A123,'Inventory &amp; COGS'!$B$2:$B$2001,"Food"))</f>
        <v/>
      </c>
      <c r="AB123" s="21" t="str">
        <f>IF(A123="","",SUMIFS('Inventory &amp; COGS'!$H$2:$H$2001,'Inventory &amp; COGS'!$A$2:$A$2001,A123,'Inventory &amp; COGS'!$B$2:$B$2001,"Beverage"))</f>
        <v/>
      </c>
      <c r="AC123" s="21" t="str">
        <f t="shared" si="12"/>
        <v/>
      </c>
      <c r="AD123" s="24" t="str">
        <f t="shared" ref="AD123:AE123" si="138">IF(I123=0,"",AA123/I123)</f>
        <v/>
      </c>
      <c r="AE123" s="24" t="str">
        <f t="shared" si="138"/>
        <v/>
      </c>
      <c r="AF123" s="21" t="str">
        <f t="shared" si="14"/>
        <v/>
      </c>
      <c r="AG123" s="24" t="str">
        <f t="shared" si="15"/>
        <v>#DIV/0!</v>
      </c>
      <c r="AH123" s="25" t="str">
        <f t="shared" si="16"/>
        <v/>
      </c>
      <c r="AI123" s="25" t="str">
        <f t="shared" si="17"/>
        <v/>
      </c>
      <c r="AJ123" s="26" t="str">
        <f t="shared" si="18"/>
        <v/>
      </c>
    </row>
    <row r="124" ht="15.75" customHeight="1">
      <c r="A124" s="3"/>
      <c r="B124" s="18" t="str">
        <f t="shared" si="2"/>
        <v/>
      </c>
      <c r="C124" s="19"/>
      <c r="D124" s="19"/>
      <c r="E124" s="19"/>
      <c r="F124" s="20"/>
      <c r="G124" s="20"/>
      <c r="H124" s="21" t="str">
        <f t="shared" si="3"/>
        <v/>
      </c>
      <c r="I124" s="20"/>
      <c r="J124" s="20"/>
      <c r="K124" s="20"/>
      <c r="L124" s="20"/>
      <c r="M124" s="21" t="str">
        <f t="shared" si="4"/>
        <v/>
      </c>
      <c r="N124" s="20"/>
      <c r="O124" s="20"/>
      <c r="P124" s="20"/>
      <c r="Q124" s="21" t="str">
        <f t="shared" si="5"/>
        <v/>
      </c>
      <c r="R124" s="21" t="str">
        <f t="shared" si="6"/>
        <v/>
      </c>
      <c r="S124" s="22"/>
      <c r="T124" s="22"/>
      <c r="U124" s="23" t="str">
        <f t="shared" si="7"/>
        <v/>
      </c>
      <c r="V124" s="21" t="str">
        <f t="shared" si="8"/>
        <v>#DIV/0!</v>
      </c>
      <c r="W124" s="24" t="str">
        <f t="shared" si="9"/>
        <v>#DIV/0!</v>
      </c>
      <c r="X124" s="24" t="str">
        <f t="shared" si="10"/>
        <v>#DIV/0!</v>
      </c>
      <c r="Y124" s="21" t="str">
        <f>IF(A124="","",SUMIFS('Labor Log'!$I$2:$I$2001,'Labor Log'!$A$2:$A$2001,A124))</f>
        <v/>
      </c>
      <c r="Z124" s="24" t="str">
        <f t="shared" si="11"/>
        <v>#DIV/0!</v>
      </c>
      <c r="AA124" s="21" t="str">
        <f>IF(A124="","",SUMIFS('Inventory &amp; COGS'!$H$2:$H$2001,'Inventory &amp; COGS'!$A$2:$A$2001,A124,'Inventory &amp; COGS'!$B$2:$B$2001,"Food"))</f>
        <v/>
      </c>
      <c r="AB124" s="21" t="str">
        <f>IF(A124="","",SUMIFS('Inventory &amp; COGS'!$H$2:$H$2001,'Inventory &amp; COGS'!$A$2:$A$2001,A124,'Inventory &amp; COGS'!$B$2:$B$2001,"Beverage"))</f>
        <v/>
      </c>
      <c r="AC124" s="21" t="str">
        <f t="shared" si="12"/>
        <v/>
      </c>
      <c r="AD124" s="24" t="str">
        <f t="shared" ref="AD124:AE124" si="139">IF(I124=0,"",AA124/I124)</f>
        <v/>
      </c>
      <c r="AE124" s="24" t="str">
        <f t="shared" si="139"/>
        <v/>
      </c>
      <c r="AF124" s="21" t="str">
        <f t="shared" si="14"/>
        <v/>
      </c>
      <c r="AG124" s="24" t="str">
        <f t="shared" si="15"/>
        <v>#DIV/0!</v>
      </c>
      <c r="AH124" s="25" t="str">
        <f t="shared" si="16"/>
        <v/>
      </c>
      <c r="AI124" s="25" t="str">
        <f t="shared" si="17"/>
        <v/>
      </c>
      <c r="AJ124" s="26" t="str">
        <f t="shared" si="18"/>
        <v/>
      </c>
    </row>
    <row r="125" ht="15.75" customHeight="1">
      <c r="A125" s="3"/>
      <c r="B125" s="18" t="str">
        <f t="shared" si="2"/>
        <v/>
      </c>
      <c r="C125" s="19"/>
      <c r="D125" s="19"/>
      <c r="E125" s="19"/>
      <c r="F125" s="20"/>
      <c r="G125" s="20"/>
      <c r="H125" s="21" t="str">
        <f t="shared" si="3"/>
        <v/>
      </c>
      <c r="I125" s="20"/>
      <c r="J125" s="20"/>
      <c r="K125" s="20"/>
      <c r="L125" s="20"/>
      <c r="M125" s="21" t="str">
        <f t="shared" si="4"/>
        <v/>
      </c>
      <c r="N125" s="20"/>
      <c r="O125" s="20"/>
      <c r="P125" s="20"/>
      <c r="Q125" s="21" t="str">
        <f t="shared" si="5"/>
        <v/>
      </c>
      <c r="R125" s="21" t="str">
        <f t="shared" si="6"/>
        <v/>
      </c>
      <c r="S125" s="22"/>
      <c r="T125" s="22"/>
      <c r="U125" s="23" t="str">
        <f t="shared" si="7"/>
        <v/>
      </c>
      <c r="V125" s="21" t="str">
        <f t="shared" si="8"/>
        <v>#DIV/0!</v>
      </c>
      <c r="W125" s="24" t="str">
        <f t="shared" si="9"/>
        <v>#DIV/0!</v>
      </c>
      <c r="X125" s="24" t="str">
        <f t="shared" si="10"/>
        <v>#DIV/0!</v>
      </c>
      <c r="Y125" s="21" t="str">
        <f>IF(A125="","",SUMIFS('Labor Log'!$I$2:$I$2001,'Labor Log'!$A$2:$A$2001,A125))</f>
        <v/>
      </c>
      <c r="Z125" s="24" t="str">
        <f t="shared" si="11"/>
        <v>#DIV/0!</v>
      </c>
      <c r="AA125" s="21" t="str">
        <f>IF(A125="","",SUMIFS('Inventory &amp; COGS'!$H$2:$H$2001,'Inventory &amp; COGS'!$A$2:$A$2001,A125,'Inventory &amp; COGS'!$B$2:$B$2001,"Food"))</f>
        <v/>
      </c>
      <c r="AB125" s="21" t="str">
        <f>IF(A125="","",SUMIFS('Inventory &amp; COGS'!$H$2:$H$2001,'Inventory &amp; COGS'!$A$2:$A$2001,A125,'Inventory &amp; COGS'!$B$2:$B$2001,"Beverage"))</f>
        <v/>
      </c>
      <c r="AC125" s="21" t="str">
        <f t="shared" si="12"/>
        <v/>
      </c>
      <c r="AD125" s="24" t="str">
        <f t="shared" ref="AD125:AE125" si="140">IF(I125=0,"",AA125/I125)</f>
        <v/>
      </c>
      <c r="AE125" s="24" t="str">
        <f t="shared" si="140"/>
        <v/>
      </c>
      <c r="AF125" s="21" t="str">
        <f t="shared" si="14"/>
        <v/>
      </c>
      <c r="AG125" s="24" t="str">
        <f t="shared" si="15"/>
        <v>#DIV/0!</v>
      </c>
      <c r="AH125" s="25" t="str">
        <f t="shared" si="16"/>
        <v/>
      </c>
      <c r="AI125" s="25" t="str">
        <f t="shared" si="17"/>
        <v/>
      </c>
      <c r="AJ125" s="26" t="str">
        <f t="shared" si="18"/>
        <v/>
      </c>
    </row>
    <row r="126" ht="15.75" customHeight="1">
      <c r="A126" s="3"/>
      <c r="B126" s="18" t="str">
        <f t="shared" si="2"/>
        <v/>
      </c>
      <c r="C126" s="19"/>
      <c r="D126" s="19"/>
      <c r="E126" s="19"/>
      <c r="F126" s="20"/>
      <c r="G126" s="20"/>
      <c r="H126" s="21" t="str">
        <f t="shared" si="3"/>
        <v/>
      </c>
      <c r="I126" s="20"/>
      <c r="J126" s="20"/>
      <c r="K126" s="20"/>
      <c r="L126" s="20"/>
      <c r="M126" s="21" t="str">
        <f t="shared" si="4"/>
        <v/>
      </c>
      <c r="N126" s="20"/>
      <c r="O126" s="20"/>
      <c r="P126" s="20"/>
      <c r="Q126" s="21" t="str">
        <f t="shared" si="5"/>
        <v/>
      </c>
      <c r="R126" s="21" t="str">
        <f t="shared" si="6"/>
        <v/>
      </c>
      <c r="S126" s="22"/>
      <c r="T126" s="22"/>
      <c r="U126" s="23" t="str">
        <f t="shared" si="7"/>
        <v/>
      </c>
      <c r="V126" s="21" t="str">
        <f t="shared" si="8"/>
        <v>#DIV/0!</v>
      </c>
      <c r="W126" s="24" t="str">
        <f t="shared" si="9"/>
        <v>#DIV/0!</v>
      </c>
      <c r="X126" s="24" t="str">
        <f t="shared" si="10"/>
        <v>#DIV/0!</v>
      </c>
      <c r="Y126" s="21" t="str">
        <f>IF(A126="","",SUMIFS('Labor Log'!$I$2:$I$2001,'Labor Log'!$A$2:$A$2001,A126))</f>
        <v/>
      </c>
      <c r="Z126" s="24" t="str">
        <f t="shared" si="11"/>
        <v>#DIV/0!</v>
      </c>
      <c r="AA126" s="21" t="str">
        <f>IF(A126="","",SUMIFS('Inventory &amp; COGS'!$H$2:$H$2001,'Inventory &amp; COGS'!$A$2:$A$2001,A126,'Inventory &amp; COGS'!$B$2:$B$2001,"Food"))</f>
        <v/>
      </c>
      <c r="AB126" s="21" t="str">
        <f>IF(A126="","",SUMIFS('Inventory &amp; COGS'!$H$2:$H$2001,'Inventory &amp; COGS'!$A$2:$A$2001,A126,'Inventory &amp; COGS'!$B$2:$B$2001,"Beverage"))</f>
        <v/>
      </c>
      <c r="AC126" s="21" t="str">
        <f t="shared" si="12"/>
        <v/>
      </c>
      <c r="AD126" s="24" t="str">
        <f t="shared" ref="AD126:AE126" si="141">IF(I126=0,"",AA126/I126)</f>
        <v/>
      </c>
      <c r="AE126" s="24" t="str">
        <f t="shared" si="141"/>
        <v/>
      </c>
      <c r="AF126" s="21" t="str">
        <f t="shared" si="14"/>
        <v/>
      </c>
      <c r="AG126" s="24" t="str">
        <f t="shared" si="15"/>
        <v>#DIV/0!</v>
      </c>
      <c r="AH126" s="25" t="str">
        <f t="shared" si="16"/>
        <v/>
      </c>
      <c r="AI126" s="25" t="str">
        <f t="shared" si="17"/>
        <v/>
      </c>
      <c r="AJ126" s="26" t="str">
        <f t="shared" si="18"/>
        <v/>
      </c>
    </row>
    <row r="127" ht="15.75" customHeight="1">
      <c r="A127" s="3"/>
      <c r="B127" s="18" t="str">
        <f t="shared" si="2"/>
        <v/>
      </c>
      <c r="C127" s="19"/>
      <c r="D127" s="19"/>
      <c r="E127" s="19"/>
      <c r="F127" s="20"/>
      <c r="G127" s="20"/>
      <c r="H127" s="21" t="str">
        <f t="shared" si="3"/>
        <v/>
      </c>
      <c r="I127" s="20"/>
      <c r="J127" s="20"/>
      <c r="K127" s="20"/>
      <c r="L127" s="20"/>
      <c r="M127" s="21" t="str">
        <f t="shared" si="4"/>
        <v/>
      </c>
      <c r="N127" s="20"/>
      <c r="O127" s="20"/>
      <c r="P127" s="20"/>
      <c r="Q127" s="21" t="str">
        <f t="shared" si="5"/>
        <v/>
      </c>
      <c r="R127" s="21" t="str">
        <f t="shared" si="6"/>
        <v/>
      </c>
      <c r="S127" s="22"/>
      <c r="T127" s="22"/>
      <c r="U127" s="23" t="str">
        <f t="shared" si="7"/>
        <v/>
      </c>
      <c r="V127" s="21" t="str">
        <f t="shared" si="8"/>
        <v>#DIV/0!</v>
      </c>
      <c r="W127" s="24" t="str">
        <f t="shared" si="9"/>
        <v>#DIV/0!</v>
      </c>
      <c r="X127" s="24" t="str">
        <f t="shared" si="10"/>
        <v>#DIV/0!</v>
      </c>
      <c r="Y127" s="21" t="str">
        <f>IF(A127="","",SUMIFS('Labor Log'!$I$2:$I$2001,'Labor Log'!$A$2:$A$2001,A127))</f>
        <v/>
      </c>
      <c r="Z127" s="24" t="str">
        <f t="shared" si="11"/>
        <v>#DIV/0!</v>
      </c>
      <c r="AA127" s="21" t="str">
        <f>IF(A127="","",SUMIFS('Inventory &amp; COGS'!$H$2:$H$2001,'Inventory &amp; COGS'!$A$2:$A$2001,A127,'Inventory &amp; COGS'!$B$2:$B$2001,"Food"))</f>
        <v/>
      </c>
      <c r="AB127" s="21" t="str">
        <f>IF(A127="","",SUMIFS('Inventory &amp; COGS'!$H$2:$H$2001,'Inventory &amp; COGS'!$A$2:$A$2001,A127,'Inventory &amp; COGS'!$B$2:$B$2001,"Beverage"))</f>
        <v/>
      </c>
      <c r="AC127" s="21" t="str">
        <f t="shared" si="12"/>
        <v/>
      </c>
      <c r="AD127" s="24" t="str">
        <f t="shared" ref="AD127:AE127" si="142">IF(I127=0,"",AA127/I127)</f>
        <v/>
      </c>
      <c r="AE127" s="24" t="str">
        <f t="shared" si="142"/>
        <v/>
      </c>
      <c r="AF127" s="21" t="str">
        <f t="shared" si="14"/>
        <v/>
      </c>
      <c r="AG127" s="24" t="str">
        <f t="shared" si="15"/>
        <v>#DIV/0!</v>
      </c>
      <c r="AH127" s="25" t="str">
        <f t="shared" si="16"/>
        <v/>
      </c>
      <c r="AI127" s="25" t="str">
        <f t="shared" si="17"/>
        <v/>
      </c>
      <c r="AJ127" s="26" t="str">
        <f t="shared" si="18"/>
        <v/>
      </c>
    </row>
    <row r="128" ht="15.75" customHeight="1">
      <c r="A128" s="3"/>
      <c r="B128" s="18" t="str">
        <f t="shared" si="2"/>
        <v/>
      </c>
      <c r="C128" s="19"/>
      <c r="D128" s="19"/>
      <c r="E128" s="19"/>
      <c r="F128" s="20"/>
      <c r="G128" s="20"/>
      <c r="H128" s="21" t="str">
        <f t="shared" si="3"/>
        <v/>
      </c>
      <c r="I128" s="20"/>
      <c r="J128" s="20"/>
      <c r="K128" s="20"/>
      <c r="L128" s="20"/>
      <c r="M128" s="21" t="str">
        <f t="shared" si="4"/>
        <v/>
      </c>
      <c r="N128" s="20"/>
      <c r="O128" s="20"/>
      <c r="P128" s="20"/>
      <c r="Q128" s="21" t="str">
        <f t="shared" si="5"/>
        <v/>
      </c>
      <c r="R128" s="21" t="str">
        <f t="shared" si="6"/>
        <v/>
      </c>
      <c r="S128" s="22"/>
      <c r="T128" s="22"/>
      <c r="U128" s="23" t="str">
        <f t="shared" si="7"/>
        <v/>
      </c>
      <c r="V128" s="21" t="str">
        <f t="shared" si="8"/>
        <v>#DIV/0!</v>
      </c>
      <c r="W128" s="24" t="str">
        <f t="shared" si="9"/>
        <v>#DIV/0!</v>
      </c>
      <c r="X128" s="24" t="str">
        <f t="shared" si="10"/>
        <v>#DIV/0!</v>
      </c>
      <c r="Y128" s="21" t="str">
        <f>IF(A128="","",SUMIFS('Labor Log'!$I$2:$I$2001,'Labor Log'!$A$2:$A$2001,A128))</f>
        <v/>
      </c>
      <c r="Z128" s="24" t="str">
        <f t="shared" si="11"/>
        <v>#DIV/0!</v>
      </c>
      <c r="AA128" s="21" t="str">
        <f>IF(A128="","",SUMIFS('Inventory &amp; COGS'!$H$2:$H$2001,'Inventory &amp; COGS'!$A$2:$A$2001,A128,'Inventory &amp; COGS'!$B$2:$B$2001,"Food"))</f>
        <v/>
      </c>
      <c r="AB128" s="21" t="str">
        <f>IF(A128="","",SUMIFS('Inventory &amp; COGS'!$H$2:$H$2001,'Inventory &amp; COGS'!$A$2:$A$2001,A128,'Inventory &amp; COGS'!$B$2:$B$2001,"Beverage"))</f>
        <v/>
      </c>
      <c r="AC128" s="21" t="str">
        <f t="shared" si="12"/>
        <v/>
      </c>
      <c r="AD128" s="24" t="str">
        <f t="shared" ref="AD128:AE128" si="143">IF(I128=0,"",AA128/I128)</f>
        <v/>
      </c>
      <c r="AE128" s="24" t="str">
        <f t="shared" si="143"/>
        <v/>
      </c>
      <c r="AF128" s="21" t="str">
        <f t="shared" si="14"/>
        <v/>
      </c>
      <c r="AG128" s="24" t="str">
        <f t="shared" si="15"/>
        <v>#DIV/0!</v>
      </c>
      <c r="AH128" s="25" t="str">
        <f t="shared" si="16"/>
        <v/>
      </c>
      <c r="AI128" s="25" t="str">
        <f t="shared" si="17"/>
        <v/>
      </c>
      <c r="AJ128" s="26" t="str">
        <f t="shared" si="18"/>
        <v/>
      </c>
    </row>
    <row r="129" ht="15.75" customHeight="1">
      <c r="A129" s="3"/>
      <c r="B129" s="18" t="str">
        <f t="shared" si="2"/>
        <v/>
      </c>
      <c r="C129" s="19"/>
      <c r="D129" s="19"/>
      <c r="E129" s="19"/>
      <c r="F129" s="20"/>
      <c r="G129" s="20"/>
      <c r="H129" s="21" t="str">
        <f t="shared" si="3"/>
        <v/>
      </c>
      <c r="I129" s="20"/>
      <c r="J129" s="20"/>
      <c r="K129" s="20"/>
      <c r="L129" s="20"/>
      <c r="M129" s="21" t="str">
        <f t="shared" si="4"/>
        <v/>
      </c>
      <c r="N129" s="20"/>
      <c r="O129" s="20"/>
      <c r="P129" s="20"/>
      <c r="Q129" s="21" t="str">
        <f t="shared" si="5"/>
        <v/>
      </c>
      <c r="R129" s="21" t="str">
        <f t="shared" si="6"/>
        <v/>
      </c>
      <c r="S129" s="22"/>
      <c r="T129" s="22"/>
      <c r="U129" s="23" t="str">
        <f t="shared" si="7"/>
        <v/>
      </c>
      <c r="V129" s="21" t="str">
        <f t="shared" si="8"/>
        <v>#DIV/0!</v>
      </c>
      <c r="W129" s="24" t="str">
        <f t="shared" si="9"/>
        <v>#DIV/0!</v>
      </c>
      <c r="X129" s="24" t="str">
        <f t="shared" si="10"/>
        <v>#DIV/0!</v>
      </c>
      <c r="Y129" s="21" t="str">
        <f>IF(A129="","",SUMIFS('Labor Log'!$I$2:$I$2001,'Labor Log'!$A$2:$A$2001,A129))</f>
        <v/>
      </c>
      <c r="Z129" s="24" t="str">
        <f t="shared" si="11"/>
        <v>#DIV/0!</v>
      </c>
      <c r="AA129" s="21" t="str">
        <f>IF(A129="","",SUMIFS('Inventory &amp; COGS'!$H$2:$H$2001,'Inventory &amp; COGS'!$A$2:$A$2001,A129,'Inventory &amp; COGS'!$B$2:$B$2001,"Food"))</f>
        <v/>
      </c>
      <c r="AB129" s="21" t="str">
        <f>IF(A129="","",SUMIFS('Inventory &amp; COGS'!$H$2:$H$2001,'Inventory &amp; COGS'!$A$2:$A$2001,A129,'Inventory &amp; COGS'!$B$2:$B$2001,"Beverage"))</f>
        <v/>
      </c>
      <c r="AC129" s="21" t="str">
        <f t="shared" si="12"/>
        <v/>
      </c>
      <c r="AD129" s="24" t="str">
        <f t="shared" ref="AD129:AE129" si="144">IF(I129=0,"",AA129/I129)</f>
        <v/>
      </c>
      <c r="AE129" s="24" t="str">
        <f t="shared" si="144"/>
        <v/>
      </c>
      <c r="AF129" s="21" t="str">
        <f t="shared" si="14"/>
        <v/>
      </c>
      <c r="AG129" s="24" t="str">
        <f t="shared" si="15"/>
        <v>#DIV/0!</v>
      </c>
      <c r="AH129" s="25" t="str">
        <f t="shared" si="16"/>
        <v/>
      </c>
      <c r="AI129" s="25" t="str">
        <f t="shared" si="17"/>
        <v/>
      </c>
      <c r="AJ129" s="26" t="str">
        <f t="shared" si="18"/>
        <v/>
      </c>
    </row>
    <row r="130" ht="15.75" customHeight="1">
      <c r="A130" s="3"/>
      <c r="B130" s="18" t="str">
        <f t="shared" si="2"/>
        <v/>
      </c>
      <c r="C130" s="19"/>
      <c r="D130" s="19"/>
      <c r="E130" s="19"/>
      <c r="F130" s="20"/>
      <c r="G130" s="20"/>
      <c r="H130" s="21" t="str">
        <f t="shared" si="3"/>
        <v/>
      </c>
      <c r="I130" s="20"/>
      <c r="J130" s="20"/>
      <c r="K130" s="20"/>
      <c r="L130" s="20"/>
      <c r="M130" s="21" t="str">
        <f t="shared" si="4"/>
        <v/>
      </c>
      <c r="N130" s="20"/>
      <c r="O130" s="20"/>
      <c r="P130" s="20"/>
      <c r="Q130" s="21" t="str">
        <f t="shared" si="5"/>
        <v/>
      </c>
      <c r="R130" s="21" t="str">
        <f t="shared" si="6"/>
        <v/>
      </c>
      <c r="S130" s="22"/>
      <c r="T130" s="22"/>
      <c r="U130" s="23" t="str">
        <f t="shared" si="7"/>
        <v/>
      </c>
      <c r="V130" s="21" t="str">
        <f t="shared" si="8"/>
        <v>#DIV/0!</v>
      </c>
      <c r="W130" s="24" t="str">
        <f t="shared" si="9"/>
        <v>#DIV/0!</v>
      </c>
      <c r="X130" s="24" t="str">
        <f t="shared" si="10"/>
        <v>#DIV/0!</v>
      </c>
      <c r="Y130" s="21" t="str">
        <f>IF(A130="","",SUMIFS('Labor Log'!$I$2:$I$2001,'Labor Log'!$A$2:$A$2001,A130))</f>
        <v/>
      </c>
      <c r="Z130" s="24" t="str">
        <f t="shared" si="11"/>
        <v>#DIV/0!</v>
      </c>
      <c r="AA130" s="21" t="str">
        <f>IF(A130="","",SUMIFS('Inventory &amp; COGS'!$H$2:$H$2001,'Inventory &amp; COGS'!$A$2:$A$2001,A130,'Inventory &amp; COGS'!$B$2:$B$2001,"Food"))</f>
        <v/>
      </c>
      <c r="AB130" s="21" t="str">
        <f>IF(A130="","",SUMIFS('Inventory &amp; COGS'!$H$2:$H$2001,'Inventory &amp; COGS'!$A$2:$A$2001,A130,'Inventory &amp; COGS'!$B$2:$B$2001,"Beverage"))</f>
        <v/>
      </c>
      <c r="AC130" s="21" t="str">
        <f t="shared" si="12"/>
        <v/>
      </c>
      <c r="AD130" s="24" t="str">
        <f t="shared" ref="AD130:AE130" si="145">IF(I130=0,"",AA130/I130)</f>
        <v/>
      </c>
      <c r="AE130" s="24" t="str">
        <f t="shared" si="145"/>
        <v/>
      </c>
      <c r="AF130" s="21" t="str">
        <f t="shared" si="14"/>
        <v/>
      </c>
      <c r="AG130" s="24" t="str">
        <f t="shared" si="15"/>
        <v>#DIV/0!</v>
      </c>
      <c r="AH130" s="25" t="str">
        <f t="shared" si="16"/>
        <v/>
      </c>
      <c r="AI130" s="25" t="str">
        <f t="shared" si="17"/>
        <v/>
      </c>
      <c r="AJ130" s="26" t="str">
        <f t="shared" si="18"/>
        <v/>
      </c>
    </row>
    <row r="131" ht="15.75" customHeight="1">
      <c r="A131" s="3"/>
      <c r="B131" s="18" t="str">
        <f t="shared" si="2"/>
        <v/>
      </c>
      <c r="C131" s="19"/>
      <c r="D131" s="19"/>
      <c r="E131" s="19"/>
      <c r="F131" s="20"/>
      <c r="G131" s="20"/>
      <c r="H131" s="21" t="str">
        <f t="shared" si="3"/>
        <v/>
      </c>
      <c r="I131" s="20"/>
      <c r="J131" s="20"/>
      <c r="K131" s="20"/>
      <c r="L131" s="20"/>
      <c r="M131" s="21" t="str">
        <f t="shared" si="4"/>
        <v/>
      </c>
      <c r="N131" s="20"/>
      <c r="O131" s="20"/>
      <c r="P131" s="20"/>
      <c r="Q131" s="21" t="str">
        <f t="shared" si="5"/>
        <v/>
      </c>
      <c r="R131" s="21" t="str">
        <f t="shared" si="6"/>
        <v/>
      </c>
      <c r="S131" s="22"/>
      <c r="T131" s="22"/>
      <c r="U131" s="23" t="str">
        <f t="shared" si="7"/>
        <v/>
      </c>
      <c r="V131" s="21" t="str">
        <f t="shared" si="8"/>
        <v>#DIV/0!</v>
      </c>
      <c r="W131" s="24" t="str">
        <f t="shared" si="9"/>
        <v>#DIV/0!</v>
      </c>
      <c r="X131" s="24" t="str">
        <f t="shared" si="10"/>
        <v>#DIV/0!</v>
      </c>
      <c r="Y131" s="21" t="str">
        <f>IF(A131="","",SUMIFS('Labor Log'!$I$2:$I$2001,'Labor Log'!$A$2:$A$2001,A131))</f>
        <v/>
      </c>
      <c r="Z131" s="24" t="str">
        <f t="shared" si="11"/>
        <v>#DIV/0!</v>
      </c>
      <c r="AA131" s="21" t="str">
        <f>IF(A131="","",SUMIFS('Inventory &amp; COGS'!$H$2:$H$2001,'Inventory &amp; COGS'!$A$2:$A$2001,A131,'Inventory &amp; COGS'!$B$2:$B$2001,"Food"))</f>
        <v/>
      </c>
      <c r="AB131" s="21" t="str">
        <f>IF(A131="","",SUMIFS('Inventory &amp; COGS'!$H$2:$H$2001,'Inventory &amp; COGS'!$A$2:$A$2001,A131,'Inventory &amp; COGS'!$B$2:$B$2001,"Beverage"))</f>
        <v/>
      </c>
      <c r="AC131" s="21" t="str">
        <f t="shared" si="12"/>
        <v/>
      </c>
      <c r="AD131" s="24" t="str">
        <f t="shared" ref="AD131:AE131" si="146">IF(I131=0,"",AA131/I131)</f>
        <v/>
      </c>
      <c r="AE131" s="24" t="str">
        <f t="shared" si="146"/>
        <v/>
      </c>
      <c r="AF131" s="21" t="str">
        <f t="shared" si="14"/>
        <v/>
      </c>
      <c r="AG131" s="24" t="str">
        <f t="shared" si="15"/>
        <v>#DIV/0!</v>
      </c>
      <c r="AH131" s="25" t="str">
        <f t="shared" si="16"/>
        <v/>
      </c>
      <c r="AI131" s="25" t="str">
        <f t="shared" si="17"/>
        <v/>
      </c>
      <c r="AJ131" s="26" t="str">
        <f t="shared" si="18"/>
        <v/>
      </c>
    </row>
    <row r="132" ht="15.75" customHeight="1">
      <c r="A132" s="3"/>
      <c r="B132" s="18" t="str">
        <f t="shared" si="2"/>
        <v/>
      </c>
      <c r="C132" s="19"/>
      <c r="D132" s="19"/>
      <c r="E132" s="19"/>
      <c r="F132" s="20"/>
      <c r="G132" s="20"/>
      <c r="H132" s="21" t="str">
        <f t="shared" si="3"/>
        <v/>
      </c>
      <c r="I132" s="20"/>
      <c r="J132" s="20"/>
      <c r="K132" s="20"/>
      <c r="L132" s="20"/>
      <c r="M132" s="21" t="str">
        <f t="shared" si="4"/>
        <v/>
      </c>
      <c r="N132" s="20"/>
      <c r="O132" s="20"/>
      <c r="P132" s="20"/>
      <c r="Q132" s="21" t="str">
        <f t="shared" si="5"/>
        <v/>
      </c>
      <c r="R132" s="21" t="str">
        <f t="shared" si="6"/>
        <v/>
      </c>
      <c r="S132" s="22"/>
      <c r="T132" s="22"/>
      <c r="U132" s="23" t="str">
        <f t="shared" si="7"/>
        <v/>
      </c>
      <c r="V132" s="21" t="str">
        <f t="shared" si="8"/>
        <v>#DIV/0!</v>
      </c>
      <c r="W132" s="24" t="str">
        <f t="shared" si="9"/>
        <v>#DIV/0!</v>
      </c>
      <c r="X132" s="24" t="str">
        <f t="shared" si="10"/>
        <v>#DIV/0!</v>
      </c>
      <c r="Y132" s="21" t="str">
        <f>IF(A132="","",SUMIFS('Labor Log'!$I$2:$I$2001,'Labor Log'!$A$2:$A$2001,A132))</f>
        <v/>
      </c>
      <c r="Z132" s="24" t="str">
        <f t="shared" si="11"/>
        <v>#DIV/0!</v>
      </c>
      <c r="AA132" s="21" t="str">
        <f>IF(A132="","",SUMIFS('Inventory &amp; COGS'!$H$2:$H$2001,'Inventory &amp; COGS'!$A$2:$A$2001,A132,'Inventory &amp; COGS'!$B$2:$B$2001,"Food"))</f>
        <v/>
      </c>
      <c r="AB132" s="21" t="str">
        <f>IF(A132="","",SUMIFS('Inventory &amp; COGS'!$H$2:$H$2001,'Inventory &amp; COGS'!$A$2:$A$2001,A132,'Inventory &amp; COGS'!$B$2:$B$2001,"Beverage"))</f>
        <v/>
      </c>
      <c r="AC132" s="21" t="str">
        <f t="shared" si="12"/>
        <v/>
      </c>
      <c r="AD132" s="24" t="str">
        <f t="shared" ref="AD132:AE132" si="147">IF(I132=0,"",AA132/I132)</f>
        <v/>
      </c>
      <c r="AE132" s="24" t="str">
        <f t="shared" si="147"/>
        <v/>
      </c>
      <c r="AF132" s="21" t="str">
        <f t="shared" si="14"/>
        <v/>
      </c>
      <c r="AG132" s="24" t="str">
        <f t="shared" si="15"/>
        <v>#DIV/0!</v>
      </c>
      <c r="AH132" s="25" t="str">
        <f t="shared" si="16"/>
        <v/>
      </c>
      <c r="AI132" s="25" t="str">
        <f t="shared" si="17"/>
        <v/>
      </c>
      <c r="AJ132" s="26" t="str">
        <f t="shared" si="18"/>
        <v/>
      </c>
    </row>
    <row r="133" ht="15.75" customHeight="1">
      <c r="A133" s="3"/>
      <c r="B133" s="18" t="str">
        <f t="shared" si="2"/>
        <v/>
      </c>
      <c r="C133" s="19"/>
      <c r="D133" s="19"/>
      <c r="E133" s="19"/>
      <c r="F133" s="20"/>
      <c r="G133" s="20"/>
      <c r="H133" s="21" t="str">
        <f t="shared" si="3"/>
        <v/>
      </c>
      <c r="I133" s="20"/>
      <c r="J133" s="20"/>
      <c r="K133" s="20"/>
      <c r="L133" s="20"/>
      <c r="M133" s="21" t="str">
        <f t="shared" si="4"/>
        <v/>
      </c>
      <c r="N133" s="20"/>
      <c r="O133" s="20"/>
      <c r="P133" s="20"/>
      <c r="Q133" s="21" t="str">
        <f t="shared" si="5"/>
        <v/>
      </c>
      <c r="R133" s="21" t="str">
        <f t="shared" si="6"/>
        <v/>
      </c>
      <c r="S133" s="22"/>
      <c r="T133" s="22"/>
      <c r="U133" s="23" t="str">
        <f t="shared" si="7"/>
        <v/>
      </c>
      <c r="V133" s="21" t="str">
        <f t="shared" si="8"/>
        <v>#DIV/0!</v>
      </c>
      <c r="W133" s="24" t="str">
        <f t="shared" si="9"/>
        <v>#DIV/0!</v>
      </c>
      <c r="X133" s="24" t="str">
        <f t="shared" si="10"/>
        <v>#DIV/0!</v>
      </c>
      <c r="Y133" s="21" t="str">
        <f>IF(A133="","",SUMIFS('Labor Log'!$I$2:$I$2001,'Labor Log'!$A$2:$A$2001,A133))</f>
        <v/>
      </c>
      <c r="Z133" s="24" t="str">
        <f t="shared" si="11"/>
        <v>#DIV/0!</v>
      </c>
      <c r="AA133" s="21" t="str">
        <f>IF(A133="","",SUMIFS('Inventory &amp; COGS'!$H$2:$H$2001,'Inventory &amp; COGS'!$A$2:$A$2001,A133,'Inventory &amp; COGS'!$B$2:$B$2001,"Food"))</f>
        <v/>
      </c>
      <c r="AB133" s="21" t="str">
        <f>IF(A133="","",SUMIFS('Inventory &amp; COGS'!$H$2:$H$2001,'Inventory &amp; COGS'!$A$2:$A$2001,A133,'Inventory &amp; COGS'!$B$2:$B$2001,"Beverage"))</f>
        <v/>
      </c>
      <c r="AC133" s="21" t="str">
        <f t="shared" si="12"/>
        <v/>
      </c>
      <c r="AD133" s="24" t="str">
        <f t="shared" ref="AD133:AE133" si="148">IF(I133=0,"",AA133/I133)</f>
        <v/>
      </c>
      <c r="AE133" s="24" t="str">
        <f t="shared" si="148"/>
        <v/>
      </c>
      <c r="AF133" s="21" t="str">
        <f t="shared" si="14"/>
        <v/>
      </c>
      <c r="AG133" s="24" t="str">
        <f t="shared" si="15"/>
        <v>#DIV/0!</v>
      </c>
      <c r="AH133" s="25" t="str">
        <f t="shared" si="16"/>
        <v/>
      </c>
      <c r="AI133" s="25" t="str">
        <f t="shared" si="17"/>
        <v/>
      </c>
      <c r="AJ133" s="26" t="str">
        <f t="shared" si="18"/>
        <v/>
      </c>
    </row>
    <row r="134" ht="15.75" customHeight="1">
      <c r="A134" s="3"/>
      <c r="B134" s="18" t="str">
        <f t="shared" si="2"/>
        <v/>
      </c>
      <c r="C134" s="19"/>
      <c r="D134" s="19"/>
      <c r="E134" s="19"/>
      <c r="F134" s="20"/>
      <c r="G134" s="20"/>
      <c r="H134" s="21" t="str">
        <f t="shared" si="3"/>
        <v/>
      </c>
      <c r="I134" s="20"/>
      <c r="J134" s="20"/>
      <c r="K134" s="20"/>
      <c r="L134" s="20"/>
      <c r="M134" s="21" t="str">
        <f t="shared" si="4"/>
        <v/>
      </c>
      <c r="N134" s="20"/>
      <c r="O134" s="20"/>
      <c r="P134" s="20"/>
      <c r="Q134" s="21" t="str">
        <f t="shared" si="5"/>
        <v/>
      </c>
      <c r="R134" s="21" t="str">
        <f t="shared" si="6"/>
        <v/>
      </c>
      <c r="S134" s="22"/>
      <c r="T134" s="22"/>
      <c r="U134" s="23" t="str">
        <f t="shared" si="7"/>
        <v/>
      </c>
      <c r="V134" s="21" t="str">
        <f t="shared" si="8"/>
        <v>#DIV/0!</v>
      </c>
      <c r="W134" s="24" t="str">
        <f t="shared" si="9"/>
        <v>#DIV/0!</v>
      </c>
      <c r="X134" s="24" t="str">
        <f t="shared" si="10"/>
        <v>#DIV/0!</v>
      </c>
      <c r="Y134" s="21" t="str">
        <f>IF(A134="","",SUMIFS('Labor Log'!$I$2:$I$2001,'Labor Log'!$A$2:$A$2001,A134))</f>
        <v/>
      </c>
      <c r="Z134" s="24" t="str">
        <f t="shared" si="11"/>
        <v>#DIV/0!</v>
      </c>
      <c r="AA134" s="21" t="str">
        <f>IF(A134="","",SUMIFS('Inventory &amp; COGS'!$H$2:$H$2001,'Inventory &amp; COGS'!$A$2:$A$2001,A134,'Inventory &amp; COGS'!$B$2:$B$2001,"Food"))</f>
        <v/>
      </c>
      <c r="AB134" s="21" t="str">
        <f>IF(A134="","",SUMIFS('Inventory &amp; COGS'!$H$2:$H$2001,'Inventory &amp; COGS'!$A$2:$A$2001,A134,'Inventory &amp; COGS'!$B$2:$B$2001,"Beverage"))</f>
        <v/>
      </c>
      <c r="AC134" s="21" t="str">
        <f t="shared" si="12"/>
        <v/>
      </c>
      <c r="AD134" s="24" t="str">
        <f t="shared" ref="AD134:AE134" si="149">IF(I134=0,"",AA134/I134)</f>
        <v/>
      </c>
      <c r="AE134" s="24" t="str">
        <f t="shared" si="149"/>
        <v/>
      </c>
      <c r="AF134" s="21" t="str">
        <f t="shared" si="14"/>
        <v/>
      </c>
      <c r="AG134" s="24" t="str">
        <f t="shared" si="15"/>
        <v>#DIV/0!</v>
      </c>
      <c r="AH134" s="25" t="str">
        <f t="shared" si="16"/>
        <v/>
      </c>
      <c r="AI134" s="25" t="str">
        <f t="shared" si="17"/>
        <v/>
      </c>
      <c r="AJ134" s="26" t="str">
        <f t="shared" si="18"/>
        <v/>
      </c>
    </row>
    <row r="135" ht="15.75" customHeight="1">
      <c r="A135" s="3"/>
      <c r="B135" s="18" t="str">
        <f t="shared" si="2"/>
        <v/>
      </c>
      <c r="C135" s="19"/>
      <c r="D135" s="19"/>
      <c r="E135" s="19"/>
      <c r="F135" s="20"/>
      <c r="G135" s="20"/>
      <c r="H135" s="21" t="str">
        <f t="shared" si="3"/>
        <v/>
      </c>
      <c r="I135" s="20"/>
      <c r="J135" s="20"/>
      <c r="K135" s="20"/>
      <c r="L135" s="20"/>
      <c r="M135" s="21" t="str">
        <f t="shared" si="4"/>
        <v/>
      </c>
      <c r="N135" s="20"/>
      <c r="O135" s="20"/>
      <c r="P135" s="20"/>
      <c r="Q135" s="21" t="str">
        <f t="shared" si="5"/>
        <v/>
      </c>
      <c r="R135" s="21" t="str">
        <f t="shared" si="6"/>
        <v/>
      </c>
      <c r="S135" s="22"/>
      <c r="T135" s="22"/>
      <c r="U135" s="23" t="str">
        <f t="shared" si="7"/>
        <v/>
      </c>
      <c r="V135" s="21" t="str">
        <f t="shared" si="8"/>
        <v>#DIV/0!</v>
      </c>
      <c r="W135" s="24" t="str">
        <f t="shared" si="9"/>
        <v>#DIV/0!</v>
      </c>
      <c r="X135" s="24" t="str">
        <f t="shared" si="10"/>
        <v>#DIV/0!</v>
      </c>
      <c r="Y135" s="21" t="str">
        <f>IF(A135="","",SUMIFS('Labor Log'!$I$2:$I$2001,'Labor Log'!$A$2:$A$2001,A135))</f>
        <v/>
      </c>
      <c r="Z135" s="24" t="str">
        <f t="shared" si="11"/>
        <v>#DIV/0!</v>
      </c>
      <c r="AA135" s="21" t="str">
        <f>IF(A135="","",SUMIFS('Inventory &amp; COGS'!$H$2:$H$2001,'Inventory &amp; COGS'!$A$2:$A$2001,A135,'Inventory &amp; COGS'!$B$2:$B$2001,"Food"))</f>
        <v/>
      </c>
      <c r="AB135" s="21" t="str">
        <f>IF(A135="","",SUMIFS('Inventory &amp; COGS'!$H$2:$H$2001,'Inventory &amp; COGS'!$A$2:$A$2001,A135,'Inventory &amp; COGS'!$B$2:$B$2001,"Beverage"))</f>
        <v/>
      </c>
      <c r="AC135" s="21" t="str">
        <f t="shared" si="12"/>
        <v/>
      </c>
      <c r="AD135" s="24" t="str">
        <f t="shared" ref="AD135:AE135" si="150">IF(I135=0,"",AA135/I135)</f>
        <v/>
      </c>
      <c r="AE135" s="24" t="str">
        <f t="shared" si="150"/>
        <v/>
      </c>
      <c r="AF135" s="21" t="str">
        <f t="shared" si="14"/>
        <v/>
      </c>
      <c r="AG135" s="24" t="str">
        <f t="shared" si="15"/>
        <v>#DIV/0!</v>
      </c>
      <c r="AH135" s="25" t="str">
        <f t="shared" si="16"/>
        <v/>
      </c>
      <c r="AI135" s="25" t="str">
        <f t="shared" si="17"/>
        <v/>
      </c>
      <c r="AJ135" s="26" t="str">
        <f t="shared" si="18"/>
        <v/>
      </c>
    </row>
    <row r="136" ht="15.75" customHeight="1">
      <c r="A136" s="3"/>
      <c r="B136" s="18" t="str">
        <f t="shared" si="2"/>
        <v/>
      </c>
      <c r="C136" s="19"/>
      <c r="D136" s="19"/>
      <c r="E136" s="19"/>
      <c r="F136" s="20"/>
      <c r="G136" s="20"/>
      <c r="H136" s="21" t="str">
        <f t="shared" si="3"/>
        <v/>
      </c>
      <c r="I136" s="20"/>
      <c r="J136" s="20"/>
      <c r="K136" s="20"/>
      <c r="L136" s="20"/>
      <c r="M136" s="21" t="str">
        <f t="shared" si="4"/>
        <v/>
      </c>
      <c r="N136" s="20"/>
      <c r="O136" s="20"/>
      <c r="P136" s="20"/>
      <c r="Q136" s="21" t="str">
        <f t="shared" si="5"/>
        <v/>
      </c>
      <c r="R136" s="21" t="str">
        <f t="shared" si="6"/>
        <v/>
      </c>
      <c r="S136" s="22"/>
      <c r="T136" s="22"/>
      <c r="U136" s="23" t="str">
        <f t="shared" si="7"/>
        <v/>
      </c>
      <c r="V136" s="21" t="str">
        <f t="shared" si="8"/>
        <v>#DIV/0!</v>
      </c>
      <c r="W136" s="24" t="str">
        <f t="shared" si="9"/>
        <v>#DIV/0!</v>
      </c>
      <c r="X136" s="24" t="str">
        <f t="shared" si="10"/>
        <v>#DIV/0!</v>
      </c>
      <c r="Y136" s="21" t="str">
        <f>IF(A136="","",SUMIFS('Labor Log'!$I$2:$I$2001,'Labor Log'!$A$2:$A$2001,A136))</f>
        <v/>
      </c>
      <c r="Z136" s="24" t="str">
        <f t="shared" si="11"/>
        <v>#DIV/0!</v>
      </c>
      <c r="AA136" s="21" t="str">
        <f>IF(A136="","",SUMIFS('Inventory &amp; COGS'!$H$2:$H$2001,'Inventory &amp; COGS'!$A$2:$A$2001,A136,'Inventory &amp; COGS'!$B$2:$B$2001,"Food"))</f>
        <v/>
      </c>
      <c r="AB136" s="21" t="str">
        <f>IF(A136="","",SUMIFS('Inventory &amp; COGS'!$H$2:$H$2001,'Inventory &amp; COGS'!$A$2:$A$2001,A136,'Inventory &amp; COGS'!$B$2:$B$2001,"Beverage"))</f>
        <v/>
      </c>
      <c r="AC136" s="21" t="str">
        <f t="shared" si="12"/>
        <v/>
      </c>
      <c r="AD136" s="24" t="str">
        <f t="shared" ref="AD136:AE136" si="151">IF(I136=0,"",AA136/I136)</f>
        <v/>
      </c>
      <c r="AE136" s="24" t="str">
        <f t="shared" si="151"/>
        <v/>
      </c>
      <c r="AF136" s="21" t="str">
        <f t="shared" si="14"/>
        <v/>
      </c>
      <c r="AG136" s="24" t="str">
        <f t="shared" si="15"/>
        <v>#DIV/0!</v>
      </c>
      <c r="AH136" s="25" t="str">
        <f t="shared" si="16"/>
        <v/>
      </c>
      <c r="AI136" s="25" t="str">
        <f t="shared" si="17"/>
        <v/>
      </c>
      <c r="AJ136" s="26" t="str">
        <f t="shared" si="18"/>
        <v/>
      </c>
    </row>
    <row r="137" ht="15.75" customHeight="1">
      <c r="A137" s="3"/>
      <c r="B137" s="18" t="str">
        <f t="shared" si="2"/>
        <v/>
      </c>
      <c r="C137" s="19"/>
      <c r="D137" s="19"/>
      <c r="E137" s="19"/>
      <c r="F137" s="20"/>
      <c r="G137" s="20"/>
      <c r="H137" s="21" t="str">
        <f t="shared" si="3"/>
        <v/>
      </c>
      <c r="I137" s="20"/>
      <c r="J137" s="20"/>
      <c r="K137" s="20"/>
      <c r="L137" s="20"/>
      <c r="M137" s="21" t="str">
        <f t="shared" si="4"/>
        <v/>
      </c>
      <c r="N137" s="20"/>
      <c r="O137" s="20"/>
      <c r="P137" s="20"/>
      <c r="Q137" s="21" t="str">
        <f t="shared" si="5"/>
        <v/>
      </c>
      <c r="R137" s="21" t="str">
        <f t="shared" si="6"/>
        <v/>
      </c>
      <c r="S137" s="22"/>
      <c r="T137" s="22"/>
      <c r="U137" s="23" t="str">
        <f t="shared" si="7"/>
        <v/>
      </c>
      <c r="V137" s="21" t="str">
        <f t="shared" si="8"/>
        <v>#DIV/0!</v>
      </c>
      <c r="W137" s="24" t="str">
        <f t="shared" si="9"/>
        <v>#DIV/0!</v>
      </c>
      <c r="X137" s="24" t="str">
        <f t="shared" si="10"/>
        <v>#DIV/0!</v>
      </c>
      <c r="Y137" s="21" t="str">
        <f>IF(A137="","",SUMIFS('Labor Log'!$I$2:$I$2001,'Labor Log'!$A$2:$A$2001,A137))</f>
        <v/>
      </c>
      <c r="Z137" s="24" t="str">
        <f t="shared" si="11"/>
        <v>#DIV/0!</v>
      </c>
      <c r="AA137" s="21" t="str">
        <f>IF(A137="","",SUMIFS('Inventory &amp; COGS'!$H$2:$H$2001,'Inventory &amp; COGS'!$A$2:$A$2001,A137,'Inventory &amp; COGS'!$B$2:$B$2001,"Food"))</f>
        <v/>
      </c>
      <c r="AB137" s="21" t="str">
        <f>IF(A137="","",SUMIFS('Inventory &amp; COGS'!$H$2:$H$2001,'Inventory &amp; COGS'!$A$2:$A$2001,A137,'Inventory &amp; COGS'!$B$2:$B$2001,"Beverage"))</f>
        <v/>
      </c>
      <c r="AC137" s="21" t="str">
        <f t="shared" si="12"/>
        <v/>
      </c>
      <c r="AD137" s="24" t="str">
        <f t="shared" ref="AD137:AE137" si="152">IF(I137=0,"",AA137/I137)</f>
        <v/>
      </c>
      <c r="AE137" s="24" t="str">
        <f t="shared" si="152"/>
        <v/>
      </c>
      <c r="AF137" s="21" t="str">
        <f t="shared" si="14"/>
        <v/>
      </c>
      <c r="AG137" s="24" t="str">
        <f t="shared" si="15"/>
        <v>#DIV/0!</v>
      </c>
      <c r="AH137" s="25" t="str">
        <f t="shared" si="16"/>
        <v/>
      </c>
      <c r="AI137" s="25" t="str">
        <f t="shared" si="17"/>
        <v/>
      </c>
      <c r="AJ137" s="26" t="str">
        <f t="shared" si="18"/>
        <v/>
      </c>
    </row>
    <row r="138" ht="15.75" customHeight="1">
      <c r="A138" s="3"/>
      <c r="B138" s="18" t="str">
        <f t="shared" si="2"/>
        <v/>
      </c>
      <c r="C138" s="19"/>
      <c r="D138" s="19"/>
      <c r="E138" s="19"/>
      <c r="F138" s="20"/>
      <c r="G138" s="20"/>
      <c r="H138" s="21" t="str">
        <f t="shared" si="3"/>
        <v/>
      </c>
      <c r="I138" s="20"/>
      <c r="J138" s="20"/>
      <c r="K138" s="20"/>
      <c r="L138" s="20"/>
      <c r="M138" s="21" t="str">
        <f t="shared" si="4"/>
        <v/>
      </c>
      <c r="N138" s="20"/>
      <c r="O138" s="20"/>
      <c r="P138" s="20"/>
      <c r="Q138" s="21" t="str">
        <f t="shared" si="5"/>
        <v/>
      </c>
      <c r="R138" s="21" t="str">
        <f t="shared" si="6"/>
        <v/>
      </c>
      <c r="S138" s="22"/>
      <c r="T138" s="22"/>
      <c r="U138" s="23" t="str">
        <f t="shared" si="7"/>
        <v/>
      </c>
      <c r="V138" s="21" t="str">
        <f t="shared" si="8"/>
        <v>#DIV/0!</v>
      </c>
      <c r="W138" s="24" t="str">
        <f t="shared" si="9"/>
        <v>#DIV/0!</v>
      </c>
      <c r="X138" s="24" t="str">
        <f t="shared" si="10"/>
        <v>#DIV/0!</v>
      </c>
      <c r="Y138" s="21" t="str">
        <f>IF(A138="","",SUMIFS('Labor Log'!$I$2:$I$2001,'Labor Log'!$A$2:$A$2001,A138))</f>
        <v/>
      </c>
      <c r="Z138" s="24" t="str">
        <f t="shared" si="11"/>
        <v>#DIV/0!</v>
      </c>
      <c r="AA138" s="21" t="str">
        <f>IF(A138="","",SUMIFS('Inventory &amp; COGS'!$H$2:$H$2001,'Inventory &amp; COGS'!$A$2:$A$2001,A138,'Inventory &amp; COGS'!$B$2:$B$2001,"Food"))</f>
        <v/>
      </c>
      <c r="AB138" s="21" t="str">
        <f>IF(A138="","",SUMIFS('Inventory &amp; COGS'!$H$2:$H$2001,'Inventory &amp; COGS'!$A$2:$A$2001,A138,'Inventory &amp; COGS'!$B$2:$B$2001,"Beverage"))</f>
        <v/>
      </c>
      <c r="AC138" s="21" t="str">
        <f t="shared" si="12"/>
        <v/>
      </c>
      <c r="AD138" s="24" t="str">
        <f t="shared" ref="AD138:AE138" si="153">IF(I138=0,"",AA138/I138)</f>
        <v/>
      </c>
      <c r="AE138" s="24" t="str">
        <f t="shared" si="153"/>
        <v/>
      </c>
      <c r="AF138" s="21" t="str">
        <f t="shared" si="14"/>
        <v/>
      </c>
      <c r="AG138" s="24" t="str">
        <f t="shared" si="15"/>
        <v>#DIV/0!</v>
      </c>
      <c r="AH138" s="25" t="str">
        <f t="shared" si="16"/>
        <v/>
      </c>
      <c r="AI138" s="25" t="str">
        <f t="shared" si="17"/>
        <v/>
      </c>
      <c r="AJ138" s="26" t="str">
        <f t="shared" si="18"/>
        <v/>
      </c>
    </row>
    <row r="139" ht="15.75" customHeight="1">
      <c r="A139" s="3"/>
      <c r="B139" s="18" t="str">
        <f t="shared" si="2"/>
        <v/>
      </c>
      <c r="C139" s="19"/>
      <c r="D139" s="19"/>
      <c r="E139" s="19"/>
      <c r="F139" s="20"/>
      <c r="G139" s="20"/>
      <c r="H139" s="21" t="str">
        <f t="shared" si="3"/>
        <v/>
      </c>
      <c r="I139" s="20"/>
      <c r="J139" s="20"/>
      <c r="K139" s="20"/>
      <c r="L139" s="20"/>
      <c r="M139" s="21" t="str">
        <f t="shared" si="4"/>
        <v/>
      </c>
      <c r="N139" s="20"/>
      <c r="O139" s="20"/>
      <c r="P139" s="20"/>
      <c r="Q139" s="21" t="str">
        <f t="shared" si="5"/>
        <v/>
      </c>
      <c r="R139" s="21" t="str">
        <f t="shared" si="6"/>
        <v/>
      </c>
      <c r="S139" s="22"/>
      <c r="T139" s="22"/>
      <c r="U139" s="23" t="str">
        <f t="shared" si="7"/>
        <v/>
      </c>
      <c r="V139" s="21" t="str">
        <f t="shared" si="8"/>
        <v>#DIV/0!</v>
      </c>
      <c r="W139" s="24" t="str">
        <f t="shared" si="9"/>
        <v>#DIV/0!</v>
      </c>
      <c r="X139" s="24" t="str">
        <f t="shared" si="10"/>
        <v>#DIV/0!</v>
      </c>
      <c r="Y139" s="21" t="str">
        <f>IF(A139="","",SUMIFS('Labor Log'!$I$2:$I$2001,'Labor Log'!$A$2:$A$2001,A139))</f>
        <v/>
      </c>
      <c r="Z139" s="24" t="str">
        <f t="shared" si="11"/>
        <v>#DIV/0!</v>
      </c>
      <c r="AA139" s="21" t="str">
        <f>IF(A139="","",SUMIFS('Inventory &amp; COGS'!$H$2:$H$2001,'Inventory &amp; COGS'!$A$2:$A$2001,A139,'Inventory &amp; COGS'!$B$2:$B$2001,"Food"))</f>
        <v/>
      </c>
      <c r="AB139" s="21" t="str">
        <f>IF(A139="","",SUMIFS('Inventory &amp; COGS'!$H$2:$H$2001,'Inventory &amp; COGS'!$A$2:$A$2001,A139,'Inventory &amp; COGS'!$B$2:$B$2001,"Beverage"))</f>
        <v/>
      </c>
      <c r="AC139" s="21" t="str">
        <f t="shared" si="12"/>
        <v/>
      </c>
      <c r="AD139" s="24" t="str">
        <f t="shared" ref="AD139:AE139" si="154">IF(I139=0,"",AA139/I139)</f>
        <v/>
      </c>
      <c r="AE139" s="24" t="str">
        <f t="shared" si="154"/>
        <v/>
      </c>
      <c r="AF139" s="21" t="str">
        <f t="shared" si="14"/>
        <v/>
      </c>
      <c r="AG139" s="24" t="str">
        <f t="shared" si="15"/>
        <v>#DIV/0!</v>
      </c>
      <c r="AH139" s="25" t="str">
        <f t="shared" si="16"/>
        <v/>
      </c>
      <c r="AI139" s="25" t="str">
        <f t="shared" si="17"/>
        <v/>
      </c>
      <c r="AJ139" s="26" t="str">
        <f t="shared" si="18"/>
        <v/>
      </c>
    </row>
    <row r="140" ht="15.75" customHeight="1">
      <c r="A140" s="3"/>
      <c r="B140" s="18" t="str">
        <f t="shared" si="2"/>
        <v/>
      </c>
      <c r="C140" s="19"/>
      <c r="D140" s="19"/>
      <c r="E140" s="19"/>
      <c r="F140" s="20"/>
      <c r="G140" s="20"/>
      <c r="H140" s="21" t="str">
        <f t="shared" si="3"/>
        <v/>
      </c>
      <c r="I140" s="20"/>
      <c r="J140" s="20"/>
      <c r="K140" s="20"/>
      <c r="L140" s="20"/>
      <c r="M140" s="21" t="str">
        <f t="shared" si="4"/>
        <v/>
      </c>
      <c r="N140" s="20"/>
      <c r="O140" s="20"/>
      <c r="P140" s="20"/>
      <c r="Q140" s="21" t="str">
        <f t="shared" si="5"/>
        <v/>
      </c>
      <c r="R140" s="21" t="str">
        <f t="shared" si="6"/>
        <v/>
      </c>
      <c r="S140" s="22"/>
      <c r="T140" s="22"/>
      <c r="U140" s="23" t="str">
        <f t="shared" si="7"/>
        <v/>
      </c>
      <c r="V140" s="21" t="str">
        <f t="shared" si="8"/>
        <v>#DIV/0!</v>
      </c>
      <c r="W140" s="24" t="str">
        <f t="shared" si="9"/>
        <v>#DIV/0!</v>
      </c>
      <c r="X140" s="24" t="str">
        <f t="shared" si="10"/>
        <v>#DIV/0!</v>
      </c>
      <c r="Y140" s="21" t="str">
        <f>IF(A140="","",SUMIFS('Labor Log'!$I$2:$I$2001,'Labor Log'!$A$2:$A$2001,A140))</f>
        <v/>
      </c>
      <c r="Z140" s="24" t="str">
        <f t="shared" si="11"/>
        <v>#DIV/0!</v>
      </c>
      <c r="AA140" s="21" t="str">
        <f>IF(A140="","",SUMIFS('Inventory &amp; COGS'!$H$2:$H$2001,'Inventory &amp; COGS'!$A$2:$A$2001,A140,'Inventory &amp; COGS'!$B$2:$B$2001,"Food"))</f>
        <v/>
      </c>
      <c r="AB140" s="21" t="str">
        <f>IF(A140="","",SUMIFS('Inventory &amp; COGS'!$H$2:$H$2001,'Inventory &amp; COGS'!$A$2:$A$2001,A140,'Inventory &amp; COGS'!$B$2:$B$2001,"Beverage"))</f>
        <v/>
      </c>
      <c r="AC140" s="21" t="str">
        <f t="shared" si="12"/>
        <v/>
      </c>
      <c r="AD140" s="24" t="str">
        <f t="shared" ref="AD140:AE140" si="155">IF(I140=0,"",AA140/I140)</f>
        <v/>
      </c>
      <c r="AE140" s="24" t="str">
        <f t="shared" si="155"/>
        <v/>
      </c>
      <c r="AF140" s="21" t="str">
        <f t="shared" si="14"/>
        <v/>
      </c>
      <c r="AG140" s="24" t="str">
        <f t="shared" si="15"/>
        <v>#DIV/0!</v>
      </c>
      <c r="AH140" s="25" t="str">
        <f t="shared" si="16"/>
        <v/>
      </c>
      <c r="AI140" s="25" t="str">
        <f t="shared" si="17"/>
        <v/>
      </c>
      <c r="AJ140" s="26" t="str">
        <f t="shared" si="18"/>
        <v/>
      </c>
    </row>
    <row r="141" ht="15.75" customHeight="1">
      <c r="A141" s="3"/>
      <c r="B141" s="18" t="str">
        <f t="shared" si="2"/>
        <v/>
      </c>
      <c r="C141" s="19"/>
      <c r="D141" s="19"/>
      <c r="E141" s="19"/>
      <c r="F141" s="20"/>
      <c r="G141" s="20"/>
      <c r="H141" s="21" t="str">
        <f t="shared" si="3"/>
        <v/>
      </c>
      <c r="I141" s="20"/>
      <c r="J141" s="20"/>
      <c r="K141" s="20"/>
      <c r="L141" s="20"/>
      <c r="M141" s="21" t="str">
        <f t="shared" si="4"/>
        <v/>
      </c>
      <c r="N141" s="20"/>
      <c r="O141" s="20"/>
      <c r="P141" s="20"/>
      <c r="Q141" s="21" t="str">
        <f t="shared" si="5"/>
        <v/>
      </c>
      <c r="R141" s="21" t="str">
        <f t="shared" si="6"/>
        <v/>
      </c>
      <c r="S141" s="22"/>
      <c r="T141" s="22"/>
      <c r="U141" s="23" t="str">
        <f t="shared" si="7"/>
        <v/>
      </c>
      <c r="V141" s="21" t="str">
        <f t="shared" si="8"/>
        <v>#DIV/0!</v>
      </c>
      <c r="W141" s="24" t="str">
        <f t="shared" si="9"/>
        <v>#DIV/0!</v>
      </c>
      <c r="X141" s="24" t="str">
        <f t="shared" si="10"/>
        <v>#DIV/0!</v>
      </c>
      <c r="Y141" s="21" t="str">
        <f>IF(A141="","",SUMIFS('Labor Log'!$I$2:$I$2001,'Labor Log'!$A$2:$A$2001,A141))</f>
        <v/>
      </c>
      <c r="Z141" s="24" t="str">
        <f t="shared" si="11"/>
        <v>#DIV/0!</v>
      </c>
      <c r="AA141" s="21" t="str">
        <f>IF(A141="","",SUMIFS('Inventory &amp; COGS'!$H$2:$H$2001,'Inventory &amp; COGS'!$A$2:$A$2001,A141,'Inventory &amp; COGS'!$B$2:$B$2001,"Food"))</f>
        <v/>
      </c>
      <c r="AB141" s="21" t="str">
        <f>IF(A141="","",SUMIFS('Inventory &amp; COGS'!$H$2:$H$2001,'Inventory &amp; COGS'!$A$2:$A$2001,A141,'Inventory &amp; COGS'!$B$2:$B$2001,"Beverage"))</f>
        <v/>
      </c>
      <c r="AC141" s="21" t="str">
        <f t="shared" si="12"/>
        <v/>
      </c>
      <c r="AD141" s="24" t="str">
        <f t="shared" ref="AD141:AE141" si="156">IF(I141=0,"",AA141/I141)</f>
        <v/>
      </c>
      <c r="AE141" s="24" t="str">
        <f t="shared" si="156"/>
        <v/>
      </c>
      <c r="AF141" s="21" t="str">
        <f t="shared" si="14"/>
        <v/>
      </c>
      <c r="AG141" s="24" t="str">
        <f t="shared" si="15"/>
        <v>#DIV/0!</v>
      </c>
      <c r="AH141" s="25" t="str">
        <f t="shared" si="16"/>
        <v/>
      </c>
      <c r="AI141" s="25" t="str">
        <f t="shared" si="17"/>
        <v/>
      </c>
      <c r="AJ141" s="26" t="str">
        <f t="shared" si="18"/>
        <v/>
      </c>
    </row>
    <row r="142" ht="15.75" customHeight="1">
      <c r="A142" s="3"/>
      <c r="B142" s="18" t="str">
        <f t="shared" si="2"/>
        <v/>
      </c>
      <c r="C142" s="19"/>
      <c r="D142" s="19"/>
      <c r="E142" s="19"/>
      <c r="F142" s="20"/>
      <c r="G142" s="20"/>
      <c r="H142" s="21" t="str">
        <f t="shared" si="3"/>
        <v/>
      </c>
      <c r="I142" s="20"/>
      <c r="J142" s="20"/>
      <c r="K142" s="20"/>
      <c r="L142" s="20"/>
      <c r="M142" s="21" t="str">
        <f t="shared" si="4"/>
        <v/>
      </c>
      <c r="N142" s="20"/>
      <c r="O142" s="20"/>
      <c r="P142" s="20"/>
      <c r="Q142" s="21" t="str">
        <f t="shared" si="5"/>
        <v/>
      </c>
      <c r="R142" s="21" t="str">
        <f t="shared" si="6"/>
        <v/>
      </c>
      <c r="S142" s="22"/>
      <c r="T142" s="22"/>
      <c r="U142" s="23" t="str">
        <f t="shared" si="7"/>
        <v/>
      </c>
      <c r="V142" s="21" t="str">
        <f t="shared" si="8"/>
        <v>#DIV/0!</v>
      </c>
      <c r="W142" s="24" t="str">
        <f t="shared" si="9"/>
        <v>#DIV/0!</v>
      </c>
      <c r="X142" s="24" t="str">
        <f t="shared" si="10"/>
        <v>#DIV/0!</v>
      </c>
      <c r="Y142" s="21" t="str">
        <f>IF(A142="","",SUMIFS('Labor Log'!$I$2:$I$2001,'Labor Log'!$A$2:$A$2001,A142))</f>
        <v/>
      </c>
      <c r="Z142" s="24" t="str">
        <f t="shared" si="11"/>
        <v>#DIV/0!</v>
      </c>
      <c r="AA142" s="21" t="str">
        <f>IF(A142="","",SUMIFS('Inventory &amp; COGS'!$H$2:$H$2001,'Inventory &amp; COGS'!$A$2:$A$2001,A142,'Inventory &amp; COGS'!$B$2:$B$2001,"Food"))</f>
        <v/>
      </c>
      <c r="AB142" s="21" t="str">
        <f>IF(A142="","",SUMIFS('Inventory &amp; COGS'!$H$2:$H$2001,'Inventory &amp; COGS'!$A$2:$A$2001,A142,'Inventory &amp; COGS'!$B$2:$B$2001,"Beverage"))</f>
        <v/>
      </c>
      <c r="AC142" s="21" t="str">
        <f t="shared" si="12"/>
        <v/>
      </c>
      <c r="AD142" s="24" t="str">
        <f t="shared" ref="AD142:AE142" si="157">IF(I142=0,"",AA142/I142)</f>
        <v/>
      </c>
      <c r="AE142" s="24" t="str">
        <f t="shared" si="157"/>
        <v/>
      </c>
      <c r="AF142" s="21" t="str">
        <f t="shared" si="14"/>
        <v/>
      </c>
      <c r="AG142" s="24" t="str">
        <f t="shared" si="15"/>
        <v>#DIV/0!</v>
      </c>
      <c r="AH142" s="25" t="str">
        <f t="shared" si="16"/>
        <v/>
      </c>
      <c r="AI142" s="25" t="str">
        <f t="shared" si="17"/>
        <v/>
      </c>
      <c r="AJ142" s="26" t="str">
        <f t="shared" si="18"/>
        <v/>
      </c>
    </row>
    <row r="143" ht="15.75" customHeight="1">
      <c r="A143" s="3"/>
      <c r="B143" s="18" t="str">
        <f t="shared" si="2"/>
        <v/>
      </c>
      <c r="C143" s="19"/>
      <c r="D143" s="19"/>
      <c r="E143" s="19"/>
      <c r="F143" s="20"/>
      <c r="G143" s="20"/>
      <c r="H143" s="21" t="str">
        <f t="shared" si="3"/>
        <v/>
      </c>
      <c r="I143" s="20"/>
      <c r="J143" s="20"/>
      <c r="K143" s="20"/>
      <c r="L143" s="20"/>
      <c r="M143" s="21" t="str">
        <f t="shared" si="4"/>
        <v/>
      </c>
      <c r="N143" s="20"/>
      <c r="O143" s="20"/>
      <c r="P143" s="20"/>
      <c r="Q143" s="21" t="str">
        <f t="shared" si="5"/>
        <v/>
      </c>
      <c r="R143" s="21" t="str">
        <f t="shared" si="6"/>
        <v/>
      </c>
      <c r="S143" s="22"/>
      <c r="T143" s="22"/>
      <c r="U143" s="23" t="str">
        <f t="shared" si="7"/>
        <v/>
      </c>
      <c r="V143" s="21" t="str">
        <f t="shared" si="8"/>
        <v>#DIV/0!</v>
      </c>
      <c r="W143" s="24" t="str">
        <f t="shared" si="9"/>
        <v>#DIV/0!</v>
      </c>
      <c r="X143" s="24" t="str">
        <f t="shared" si="10"/>
        <v>#DIV/0!</v>
      </c>
      <c r="Y143" s="21" t="str">
        <f>IF(A143="","",SUMIFS('Labor Log'!$I$2:$I$2001,'Labor Log'!$A$2:$A$2001,A143))</f>
        <v/>
      </c>
      <c r="Z143" s="24" t="str">
        <f t="shared" si="11"/>
        <v>#DIV/0!</v>
      </c>
      <c r="AA143" s="21" t="str">
        <f>IF(A143="","",SUMIFS('Inventory &amp; COGS'!$H$2:$H$2001,'Inventory &amp; COGS'!$A$2:$A$2001,A143,'Inventory &amp; COGS'!$B$2:$B$2001,"Food"))</f>
        <v/>
      </c>
      <c r="AB143" s="21" t="str">
        <f>IF(A143="","",SUMIFS('Inventory &amp; COGS'!$H$2:$H$2001,'Inventory &amp; COGS'!$A$2:$A$2001,A143,'Inventory &amp; COGS'!$B$2:$B$2001,"Beverage"))</f>
        <v/>
      </c>
      <c r="AC143" s="21" t="str">
        <f t="shared" si="12"/>
        <v/>
      </c>
      <c r="AD143" s="24" t="str">
        <f t="shared" ref="AD143:AE143" si="158">IF(I143=0,"",AA143/I143)</f>
        <v/>
      </c>
      <c r="AE143" s="24" t="str">
        <f t="shared" si="158"/>
        <v/>
      </c>
      <c r="AF143" s="21" t="str">
        <f t="shared" si="14"/>
        <v/>
      </c>
      <c r="AG143" s="24" t="str">
        <f t="shared" si="15"/>
        <v>#DIV/0!</v>
      </c>
      <c r="AH143" s="25" t="str">
        <f t="shared" si="16"/>
        <v/>
      </c>
      <c r="AI143" s="25" t="str">
        <f t="shared" si="17"/>
        <v/>
      </c>
      <c r="AJ143" s="26" t="str">
        <f t="shared" si="18"/>
        <v/>
      </c>
    </row>
    <row r="144" ht="15.75" customHeight="1">
      <c r="A144" s="3"/>
      <c r="B144" s="18" t="str">
        <f t="shared" si="2"/>
        <v/>
      </c>
      <c r="C144" s="19"/>
      <c r="D144" s="19"/>
      <c r="E144" s="19"/>
      <c r="F144" s="20"/>
      <c r="G144" s="20"/>
      <c r="H144" s="21" t="str">
        <f t="shared" si="3"/>
        <v/>
      </c>
      <c r="I144" s="20"/>
      <c r="J144" s="20"/>
      <c r="K144" s="20"/>
      <c r="L144" s="20"/>
      <c r="M144" s="21" t="str">
        <f t="shared" si="4"/>
        <v/>
      </c>
      <c r="N144" s="20"/>
      <c r="O144" s="20"/>
      <c r="P144" s="20"/>
      <c r="Q144" s="21" t="str">
        <f t="shared" si="5"/>
        <v/>
      </c>
      <c r="R144" s="21" t="str">
        <f t="shared" si="6"/>
        <v/>
      </c>
      <c r="S144" s="22"/>
      <c r="T144" s="22"/>
      <c r="U144" s="23" t="str">
        <f t="shared" si="7"/>
        <v/>
      </c>
      <c r="V144" s="21" t="str">
        <f t="shared" si="8"/>
        <v>#DIV/0!</v>
      </c>
      <c r="W144" s="24" t="str">
        <f t="shared" si="9"/>
        <v>#DIV/0!</v>
      </c>
      <c r="X144" s="24" t="str">
        <f t="shared" si="10"/>
        <v>#DIV/0!</v>
      </c>
      <c r="Y144" s="21" t="str">
        <f>IF(A144="","",SUMIFS('Labor Log'!$I$2:$I$2001,'Labor Log'!$A$2:$A$2001,A144))</f>
        <v/>
      </c>
      <c r="Z144" s="24" t="str">
        <f t="shared" si="11"/>
        <v>#DIV/0!</v>
      </c>
      <c r="AA144" s="21" t="str">
        <f>IF(A144="","",SUMIFS('Inventory &amp; COGS'!$H$2:$H$2001,'Inventory &amp; COGS'!$A$2:$A$2001,A144,'Inventory &amp; COGS'!$B$2:$B$2001,"Food"))</f>
        <v/>
      </c>
      <c r="AB144" s="21" t="str">
        <f>IF(A144="","",SUMIFS('Inventory &amp; COGS'!$H$2:$H$2001,'Inventory &amp; COGS'!$A$2:$A$2001,A144,'Inventory &amp; COGS'!$B$2:$B$2001,"Beverage"))</f>
        <v/>
      </c>
      <c r="AC144" s="21" t="str">
        <f t="shared" si="12"/>
        <v/>
      </c>
      <c r="AD144" s="24" t="str">
        <f t="shared" ref="AD144:AE144" si="159">IF(I144=0,"",AA144/I144)</f>
        <v/>
      </c>
      <c r="AE144" s="24" t="str">
        <f t="shared" si="159"/>
        <v/>
      </c>
      <c r="AF144" s="21" t="str">
        <f t="shared" si="14"/>
        <v/>
      </c>
      <c r="AG144" s="24" t="str">
        <f t="shared" si="15"/>
        <v>#DIV/0!</v>
      </c>
      <c r="AH144" s="25" t="str">
        <f t="shared" si="16"/>
        <v/>
      </c>
      <c r="AI144" s="25" t="str">
        <f t="shared" si="17"/>
        <v/>
      </c>
      <c r="AJ144" s="26" t="str">
        <f t="shared" si="18"/>
        <v/>
      </c>
    </row>
    <row r="145" ht="15.75" customHeight="1">
      <c r="A145" s="3"/>
      <c r="B145" s="18" t="str">
        <f t="shared" si="2"/>
        <v/>
      </c>
      <c r="C145" s="19"/>
      <c r="D145" s="19"/>
      <c r="E145" s="19"/>
      <c r="F145" s="20"/>
      <c r="G145" s="20"/>
      <c r="H145" s="21" t="str">
        <f t="shared" si="3"/>
        <v/>
      </c>
      <c r="I145" s="20"/>
      <c r="J145" s="20"/>
      <c r="K145" s="20"/>
      <c r="L145" s="20"/>
      <c r="M145" s="21" t="str">
        <f t="shared" si="4"/>
        <v/>
      </c>
      <c r="N145" s="20"/>
      <c r="O145" s="20"/>
      <c r="P145" s="20"/>
      <c r="Q145" s="21" t="str">
        <f t="shared" si="5"/>
        <v/>
      </c>
      <c r="R145" s="21" t="str">
        <f t="shared" si="6"/>
        <v/>
      </c>
      <c r="S145" s="22"/>
      <c r="T145" s="22"/>
      <c r="U145" s="23" t="str">
        <f t="shared" si="7"/>
        <v/>
      </c>
      <c r="V145" s="21" t="str">
        <f t="shared" si="8"/>
        <v>#DIV/0!</v>
      </c>
      <c r="W145" s="24" t="str">
        <f t="shared" si="9"/>
        <v>#DIV/0!</v>
      </c>
      <c r="X145" s="24" t="str">
        <f t="shared" si="10"/>
        <v>#DIV/0!</v>
      </c>
      <c r="Y145" s="21" t="str">
        <f>IF(A145="","",SUMIFS('Labor Log'!$I$2:$I$2001,'Labor Log'!$A$2:$A$2001,A145))</f>
        <v/>
      </c>
      <c r="Z145" s="24" t="str">
        <f t="shared" si="11"/>
        <v>#DIV/0!</v>
      </c>
      <c r="AA145" s="21" t="str">
        <f>IF(A145="","",SUMIFS('Inventory &amp; COGS'!$H$2:$H$2001,'Inventory &amp; COGS'!$A$2:$A$2001,A145,'Inventory &amp; COGS'!$B$2:$B$2001,"Food"))</f>
        <v/>
      </c>
      <c r="AB145" s="21" t="str">
        <f>IF(A145="","",SUMIFS('Inventory &amp; COGS'!$H$2:$H$2001,'Inventory &amp; COGS'!$A$2:$A$2001,A145,'Inventory &amp; COGS'!$B$2:$B$2001,"Beverage"))</f>
        <v/>
      </c>
      <c r="AC145" s="21" t="str">
        <f t="shared" si="12"/>
        <v/>
      </c>
      <c r="AD145" s="24" t="str">
        <f t="shared" ref="AD145:AE145" si="160">IF(I145=0,"",AA145/I145)</f>
        <v/>
      </c>
      <c r="AE145" s="24" t="str">
        <f t="shared" si="160"/>
        <v/>
      </c>
      <c r="AF145" s="21" t="str">
        <f t="shared" si="14"/>
        <v/>
      </c>
      <c r="AG145" s="24" t="str">
        <f t="shared" si="15"/>
        <v>#DIV/0!</v>
      </c>
      <c r="AH145" s="25" t="str">
        <f t="shared" si="16"/>
        <v/>
      </c>
      <c r="AI145" s="25" t="str">
        <f t="shared" si="17"/>
        <v/>
      </c>
      <c r="AJ145" s="26" t="str">
        <f t="shared" si="18"/>
        <v/>
      </c>
    </row>
    <row r="146" ht="15.75" customHeight="1">
      <c r="A146" s="3"/>
      <c r="B146" s="18" t="str">
        <f t="shared" si="2"/>
        <v/>
      </c>
      <c r="C146" s="19"/>
      <c r="D146" s="19"/>
      <c r="E146" s="19"/>
      <c r="F146" s="20"/>
      <c r="G146" s="20"/>
      <c r="H146" s="21" t="str">
        <f t="shared" si="3"/>
        <v/>
      </c>
      <c r="I146" s="20"/>
      <c r="J146" s="20"/>
      <c r="K146" s="20"/>
      <c r="L146" s="20"/>
      <c r="M146" s="21" t="str">
        <f t="shared" si="4"/>
        <v/>
      </c>
      <c r="N146" s="20"/>
      <c r="O146" s="20"/>
      <c r="P146" s="20"/>
      <c r="Q146" s="21" t="str">
        <f t="shared" si="5"/>
        <v/>
      </c>
      <c r="R146" s="21" t="str">
        <f t="shared" si="6"/>
        <v/>
      </c>
      <c r="S146" s="22"/>
      <c r="T146" s="22"/>
      <c r="U146" s="23" t="str">
        <f t="shared" si="7"/>
        <v/>
      </c>
      <c r="V146" s="21" t="str">
        <f t="shared" si="8"/>
        <v>#DIV/0!</v>
      </c>
      <c r="W146" s="24" t="str">
        <f t="shared" si="9"/>
        <v>#DIV/0!</v>
      </c>
      <c r="X146" s="24" t="str">
        <f t="shared" si="10"/>
        <v>#DIV/0!</v>
      </c>
      <c r="Y146" s="21" t="str">
        <f>IF(A146="","",SUMIFS('Labor Log'!$I$2:$I$2001,'Labor Log'!$A$2:$A$2001,A146))</f>
        <v/>
      </c>
      <c r="Z146" s="24" t="str">
        <f t="shared" si="11"/>
        <v>#DIV/0!</v>
      </c>
      <c r="AA146" s="21" t="str">
        <f>IF(A146="","",SUMIFS('Inventory &amp; COGS'!$H$2:$H$2001,'Inventory &amp; COGS'!$A$2:$A$2001,A146,'Inventory &amp; COGS'!$B$2:$B$2001,"Food"))</f>
        <v/>
      </c>
      <c r="AB146" s="21" t="str">
        <f>IF(A146="","",SUMIFS('Inventory &amp; COGS'!$H$2:$H$2001,'Inventory &amp; COGS'!$A$2:$A$2001,A146,'Inventory &amp; COGS'!$B$2:$B$2001,"Beverage"))</f>
        <v/>
      </c>
      <c r="AC146" s="21" t="str">
        <f t="shared" si="12"/>
        <v/>
      </c>
      <c r="AD146" s="24" t="str">
        <f t="shared" ref="AD146:AE146" si="161">IF(I146=0,"",AA146/I146)</f>
        <v/>
      </c>
      <c r="AE146" s="24" t="str">
        <f t="shared" si="161"/>
        <v/>
      </c>
      <c r="AF146" s="21" t="str">
        <f t="shared" si="14"/>
        <v/>
      </c>
      <c r="AG146" s="24" t="str">
        <f t="shared" si="15"/>
        <v>#DIV/0!</v>
      </c>
      <c r="AH146" s="25" t="str">
        <f t="shared" si="16"/>
        <v/>
      </c>
      <c r="AI146" s="25" t="str">
        <f t="shared" si="17"/>
        <v/>
      </c>
      <c r="AJ146" s="26" t="str">
        <f t="shared" si="18"/>
        <v/>
      </c>
    </row>
    <row r="147" ht="15.75" customHeight="1">
      <c r="A147" s="3"/>
      <c r="B147" s="18" t="str">
        <f t="shared" si="2"/>
        <v/>
      </c>
      <c r="C147" s="19"/>
      <c r="D147" s="19"/>
      <c r="E147" s="19"/>
      <c r="F147" s="20"/>
      <c r="G147" s="20"/>
      <c r="H147" s="21" t="str">
        <f t="shared" si="3"/>
        <v/>
      </c>
      <c r="I147" s="20"/>
      <c r="J147" s="20"/>
      <c r="K147" s="20"/>
      <c r="L147" s="20"/>
      <c r="M147" s="21" t="str">
        <f t="shared" si="4"/>
        <v/>
      </c>
      <c r="N147" s="20"/>
      <c r="O147" s="20"/>
      <c r="P147" s="20"/>
      <c r="Q147" s="21" t="str">
        <f t="shared" si="5"/>
        <v/>
      </c>
      <c r="R147" s="21" t="str">
        <f t="shared" si="6"/>
        <v/>
      </c>
      <c r="S147" s="22"/>
      <c r="T147" s="22"/>
      <c r="U147" s="23" t="str">
        <f t="shared" si="7"/>
        <v/>
      </c>
      <c r="V147" s="21" t="str">
        <f t="shared" si="8"/>
        <v>#DIV/0!</v>
      </c>
      <c r="W147" s="24" t="str">
        <f t="shared" si="9"/>
        <v>#DIV/0!</v>
      </c>
      <c r="X147" s="24" t="str">
        <f t="shared" si="10"/>
        <v>#DIV/0!</v>
      </c>
      <c r="Y147" s="21" t="str">
        <f>IF(A147="","",SUMIFS('Labor Log'!$I$2:$I$2001,'Labor Log'!$A$2:$A$2001,A147))</f>
        <v/>
      </c>
      <c r="Z147" s="24" t="str">
        <f t="shared" si="11"/>
        <v>#DIV/0!</v>
      </c>
      <c r="AA147" s="21" t="str">
        <f>IF(A147="","",SUMIFS('Inventory &amp; COGS'!$H$2:$H$2001,'Inventory &amp; COGS'!$A$2:$A$2001,A147,'Inventory &amp; COGS'!$B$2:$B$2001,"Food"))</f>
        <v/>
      </c>
      <c r="AB147" s="21" t="str">
        <f>IF(A147="","",SUMIFS('Inventory &amp; COGS'!$H$2:$H$2001,'Inventory &amp; COGS'!$A$2:$A$2001,A147,'Inventory &amp; COGS'!$B$2:$B$2001,"Beverage"))</f>
        <v/>
      </c>
      <c r="AC147" s="21" t="str">
        <f t="shared" si="12"/>
        <v/>
      </c>
      <c r="AD147" s="24" t="str">
        <f t="shared" ref="AD147:AE147" si="162">IF(I147=0,"",AA147/I147)</f>
        <v/>
      </c>
      <c r="AE147" s="24" t="str">
        <f t="shared" si="162"/>
        <v/>
      </c>
      <c r="AF147" s="21" t="str">
        <f t="shared" si="14"/>
        <v/>
      </c>
      <c r="AG147" s="24" t="str">
        <f t="shared" si="15"/>
        <v>#DIV/0!</v>
      </c>
      <c r="AH147" s="25" t="str">
        <f t="shared" si="16"/>
        <v/>
      </c>
      <c r="AI147" s="25" t="str">
        <f t="shared" si="17"/>
        <v/>
      </c>
      <c r="AJ147" s="26" t="str">
        <f t="shared" si="18"/>
        <v/>
      </c>
    </row>
    <row r="148" ht="15.75" customHeight="1">
      <c r="A148" s="3"/>
      <c r="B148" s="18" t="str">
        <f t="shared" si="2"/>
        <v/>
      </c>
      <c r="C148" s="19"/>
      <c r="D148" s="19"/>
      <c r="E148" s="19"/>
      <c r="F148" s="20"/>
      <c r="G148" s="20"/>
      <c r="H148" s="21" t="str">
        <f t="shared" si="3"/>
        <v/>
      </c>
      <c r="I148" s="20"/>
      <c r="J148" s="20"/>
      <c r="K148" s="20"/>
      <c r="L148" s="20"/>
      <c r="M148" s="21" t="str">
        <f t="shared" si="4"/>
        <v/>
      </c>
      <c r="N148" s="20"/>
      <c r="O148" s="20"/>
      <c r="P148" s="20"/>
      <c r="Q148" s="21" t="str">
        <f t="shared" si="5"/>
        <v/>
      </c>
      <c r="R148" s="21" t="str">
        <f t="shared" si="6"/>
        <v/>
      </c>
      <c r="S148" s="22"/>
      <c r="T148" s="22"/>
      <c r="U148" s="23" t="str">
        <f t="shared" si="7"/>
        <v/>
      </c>
      <c r="V148" s="21" t="str">
        <f t="shared" si="8"/>
        <v>#DIV/0!</v>
      </c>
      <c r="W148" s="24" t="str">
        <f t="shared" si="9"/>
        <v>#DIV/0!</v>
      </c>
      <c r="X148" s="24" t="str">
        <f t="shared" si="10"/>
        <v>#DIV/0!</v>
      </c>
      <c r="Y148" s="21" t="str">
        <f>IF(A148="","",SUMIFS('Labor Log'!$I$2:$I$2001,'Labor Log'!$A$2:$A$2001,A148))</f>
        <v/>
      </c>
      <c r="Z148" s="24" t="str">
        <f t="shared" si="11"/>
        <v>#DIV/0!</v>
      </c>
      <c r="AA148" s="21" t="str">
        <f>IF(A148="","",SUMIFS('Inventory &amp; COGS'!$H$2:$H$2001,'Inventory &amp; COGS'!$A$2:$A$2001,A148,'Inventory &amp; COGS'!$B$2:$B$2001,"Food"))</f>
        <v/>
      </c>
      <c r="AB148" s="21" t="str">
        <f>IF(A148="","",SUMIFS('Inventory &amp; COGS'!$H$2:$H$2001,'Inventory &amp; COGS'!$A$2:$A$2001,A148,'Inventory &amp; COGS'!$B$2:$B$2001,"Beverage"))</f>
        <v/>
      </c>
      <c r="AC148" s="21" t="str">
        <f t="shared" si="12"/>
        <v/>
      </c>
      <c r="AD148" s="24" t="str">
        <f t="shared" ref="AD148:AE148" si="163">IF(I148=0,"",AA148/I148)</f>
        <v/>
      </c>
      <c r="AE148" s="24" t="str">
        <f t="shared" si="163"/>
        <v/>
      </c>
      <c r="AF148" s="21" t="str">
        <f t="shared" si="14"/>
        <v/>
      </c>
      <c r="AG148" s="24" t="str">
        <f t="shared" si="15"/>
        <v>#DIV/0!</v>
      </c>
      <c r="AH148" s="25" t="str">
        <f t="shared" si="16"/>
        <v/>
      </c>
      <c r="AI148" s="25" t="str">
        <f t="shared" si="17"/>
        <v/>
      </c>
      <c r="AJ148" s="26" t="str">
        <f t="shared" si="18"/>
        <v/>
      </c>
    </row>
    <row r="149" ht="15.75" customHeight="1">
      <c r="A149" s="3"/>
      <c r="B149" s="18" t="str">
        <f t="shared" si="2"/>
        <v/>
      </c>
      <c r="C149" s="19"/>
      <c r="D149" s="19"/>
      <c r="E149" s="19"/>
      <c r="F149" s="20"/>
      <c r="G149" s="20"/>
      <c r="H149" s="21" t="str">
        <f t="shared" si="3"/>
        <v/>
      </c>
      <c r="I149" s="20"/>
      <c r="J149" s="20"/>
      <c r="K149" s="20"/>
      <c r="L149" s="20"/>
      <c r="M149" s="21" t="str">
        <f t="shared" si="4"/>
        <v/>
      </c>
      <c r="N149" s="20"/>
      <c r="O149" s="20"/>
      <c r="P149" s="20"/>
      <c r="Q149" s="21" t="str">
        <f t="shared" si="5"/>
        <v/>
      </c>
      <c r="R149" s="21" t="str">
        <f t="shared" si="6"/>
        <v/>
      </c>
      <c r="S149" s="22"/>
      <c r="T149" s="22"/>
      <c r="U149" s="23" t="str">
        <f t="shared" si="7"/>
        <v/>
      </c>
      <c r="V149" s="21" t="str">
        <f t="shared" si="8"/>
        <v>#DIV/0!</v>
      </c>
      <c r="W149" s="24" t="str">
        <f t="shared" si="9"/>
        <v>#DIV/0!</v>
      </c>
      <c r="X149" s="24" t="str">
        <f t="shared" si="10"/>
        <v>#DIV/0!</v>
      </c>
      <c r="Y149" s="21" t="str">
        <f>IF(A149="","",SUMIFS('Labor Log'!$I$2:$I$2001,'Labor Log'!$A$2:$A$2001,A149))</f>
        <v/>
      </c>
      <c r="Z149" s="24" t="str">
        <f t="shared" si="11"/>
        <v>#DIV/0!</v>
      </c>
      <c r="AA149" s="21" t="str">
        <f>IF(A149="","",SUMIFS('Inventory &amp; COGS'!$H$2:$H$2001,'Inventory &amp; COGS'!$A$2:$A$2001,A149,'Inventory &amp; COGS'!$B$2:$B$2001,"Food"))</f>
        <v/>
      </c>
      <c r="AB149" s="21" t="str">
        <f>IF(A149="","",SUMIFS('Inventory &amp; COGS'!$H$2:$H$2001,'Inventory &amp; COGS'!$A$2:$A$2001,A149,'Inventory &amp; COGS'!$B$2:$B$2001,"Beverage"))</f>
        <v/>
      </c>
      <c r="AC149" s="21" t="str">
        <f t="shared" si="12"/>
        <v/>
      </c>
      <c r="AD149" s="24" t="str">
        <f t="shared" ref="AD149:AE149" si="164">IF(I149=0,"",AA149/I149)</f>
        <v/>
      </c>
      <c r="AE149" s="24" t="str">
        <f t="shared" si="164"/>
        <v/>
      </c>
      <c r="AF149" s="21" t="str">
        <f t="shared" si="14"/>
        <v/>
      </c>
      <c r="AG149" s="24" t="str">
        <f t="shared" si="15"/>
        <v>#DIV/0!</v>
      </c>
      <c r="AH149" s="25" t="str">
        <f t="shared" si="16"/>
        <v/>
      </c>
      <c r="AI149" s="25" t="str">
        <f t="shared" si="17"/>
        <v/>
      </c>
      <c r="AJ149" s="26" t="str">
        <f t="shared" si="18"/>
        <v/>
      </c>
    </row>
    <row r="150" ht="15.75" customHeight="1">
      <c r="A150" s="3"/>
      <c r="B150" s="18" t="str">
        <f t="shared" si="2"/>
        <v/>
      </c>
      <c r="C150" s="19"/>
      <c r="D150" s="19"/>
      <c r="E150" s="19"/>
      <c r="F150" s="20"/>
      <c r="G150" s="20"/>
      <c r="H150" s="21" t="str">
        <f t="shared" si="3"/>
        <v/>
      </c>
      <c r="I150" s="20"/>
      <c r="J150" s="20"/>
      <c r="K150" s="20"/>
      <c r="L150" s="20"/>
      <c r="M150" s="21" t="str">
        <f t="shared" si="4"/>
        <v/>
      </c>
      <c r="N150" s="20"/>
      <c r="O150" s="20"/>
      <c r="P150" s="20"/>
      <c r="Q150" s="21" t="str">
        <f t="shared" si="5"/>
        <v/>
      </c>
      <c r="R150" s="21" t="str">
        <f t="shared" si="6"/>
        <v/>
      </c>
      <c r="S150" s="22"/>
      <c r="T150" s="22"/>
      <c r="U150" s="23" t="str">
        <f t="shared" si="7"/>
        <v/>
      </c>
      <c r="V150" s="21" t="str">
        <f t="shared" si="8"/>
        <v>#DIV/0!</v>
      </c>
      <c r="W150" s="24" t="str">
        <f t="shared" si="9"/>
        <v>#DIV/0!</v>
      </c>
      <c r="X150" s="24" t="str">
        <f t="shared" si="10"/>
        <v>#DIV/0!</v>
      </c>
      <c r="Y150" s="21" t="str">
        <f>IF(A150="","",SUMIFS('Labor Log'!$I$2:$I$2001,'Labor Log'!$A$2:$A$2001,A150))</f>
        <v/>
      </c>
      <c r="Z150" s="24" t="str">
        <f t="shared" si="11"/>
        <v>#DIV/0!</v>
      </c>
      <c r="AA150" s="21" t="str">
        <f>IF(A150="","",SUMIFS('Inventory &amp; COGS'!$H$2:$H$2001,'Inventory &amp; COGS'!$A$2:$A$2001,A150,'Inventory &amp; COGS'!$B$2:$B$2001,"Food"))</f>
        <v/>
      </c>
      <c r="AB150" s="21" t="str">
        <f>IF(A150="","",SUMIFS('Inventory &amp; COGS'!$H$2:$H$2001,'Inventory &amp; COGS'!$A$2:$A$2001,A150,'Inventory &amp; COGS'!$B$2:$B$2001,"Beverage"))</f>
        <v/>
      </c>
      <c r="AC150" s="21" t="str">
        <f t="shared" si="12"/>
        <v/>
      </c>
      <c r="AD150" s="24" t="str">
        <f t="shared" ref="AD150:AE150" si="165">IF(I150=0,"",AA150/I150)</f>
        <v/>
      </c>
      <c r="AE150" s="24" t="str">
        <f t="shared" si="165"/>
        <v/>
      </c>
      <c r="AF150" s="21" t="str">
        <f t="shared" si="14"/>
        <v/>
      </c>
      <c r="AG150" s="24" t="str">
        <f t="shared" si="15"/>
        <v>#DIV/0!</v>
      </c>
      <c r="AH150" s="25" t="str">
        <f t="shared" si="16"/>
        <v/>
      </c>
      <c r="AI150" s="25" t="str">
        <f t="shared" si="17"/>
        <v/>
      </c>
      <c r="AJ150" s="26" t="str">
        <f t="shared" si="18"/>
        <v/>
      </c>
    </row>
    <row r="151" ht="15.75" customHeight="1">
      <c r="A151" s="3"/>
      <c r="B151" s="18" t="str">
        <f t="shared" si="2"/>
        <v/>
      </c>
      <c r="C151" s="19"/>
      <c r="D151" s="19"/>
      <c r="E151" s="19"/>
      <c r="F151" s="20"/>
      <c r="G151" s="20"/>
      <c r="H151" s="21" t="str">
        <f t="shared" si="3"/>
        <v/>
      </c>
      <c r="I151" s="20"/>
      <c r="J151" s="20"/>
      <c r="K151" s="20"/>
      <c r="L151" s="20"/>
      <c r="M151" s="21" t="str">
        <f t="shared" si="4"/>
        <v/>
      </c>
      <c r="N151" s="20"/>
      <c r="O151" s="20"/>
      <c r="P151" s="20"/>
      <c r="Q151" s="21" t="str">
        <f t="shared" si="5"/>
        <v/>
      </c>
      <c r="R151" s="21" t="str">
        <f t="shared" si="6"/>
        <v/>
      </c>
      <c r="S151" s="22"/>
      <c r="T151" s="22"/>
      <c r="U151" s="23" t="str">
        <f t="shared" si="7"/>
        <v/>
      </c>
      <c r="V151" s="21" t="str">
        <f t="shared" si="8"/>
        <v>#DIV/0!</v>
      </c>
      <c r="W151" s="24" t="str">
        <f t="shared" si="9"/>
        <v>#DIV/0!</v>
      </c>
      <c r="X151" s="24" t="str">
        <f t="shared" si="10"/>
        <v>#DIV/0!</v>
      </c>
      <c r="Y151" s="21" t="str">
        <f>IF(A151="","",SUMIFS('Labor Log'!$I$2:$I$2001,'Labor Log'!$A$2:$A$2001,A151))</f>
        <v/>
      </c>
      <c r="Z151" s="24" t="str">
        <f t="shared" si="11"/>
        <v>#DIV/0!</v>
      </c>
      <c r="AA151" s="21" t="str">
        <f>IF(A151="","",SUMIFS('Inventory &amp; COGS'!$H$2:$H$2001,'Inventory &amp; COGS'!$A$2:$A$2001,A151,'Inventory &amp; COGS'!$B$2:$B$2001,"Food"))</f>
        <v/>
      </c>
      <c r="AB151" s="21" t="str">
        <f>IF(A151="","",SUMIFS('Inventory &amp; COGS'!$H$2:$H$2001,'Inventory &amp; COGS'!$A$2:$A$2001,A151,'Inventory &amp; COGS'!$B$2:$B$2001,"Beverage"))</f>
        <v/>
      </c>
      <c r="AC151" s="21" t="str">
        <f t="shared" si="12"/>
        <v/>
      </c>
      <c r="AD151" s="24" t="str">
        <f t="shared" ref="AD151:AE151" si="166">IF(I151=0,"",AA151/I151)</f>
        <v/>
      </c>
      <c r="AE151" s="24" t="str">
        <f t="shared" si="166"/>
        <v/>
      </c>
      <c r="AF151" s="21" t="str">
        <f t="shared" si="14"/>
        <v/>
      </c>
      <c r="AG151" s="24" t="str">
        <f t="shared" si="15"/>
        <v>#DIV/0!</v>
      </c>
      <c r="AH151" s="25" t="str">
        <f t="shared" si="16"/>
        <v/>
      </c>
      <c r="AI151" s="25" t="str">
        <f t="shared" si="17"/>
        <v/>
      </c>
      <c r="AJ151" s="26" t="str">
        <f t="shared" si="18"/>
        <v/>
      </c>
    </row>
    <row r="152" ht="15.75" customHeight="1">
      <c r="A152" s="3"/>
      <c r="B152" s="18" t="str">
        <f t="shared" si="2"/>
        <v/>
      </c>
      <c r="C152" s="19"/>
      <c r="D152" s="19"/>
      <c r="E152" s="19"/>
      <c r="F152" s="20"/>
      <c r="G152" s="20"/>
      <c r="H152" s="21" t="str">
        <f t="shared" si="3"/>
        <v/>
      </c>
      <c r="I152" s="20"/>
      <c r="J152" s="20"/>
      <c r="K152" s="20"/>
      <c r="L152" s="20"/>
      <c r="M152" s="21" t="str">
        <f t="shared" si="4"/>
        <v/>
      </c>
      <c r="N152" s="20"/>
      <c r="O152" s="20"/>
      <c r="P152" s="20"/>
      <c r="Q152" s="21" t="str">
        <f t="shared" si="5"/>
        <v/>
      </c>
      <c r="R152" s="21" t="str">
        <f t="shared" si="6"/>
        <v/>
      </c>
      <c r="S152" s="22"/>
      <c r="T152" s="22"/>
      <c r="U152" s="23" t="str">
        <f t="shared" si="7"/>
        <v/>
      </c>
      <c r="V152" s="21" t="str">
        <f t="shared" si="8"/>
        <v>#DIV/0!</v>
      </c>
      <c r="W152" s="24" t="str">
        <f t="shared" si="9"/>
        <v>#DIV/0!</v>
      </c>
      <c r="X152" s="24" t="str">
        <f t="shared" si="10"/>
        <v>#DIV/0!</v>
      </c>
      <c r="Y152" s="21" t="str">
        <f>IF(A152="","",SUMIFS('Labor Log'!$I$2:$I$2001,'Labor Log'!$A$2:$A$2001,A152))</f>
        <v/>
      </c>
      <c r="Z152" s="24" t="str">
        <f t="shared" si="11"/>
        <v>#DIV/0!</v>
      </c>
      <c r="AA152" s="21" t="str">
        <f>IF(A152="","",SUMIFS('Inventory &amp; COGS'!$H$2:$H$2001,'Inventory &amp; COGS'!$A$2:$A$2001,A152,'Inventory &amp; COGS'!$B$2:$B$2001,"Food"))</f>
        <v/>
      </c>
      <c r="AB152" s="21" t="str">
        <f>IF(A152="","",SUMIFS('Inventory &amp; COGS'!$H$2:$H$2001,'Inventory &amp; COGS'!$A$2:$A$2001,A152,'Inventory &amp; COGS'!$B$2:$B$2001,"Beverage"))</f>
        <v/>
      </c>
      <c r="AC152" s="21" t="str">
        <f t="shared" si="12"/>
        <v/>
      </c>
      <c r="AD152" s="24" t="str">
        <f t="shared" ref="AD152:AE152" si="167">IF(I152=0,"",AA152/I152)</f>
        <v/>
      </c>
      <c r="AE152" s="24" t="str">
        <f t="shared" si="167"/>
        <v/>
      </c>
      <c r="AF152" s="21" t="str">
        <f t="shared" si="14"/>
        <v/>
      </c>
      <c r="AG152" s="24" t="str">
        <f t="shared" si="15"/>
        <v>#DIV/0!</v>
      </c>
      <c r="AH152" s="25" t="str">
        <f t="shared" si="16"/>
        <v/>
      </c>
      <c r="AI152" s="25" t="str">
        <f t="shared" si="17"/>
        <v/>
      </c>
      <c r="AJ152" s="26" t="str">
        <f t="shared" si="18"/>
        <v/>
      </c>
    </row>
    <row r="153" ht="15.75" customHeight="1">
      <c r="A153" s="3"/>
      <c r="B153" s="18" t="str">
        <f t="shared" si="2"/>
        <v/>
      </c>
      <c r="C153" s="19"/>
      <c r="D153" s="19"/>
      <c r="E153" s="19"/>
      <c r="F153" s="20"/>
      <c r="G153" s="20"/>
      <c r="H153" s="21" t="str">
        <f t="shared" si="3"/>
        <v/>
      </c>
      <c r="I153" s="20"/>
      <c r="J153" s="20"/>
      <c r="K153" s="20"/>
      <c r="L153" s="20"/>
      <c r="M153" s="21" t="str">
        <f t="shared" si="4"/>
        <v/>
      </c>
      <c r="N153" s="20"/>
      <c r="O153" s="20"/>
      <c r="P153" s="20"/>
      <c r="Q153" s="21" t="str">
        <f t="shared" si="5"/>
        <v/>
      </c>
      <c r="R153" s="21" t="str">
        <f t="shared" si="6"/>
        <v/>
      </c>
      <c r="S153" s="22"/>
      <c r="T153" s="22"/>
      <c r="U153" s="23" t="str">
        <f t="shared" si="7"/>
        <v/>
      </c>
      <c r="V153" s="21" t="str">
        <f t="shared" si="8"/>
        <v>#DIV/0!</v>
      </c>
      <c r="W153" s="24" t="str">
        <f t="shared" si="9"/>
        <v>#DIV/0!</v>
      </c>
      <c r="X153" s="24" t="str">
        <f t="shared" si="10"/>
        <v>#DIV/0!</v>
      </c>
      <c r="Y153" s="21" t="str">
        <f>IF(A153="","",SUMIFS('Labor Log'!$I$2:$I$2001,'Labor Log'!$A$2:$A$2001,A153))</f>
        <v/>
      </c>
      <c r="Z153" s="24" t="str">
        <f t="shared" si="11"/>
        <v>#DIV/0!</v>
      </c>
      <c r="AA153" s="21" t="str">
        <f>IF(A153="","",SUMIFS('Inventory &amp; COGS'!$H$2:$H$2001,'Inventory &amp; COGS'!$A$2:$A$2001,A153,'Inventory &amp; COGS'!$B$2:$B$2001,"Food"))</f>
        <v/>
      </c>
      <c r="AB153" s="21" t="str">
        <f>IF(A153="","",SUMIFS('Inventory &amp; COGS'!$H$2:$H$2001,'Inventory &amp; COGS'!$A$2:$A$2001,A153,'Inventory &amp; COGS'!$B$2:$B$2001,"Beverage"))</f>
        <v/>
      </c>
      <c r="AC153" s="21" t="str">
        <f t="shared" si="12"/>
        <v/>
      </c>
      <c r="AD153" s="24" t="str">
        <f t="shared" ref="AD153:AE153" si="168">IF(I153=0,"",AA153/I153)</f>
        <v/>
      </c>
      <c r="AE153" s="24" t="str">
        <f t="shared" si="168"/>
        <v/>
      </c>
      <c r="AF153" s="21" t="str">
        <f t="shared" si="14"/>
        <v/>
      </c>
      <c r="AG153" s="24" t="str">
        <f t="shared" si="15"/>
        <v>#DIV/0!</v>
      </c>
      <c r="AH153" s="25" t="str">
        <f t="shared" si="16"/>
        <v/>
      </c>
      <c r="AI153" s="25" t="str">
        <f t="shared" si="17"/>
        <v/>
      </c>
      <c r="AJ153" s="26" t="str">
        <f t="shared" si="18"/>
        <v/>
      </c>
    </row>
    <row r="154" ht="15.75" customHeight="1">
      <c r="A154" s="3"/>
      <c r="B154" s="18" t="str">
        <f t="shared" si="2"/>
        <v/>
      </c>
      <c r="C154" s="19"/>
      <c r="D154" s="19"/>
      <c r="E154" s="19"/>
      <c r="F154" s="20"/>
      <c r="G154" s="20"/>
      <c r="H154" s="21" t="str">
        <f t="shared" si="3"/>
        <v/>
      </c>
      <c r="I154" s="20"/>
      <c r="J154" s="20"/>
      <c r="K154" s="20"/>
      <c r="L154" s="20"/>
      <c r="M154" s="21" t="str">
        <f t="shared" si="4"/>
        <v/>
      </c>
      <c r="N154" s="20"/>
      <c r="O154" s="20"/>
      <c r="P154" s="20"/>
      <c r="Q154" s="21" t="str">
        <f t="shared" si="5"/>
        <v/>
      </c>
      <c r="R154" s="21" t="str">
        <f t="shared" si="6"/>
        <v/>
      </c>
      <c r="S154" s="22"/>
      <c r="T154" s="22"/>
      <c r="U154" s="23" t="str">
        <f t="shared" si="7"/>
        <v/>
      </c>
      <c r="V154" s="21" t="str">
        <f t="shared" si="8"/>
        <v>#DIV/0!</v>
      </c>
      <c r="W154" s="24" t="str">
        <f t="shared" si="9"/>
        <v>#DIV/0!</v>
      </c>
      <c r="X154" s="24" t="str">
        <f t="shared" si="10"/>
        <v>#DIV/0!</v>
      </c>
      <c r="Y154" s="21" t="str">
        <f>IF(A154="","",SUMIFS('Labor Log'!$I$2:$I$2001,'Labor Log'!$A$2:$A$2001,A154))</f>
        <v/>
      </c>
      <c r="Z154" s="24" t="str">
        <f t="shared" si="11"/>
        <v>#DIV/0!</v>
      </c>
      <c r="AA154" s="21" t="str">
        <f>IF(A154="","",SUMIFS('Inventory &amp; COGS'!$H$2:$H$2001,'Inventory &amp; COGS'!$A$2:$A$2001,A154,'Inventory &amp; COGS'!$B$2:$B$2001,"Food"))</f>
        <v/>
      </c>
      <c r="AB154" s="21" t="str">
        <f>IF(A154="","",SUMIFS('Inventory &amp; COGS'!$H$2:$H$2001,'Inventory &amp; COGS'!$A$2:$A$2001,A154,'Inventory &amp; COGS'!$B$2:$B$2001,"Beverage"))</f>
        <v/>
      </c>
      <c r="AC154" s="21" t="str">
        <f t="shared" si="12"/>
        <v/>
      </c>
      <c r="AD154" s="24" t="str">
        <f t="shared" ref="AD154:AE154" si="169">IF(I154=0,"",AA154/I154)</f>
        <v/>
      </c>
      <c r="AE154" s="24" t="str">
        <f t="shared" si="169"/>
        <v/>
      </c>
      <c r="AF154" s="21" t="str">
        <f t="shared" si="14"/>
        <v/>
      </c>
      <c r="AG154" s="24" t="str">
        <f t="shared" si="15"/>
        <v>#DIV/0!</v>
      </c>
      <c r="AH154" s="25" t="str">
        <f t="shared" si="16"/>
        <v/>
      </c>
      <c r="AI154" s="25" t="str">
        <f t="shared" si="17"/>
        <v/>
      </c>
      <c r="AJ154" s="26" t="str">
        <f t="shared" si="18"/>
        <v/>
      </c>
    </row>
    <row r="155" ht="15.75" customHeight="1">
      <c r="A155" s="3"/>
      <c r="B155" s="18" t="str">
        <f t="shared" si="2"/>
        <v/>
      </c>
      <c r="C155" s="19"/>
      <c r="D155" s="19"/>
      <c r="E155" s="19"/>
      <c r="F155" s="20"/>
      <c r="G155" s="20"/>
      <c r="H155" s="21" t="str">
        <f t="shared" si="3"/>
        <v/>
      </c>
      <c r="I155" s="20"/>
      <c r="J155" s="20"/>
      <c r="K155" s="20"/>
      <c r="L155" s="20"/>
      <c r="M155" s="21" t="str">
        <f t="shared" si="4"/>
        <v/>
      </c>
      <c r="N155" s="20"/>
      <c r="O155" s="20"/>
      <c r="P155" s="20"/>
      <c r="Q155" s="21" t="str">
        <f t="shared" si="5"/>
        <v/>
      </c>
      <c r="R155" s="21" t="str">
        <f t="shared" si="6"/>
        <v/>
      </c>
      <c r="S155" s="22"/>
      <c r="T155" s="22"/>
      <c r="U155" s="23" t="str">
        <f t="shared" si="7"/>
        <v/>
      </c>
      <c r="V155" s="21" t="str">
        <f t="shared" si="8"/>
        <v>#DIV/0!</v>
      </c>
      <c r="W155" s="24" t="str">
        <f t="shared" si="9"/>
        <v>#DIV/0!</v>
      </c>
      <c r="X155" s="24" t="str">
        <f t="shared" si="10"/>
        <v>#DIV/0!</v>
      </c>
      <c r="Y155" s="21" t="str">
        <f>IF(A155="","",SUMIFS('Labor Log'!$I$2:$I$2001,'Labor Log'!$A$2:$A$2001,A155))</f>
        <v/>
      </c>
      <c r="Z155" s="24" t="str">
        <f t="shared" si="11"/>
        <v>#DIV/0!</v>
      </c>
      <c r="AA155" s="21" t="str">
        <f>IF(A155="","",SUMIFS('Inventory &amp; COGS'!$H$2:$H$2001,'Inventory &amp; COGS'!$A$2:$A$2001,A155,'Inventory &amp; COGS'!$B$2:$B$2001,"Food"))</f>
        <v/>
      </c>
      <c r="AB155" s="21" t="str">
        <f>IF(A155="","",SUMIFS('Inventory &amp; COGS'!$H$2:$H$2001,'Inventory &amp; COGS'!$A$2:$A$2001,A155,'Inventory &amp; COGS'!$B$2:$B$2001,"Beverage"))</f>
        <v/>
      </c>
      <c r="AC155" s="21" t="str">
        <f t="shared" si="12"/>
        <v/>
      </c>
      <c r="AD155" s="24" t="str">
        <f t="shared" ref="AD155:AE155" si="170">IF(I155=0,"",AA155/I155)</f>
        <v/>
      </c>
      <c r="AE155" s="24" t="str">
        <f t="shared" si="170"/>
        <v/>
      </c>
      <c r="AF155" s="21" t="str">
        <f t="shared" si="14"/>
        <v/>
      </c>
      <c r="AG155" s="24" t="str">
        <f t="shared" si="15"/>
        <v>#DIV/0!</v>
      </c>
      <c r="AH155" s="25" t="str">
        <f t="shared" si="16"/>
        <v/>
      </c>
      <c r="AI155" s="25" t="str">
        <f t="shared" si="17"/>
        <v/>
      </c>
      <c r="AJ155" s="26" t="str">
        <f t="shared" si="18"/>
        <v/>
      </c>
    </row>
    <row r="156" ht="15.75" customHeight="1">
      <c r="A156" s="3"/>
      <c r="B156" s="18" t="str">
        <f t="shared" si="2"/>
        <v/>
      </c>
      <c r="C156" s="19"/>
      <c r="D156" s="19"/>
      <c r="E156" s="19"/>
      <c r="F156" s="20"/>
      <c r="G156" s="20"/>
      <c r="H156" s="21" t="str">
        <f t="shared" si="3"/>
        <v/>
      </c>
      <c r="I156" s="20"/>
      <c r="J156" s="20"/>
      <c r="K156" s="20"/>
      <c r="L156" s="20"/>
      <c r="M156" s="21" t="str">
        <f t="shared" si="4"/>
        <v/>
      </c>
      <c r="N156" s="20"/>
      <c r="O156" s="20"/>
      <c r="P156" s="20"/>
      <c r="Q156" s="21" t="str">
        <f t="shared" si="5"/>
        <v/>
      </c>
      <c r="R156" s="21" t="str">
        <f t="shared" si="6"/>
        <v/>
      </c>
      <c r="S156" s="22"/>
      <c r="T156" s="22"/>
      <c r="U156" s="23" t="str">
        <f t="shared" si="7"/>
        <v/>
      </c>
      <c r="V156" s="21" t="str">
        <f t="shared" si="8"/>
        <v>#DIV/0!</v>
      </c>
      <c r="W156" s="24" t="str">
        <f t="shared" si="9"/>
        <v>#DIV/0!</v>
      </c>
      <c r="X156" s="24" t="str">
        <f t="shared" si="10"/>
        <v>#DIV/0!</v>
      </c>
      <c r="Y156" s="21" t="str">
        <f>IF(A156="","",SUMIFS('Labor Log'!$I$2:$I$2001,'Labor Log'!$A$2:$A$2001,A156))</f>
        <v/>
      </c>
      <c r="Z156" s="24" t="str">
        <f t="shared" si="11"/>
        <v>#DIV/0!</v>
      </c>
      <c r="AA156" s="21" t="str">
        <f>IF(A156="","",SUMIFS('Inventory &amp; COGS'!$H$2:$H$2001,'Inventory &amp; COGS'!$A$2:$A$2001,A156,'Inventory &amp; COGS'!$B$2:$B$2001,"Food"))</f>
        <v/>
      </c>
      <c r="AB156" s="21" t="str">
        <f>IF(A156="","",SUMIFS('Inventory &amp; COGS'!$H$2:$H$2001,'Inventory &amp; COGS'!$A$2:$A$2001,A156,'Inventory &amp; COGS'!$B$2:$B$2001,"Beverage"))</f>
        <v/>
      </c>
      <c r="AC156" s="21" t="str">
        <f t="shared" si="12"/>
        <v/>
      </c>
      <c r="AD156" s="24" t="str">
        <f t="shared" ref="AD156:AE156" si="171">IF(I156=0,"",AA156/I156)</f>
        <v/>
      </c>
      <c r="AE156" s="24" t="str">
        <f t="shared" si="171"/>
        <v/>
      </c>
      <c r="AF156" s="21" t="str">
        <f t="shared" si="14"/>
        <v/>
      </c>
      <c r="AG156" s="24" t="str">
        <f t="shared" si="15"/>
        <v>#DIV/0!</v>
      </c>
      <c r="AH156" s="25" t="str">
        <f t="shared" si="16"/>
        <v/>
      </c>
      <c r="AI156" s="25" t="str">
        <f t="shared" si="17"/>
        <v/>
      </c>
      <c r="AJ156" s="26" t="str">
        <f t="shared" si="18"/>
        <v/>
      </c>
    </row>
    <row r="157" ht="15.75" customHeight="1">
      <c r="A157" s="3"/>
      <c r="B157" s="18" t="str">
        <f t="shared" si="2"/>
        <v/>
      </c>
      <c r="C157" s="19"/>
      <c r="D157" s="19"/>
      <c r="E157" s="19"/>
      <c r="F157" s="20"/>
      <c r="G157" s="20"/>
      <c r="H157" s="21" t="str">
        <f t="shared" si="3"/>
        <v/>
      </c>
      <c r="I157" s="20"/>
      <c r="J157" s="20"/>
      <c r="K157" s="20"/>
      <c r="L157" s="20"/>
      <c r="M157" s="21" t="str">
        <f t="shared" si="4"/>
        <v/>
      </c>
      <c r="N157" s="20"/>
      <c r="O157" s="20"/>
      <c r="P157" s="20"/>
      <c r="Q157" s="21" t="str">
        <f t="shared" si="5"/>
        <v/>
      </c>
      <c r="R157" s="21" t="str">
        <f t="shared" si="6"/>
        <v/>
      </c>
      <c r="S157" s="22"/>
      <c r="T157" s="22"/>
      <c r="U157" s="23" t="str">
        <f t="shared" si="7"/>
        <v/>
      </c>
      <c r="V157" s="21" t="str">
        <f t="shared" si="8"/>
        <v>#DIV/0!</v>
      </c>
      <c r="W157" s="24" t="str">
        <f t="shared" si="9"/>
        <v>#DIV/0!</v>
      </c>
      <c r="X157" s="24" t="str">
        <f t="shared" si="10"/>
        <v>#DIV/0!</v>
      </c>
      <c r="Y157" s="21" t="str">
        <f>IF(A157="","",SUMIFS('Labor Log'!$I$2:$I$2001,'Labor Log'!$A$2:$A$2001,A157))</f>
        <v/>
      </c>
      <c r="Z157" s="24" t="str">
        <f t="shared" si="11"/>
        <v>#DIV/0!</v>
      </c>
      <c r="AA157" s="21" t="str">
        <f>IF(A157="","",SUMIFS('Inventory &amp; COGS'!$H$2:$H$2001,'Inventory &amp; COGS'!$A$2:$A$2001,A157,'Inventory &amp; COGS'!$B$2:$B$2001,"Food"))</f>
        <v/>
      </c>
      <c r="AB157" s="21" t="str">
        <f>IF(A157="","",SUMIFS('Inventory &amp; COGS'!$H$2:$H$2001,'Inventory &amp; COGS'!$A$2:$A$2001,A157,'Inventory &amp; COGS'!$B$2:$B$2001,"Beverage"))</f>
        <v/>
      </c>
      <c r="AC157" s="21" t="str">
        <f t="shared" si="12"/>
        <v/>
      </c>
      <c r="AD157" s="24" t="str">
        <f t="shared" ref="AD157:AE157" si="172">IF(I157=0,"",AA157/I157)</f>
        <v/>
      </c>
      <c r="AE157" s="24" t="str">
        <f t="shared" si="172"/>
        <v/>
      </c>
      <c r="AF157" s="21" t="str">
        <f t="shared" si="14"/>
        <v/>
      </c>
      <c r="AG157" s="24" t="str">
        <f t="shared" si="15"/>
        <v>#DIV/0!</v>
      </c>
      <c r="AH157" s="25" t="str">
        <f t="shared" si="16"/>
        <v/>
      </c>
      <c r="AI157" s="25" t="str">
        <f t="shared" si="17"/>
        <v/>
      </c>
      <c r="AJ157" s="26" t="str">
        <f t="shared" si="18"/>
        <v/>
      </c>
    </row>
    <row r="158" ht="15.75" customHeight="1">
      <c r="A158" s="3"/>
      <c r="B158" s="18" t="str">
        <f t="shared" si="2"/>
        <v/>
      </c>
      <c r="C158" s="19"/>
      <c r="D158" s="19"/>
      <c r="E158" s="19"/>
      <c r="F158" s="20"/>
      <c r="G158" s="20"/>
      <c r="H158" s="21" t="str">
        <f t="shared" si="3"/>
        <v/>
      </c>
      <c r="I158" s="20"/>
      <c r="J158" s="20"/>
      <c r="K158" s="20"/>
      <c r="L158" s="20"/>
      <c r="M158" s="21" t="str">
        <f t="shared" si="4"/>
        <v/>
      </c>
      <c r="N158" s="20"/>
      <c r="O158" s="20"/>
      <c r="P158" s="20"/>
      <c r="Q158" s="21" t="str">
        <f t="shared" si="5"/>
        <v/>
      </c>
      <c r="R158" s="21" t="str">
        <f t="shared" si="6"/>
        <v/>
      </c>
      <c r="S158" s="22"/>
      <c r="T158" s="22"/>
      <c r="U158" s="23" t="str">
        <f t="shared" si="7"/>
        <v/>
      </c>
      <c r="V158" s="21" t="str">
        <f t="shared" si="8"/>
        <v>#DIV/0!</v>
      </c>
      <c r="W158" s="24" t="str">
        <f t="shared" si="9"/>
        <v>#DIV/0!</v>
      </c>
      <c r="X158" s="24" t="str">
        <f t="shared" si="10"/>
        <v>#DIV/0!</v>
      </c>
      <c r="Y158" s="21" t="str">
        <f>IF(A158="","",SUMIFS('Labor Log'!$I$2:$I$2001,'Labor Log'!$A$2:$A$2001,A158))</f>
        <v/>
      </c>
      <c r="Z158" s="24" t="str">
        <f t="shared" si="11"/>
        <v>#DIV/0!</v>
      </c>
      <c r="AA158" s="21" t="str">
        <f>IF(A158="","",SUMIFS('Inventory &amp; COGS'!$H$2:$H$2001,'Inventory &amp; COGS'!$A$2:$A$2001,A158,'Inventory &amp; COGS'!$B$2:$B$2001,"Food"))</f>
        <v/>
      </c>
      <c r="AB158" s="21" t="str">
        <f>IF(A158="","",SUMIFS('Inventory &amp; COGS'!$H$2:$H$2001,'Inventory &amp; COGS'!$A$2:$A$2001,A158,'Inventory &amp; COGS'!$B$2:$B$2001,"Beverage"))</f>
        <v/>
      </c>
      <c r="AC158" s="21" t="str">
        <f t="shared" si="12"/>
        <v/>
      </c>
      <c r="AD158" s="24" t="str">
        <f t="shared" ref="AD158:AE158" si="173">IF(I158=0,"",AA158/I158)</f>
        <v/>
      </c>
      <c r="AE158" s="24" t="str">
        <f t="shared" si="173"/>
        <v/>
      </c>
      <c r="AF158" s="21" t="str">
        <f t="shared" si="14"/>
        <v/>
      </c>
      <c r="AG158" s="24" t="str">
        <f t="shared" si="15"/>
        <v>#DIV/0!</v>
      </c>
      <c r="AH158" s="25" t="str">
        <f t="shared" si="16"/>
        <v/>
      </c>
      <c r="AI158" s="25" t="str">
        <f t="shared" si="17"/>
        <v/>
      </c>
      <c r="AJ158" s="26" t="str">
        <f t="shared" si="18"/>
        <v/>
      </c>
    </row>
    <row r="159" ht="15.75" customHeight="1">
      <c r="A159" s="3"/>
      <c r="B159" s="18" t="str">
        <f t="shared" si="2"/>
        <v/>
      </c>
      <c r="C159" s="19"/>
      <c r="D159" s="19"/>
      <c r="E159" s="19"/>
      <c r="F159" s="20"/>
      <c r="G159" s="20"/>
      <c r="H159" s="21" t="str">
        <f t="shared" si="3"/>
        <v/>
      </c>
      <c r="I159" s="20"/>
      <c r="J159" s="20"/>
      <c r="K159" s="20"/>
      <c r="L159" s="20"/>
      <c r="M159" s="21" t="str">
        <f t="shared" si="4"/>
        <v/>
      </c>
      <c r="N159" s="20"/>
      <c r="O159" s="20"/>
      <c r="P159" s="20"/>
      <c r="Q159" s="21" t="str">
        <f t="shared" si="5"/>
        <v/>
      </c>
      <c r="R159" s="21" t="str">
        <f t="shared" si="6"/>
        <v/>
      </c>
      <c r="S159" s="22"/>
      <c r="T159" s="22"/>
      <c r="U159" s="23" t="str">
        <f t="shared" si="7"/>
        <v/>
      </c>
      <c r="V159" s="21" t="str">
        <f t="shared" si="8"/>
        <v>#DIV/0!</v>
      </c>
      <c r="W159" s="24" t="str">
        <f t="shared" si="9"/>
        <v>#DIV/0!</v>
      </c>
      <c r="X159" s="24" t="str">
        <f t="shared" si="10"/>
        <v>#DIV/0!</v>
      </c>
      <c r="Y159" s="21" t="str">
        <f>IF(A159="","",SUMIFS('Labor Log'!$I$2:$I$2001,'Labor Log'!$A$2:$A$2001,A159))</f>
        <v/>
      </c>
      <c r="Z159" s="24" t="str">
        <f t="shared" si="11"/>
        <v>#DIV/0!</v>
      </c>
      <c r="AA159" s="21" t="str">
        <f>IF(A159="","",SUMIFS('Inventory &amp; COGS'!$H$2:$H$2001,'Inventory &amp; COGS'!$A$2:$A$2001,A159,'Inventory &amp; COGS'!$B$2:$B$2001,"Food"))</f>
        <v/>
      </c>
      <c r="AB159" s="21" t="str">
        <f>IF(A159="","",SUMIFS('Inventory &amp; COGS'!$H$2:$H$2001,'Inventory &amp; COGS'!$A$2:$A$2001,A159,'Inventory &amp; COGS'!$B$2:$B$2001,"Beverage"))</f>
        <v/>
      </c>
      <c r="AC159" s="21" t="str">
        <f t="shared" si="12"/>
        <v/>
      </c>
      <c r="AD159" s="24" t="str">
        <f t="shared" ref="AD159:AE159" si="174">IF(I159=0,"",AA159/I159)</f>
        <v/>
      </c>
      <c r="AE159" s="24" t="str">
        <f t="shared" si="174"/>
        <v/>
      </c>
      <c r="AF159" s="21" t="str">
        <f t="shared" si="14"/>
        <v/>
      </c>
      <c r="AG159" s="24" t="str">
        <f t="shared" si="15"/>
        <v>#DIV/0!</v>
      </c>
      <c r="AH159" s="25" t="str">
        <f t="shared" si="16"/>
        <v/>
      </c>
      <c r="AI159" s="25" t="str">
        <f t="shared" si="17"/>
        <v/>
      </c>
      <c r="AJ159" s="26" t="str">
        <f t="shared" si="18"/>
        <v/>
      </c>
    </row>
    <row r="160" ht="15.75" customHeight="1">
      <c r="A160" s="3"/>
      <c r="B160" s="18" t="str">
        <f t="shared" si="2"/>
        <v/>
      </c>
      <c r="C160" s="19"/>
      <c r="D160" s="19"/>
      <c r="E160" s="19"/>
      <c r="F160" s="20"/>
      <c r="G160" s="20"/>
      <c r="H160" s="21" t="str">
        <f t="shared" si="3"/>
        <v/>
      </c>
      <c r="I160" s="20"/>
      <c r="J160" s="20"/>
      <c r="K160" s="20"/>
      <c r="L160" s="20"/>
      <c r="M160" s="21" t="str">
        <f t="shared" si="4"/>
        <v/>
      </c>
      <c r="N160" s="20"/>
      <c r="O160" s="20"/>
      <c r="P160" s="20"/>
      <c r="Q160" s="21" t="str">
        <f t="shared" si="5"/>
        <v/>
      </c>
      <c r="R160" s="21" t="str">
        <f t="shared" si="6"/>
        <v/>
      </c>
      <c r="S160" s="22"/>
      <c r="T160" s="22"/>
      <c r="U160" s="23" t="str">
        <f t="shared" si="7"/>
        <v/>
      </c>
      <c r="V160" s="21" t="str">
        <f t="shared" si="8"/>
        <v>#DIV/0!</v>
      </c>
      <c r="W160" s="24" t="str">
        <f t="shared" si="9"/>
        <v>#DIV/0!</v>
      </c>
      <c r="X160" s="24" t="str">
        <f t="shared" si="10"/>
        <v>#DIV/0!</v>
      </c>
      <c r="Y160" s="21" t="str">
        <f>IF(A160="","",SUMIFS('Labor Log'!$I$2:$I$2001,'Labor Log'!$A$2:$A$2001,A160))</f>
        <v/>
      </c>
      <c r="Z160" s="24" t="str">
        <f t="shared" si="11"/>
        <v>#DIV/0!</v>
      </c>
      <c r="AA160" s="21" t="str">
        <f>IF(A160="","",SUMIFS('Inventory &amp; COGS'!$H$2:$H$2001,'Inventory &amp; COGS'!$A$2:$A$2001,A160,'Inventory &amp; COGS'!$B$2:$B$2001,"Food"))</f>
        <v/>
      </c>
      <c r="AB160" s="21" t="str">
        <f>IF(A160="","",SUMIFS('Inventory &amp; COGS'!$H$2:$H$2001,'Inventory &amp; COGS'!$A$2:$A$2001,A160,'Inventory &amp; COGS'!$B$2:$B$2001,"Beverage"))</f>
        <v/>
      </c>
      <c r="AC160" s="21" t="str">
        <f t="shared" si="12"/>
        <v/>
      </c>
      <c r="AD160" s="24" t="str">
        <f t="shared" ref="AD160:AE160" si="175">IF(I160=0,"",AA160/I160)</f>
        <v/>
      </c>
      <c r="AE160" s="24" t="str">
        <f t="shared" si="175"/>
        <v/>
      </c>
      <c r="AF160" s="21" t="str">
        <f t="shared" si="14"/>
        <v/>
      </c>
      <c r="AG160" s="24" t="str">
        <f t="shared" si="15"/>
        <v>#DIV/0!</v>
      </c>
      <c r="AH160" s="25" t="str">
        <f t="shared" si="16"/>
        <v/>
      </c>
      <c r="AI160" s="25" t="str">
        <f t="shared" si="17"/>
        <v/>
      </c>
      <c r="AJ160" s="26" t="str">
        <f t="shared" si="18"/>
        <v/>
      </c>
    </row>
    <row r="161" ht="15.75" customHeight="1">
      <c r="A161" s="3"/>
      <c r="B161" s="18" t="str">
        <f t="shared" si="2"/>
        <v/>
      </c>
      <c r="C161" s="19"/>
      <c r="D161" s="19"/>
      <c r="E161" s="19"/>
      <c r="F161" s="20"/>
      <c r="G161" s="20"/>
      <c r="H161" s="21" t="str">
        <f t="shared" si="3"/>
        <v/>
      </c>
      <c r="I161" s="20"/>
      <c r="J161" s="20"/>
      <c r="K161" s="20"/>
      <c r="L161" s="20"/>
      <c r="M161" s="21" t="str">
        <f t="shared" si="4"/>
        <v/>
      </c>
      <c r="N161" s="20"/>
      <c r="O161" s="20"/>
      <c r="P161" s="20"/>
      <c r="Q161" s="21" t="str">
        <f t="shared" si="5"/>
        <v/>
      </c>
      <c r="R161" s="21" t="str">
        <f t="shared" si="6"/>
        <v/>
      </c>
      <c r="S161" s="22"/>
      <c r="T161" s="22"/>
      <c r="U161" s="23" t="str">
        <f t="shared" si="7"/>
        <v/>
      </c>
      <c r="V161" s="21" t="str">
        <f t="shared" si="8"/>
        <v>#DIV/0!</v>
      </c>
      <c r="W161" s="24" t="str">
        <f t="shared" si="9"/>
        <v>#DIV/0!</v>
      </c>
      <c r="X161" s="24" t="str">
        <f t="shared" si="10"/>
        <v>#DIV/0!</v>
      </c>
      <c r="Y161" s="21" t="str">
        <f>IF(A161="","",SUMIFS('Labor Log'!$I$2:$I$2001,'Labor Log'!$A$2:$A$2001,A161))</f>
        <v/>
      </c>
      <c r="Z161" s="24" t="str">
        <f t="shared" si="11"/>
        <v>#DIV/0!</v>
      </c>
      <c r="AA161" s="21" t="str">
        <f>IF(A161="","",SUMIFS('Inventory &amp; COGS'!$H$2:$H$2001,'Inventory &amp; COGS'!$A$2:$A$2001,A161,'Inventory &amp; COGS'!$B$2:$B$2001,"Food"))</f>
        <v/>
      </c>
      <c r="AB161" s="21" t="str">
        <f>IF(A161="","",SUMIFS('Inventory &amp; COGS'!$H$2:$H$2001,'Inventory &amp; COGS'!$A$2:$A$2001,A161,'Inventory &amp; COGS'!$B$2:$B$2001,"Beverage"))</f>
        <v/>
      </c>
      <c r="AC161" s="21" t="str">
        <f t="shared" si="12"/>
        <v/>
      </c>
      <c r="AD161" s="24" t="str">
        <f t="shared" ref="AD161:AE161" si="176">IF(I161=0,"",AA161/I161)</f>
        <v/>
      </c>
      <c r="AE161" s="24" t="str">
        <f t="shared" si="176"/>
        <v/>
      </c>
      <c r="AF161" s="21" t="str">
        <f t="shared" si="14"/>
        <v/>
      </c>
      <c r="AG161" s="24" t="str">
        <f t="shared" si="15"/>
        <v>#DIV/0!</v>
      </c>
      <c r="AH161" s="25" t="str">
        <f t="shared" si="16"/>
        <v/>
      </c>
      <c r="AI161" s="25" t="str">
        <f t="shared" si="17"/>
        <v/>
      </c>
      <c r="AJ161" s="26" t="str">
        <f t="shared" si="18"/>
        <v/>
      </c>
    </row>
    <row r="162" ht="15.75" customHeight="1">
      <c r="A162" s="3"/>
      <c r="B162" s="18" t="str">
        <f t="shared" si="2"/>
        <v/>
      </c>
      <c r="C162" s="19"/>
      <c r="D162" s="19"/>
      <c r="E162" s="19"/>
      <c r="F162" s="20"/>
      <c r="G162" s="20"/>
      <c r="H162" s="21" t="str">
        <f t="shared" si="3"/>
        <v/>
      </c>
      <c r="I162" s="20"/>
      <c r="J162" s="20"/>
      <c r="K162" s="20"/>
      <c r="L162" s="20"/>
      <c r="M162" s="21" t="str">
        <f t="shared" si="4"/>
        <v/>
      </c>
      <c r="N162" s="20"/>
      <c r="O162" s="20"/>
      <c r="P162" s="20"/>
      <c r="Q162" s="21" t="str">
        <f t="shared" si="5"/>
        <v/>
      </c>
      <c r="R162" s="21" t="str">
        <f t="shared" si="6"/>
        <v/>
      </c>
      <c r="S162" s="22"/>
      <c r="T162" s="22"/>
      <c r="U162" s="23" t="str">
        <f t="shared" si="7"/>
        <v/>
      </c>
      <c r="V162" s="21" t="str">
        <f t="shared" si="8"/>
        <v>#DIV/0!</v>
      </c>
      <c r="W162" s="24" t="str">
        <f t="shared" si="9"/>
        <v>#DIV/0!</v>
      </c>
      <c r="X162" s="24" t="str">
        <f t="shared" si="10"/>
        <v>#DIV/0!</v>
      </c>
      <c r="Y162" s="21" t="str">
        <f>IF(A162="","",SUMIFS('Labor Log'!$I$2:$I$2001,'Labor Log'!$A$2:$A$2001,A162))</f>
        <v/>
      </c>
      <c r="Z162" s="24" t="str">
        <f t="shared" si="11"/>
        <v>#DIV/0!</v>
      </c>
      <c r="AA162" s="21" t="str">
        <f>IF(A162="","",SUMIFS('Inventory &amp; COGS'!$H$2:$H$2001,'Inventory &amp; COGS'!$A$2:$A$2001,A162,'Inventory &amp; COGS'!$B$2:$B$2001,"Food"))</f>
        <v/>
      </c>
      <c r="AB162" s="21" t="str">
        <f>IF(A162="","",SUMIFS('Inventory &amp; COGS'!$H$2:$H$2001,'Inventory &amp; COGS'!$A$2:$A$2001,A162,'Inventory &amp; COGS'!$B$2:$B$2001,"Beverage"))</f>
        <v/>
      </c>
      <c r="AC162" s="21" t="str">
        <f t="shared" si="12"/>
        <v/>
      </c>
      <c r="AD162" s="24" t="str">
        <f t="shared" ref="AD162:AE162" si="177">IF(I162=0,"",AA162/I162)</f>
        <v/>
      </c>
      <c r="AE162" s="24" t="str">
        <f t="shared" si="177"/>
        <v/>
      </c>
      <c r="AF162" s="21" t="str">
        <f t="shared" si="14"/>
        <v/>
      </c>
      <c r="AG162" s="24" t="str">
        <f t="shared" si="15"/>
        <v>#DIV/0!</v>
      </c>
      <c r="AH162" s="25" t="str">
        <f t="shared" si="16"/>
        <v/>
      </c>
      <c r="AI162" s="25" t="str">
        <f t="shared" si="17"/>
        <v/>
      </c>
      <c r="AJ162" s="26" t="str">
        <f t="shared" si="18"/>
        <v/>
      </c>
    </row>
    <row r="163" ht="15.75" customHeight="1">
      <c r="A163" s="3"/>
      <c r="B163" s="18" t="str">
        <f t="shared" si="2"/>
        <v/>
      </c>
      <c r="C163" s="19"/>
      <c r="D163" s="19"/>
      <c r="E163" s="19"/>
      <c r="F163" s="20"/>
      <c r="G163" s="20"/>
      <c r="H163" s="21" t="str">
        <f t="shared" si="3"/>
        <v/>
      </c>
      <c r="I163" s="20"/>
      <c r="J163" s="20"/>
      <c r="K163" s="20"/>
      <c r="L163" s="20"/>
      <c r="M163" s="21" t="str">
        <f t="shared" si="4"/>
        <v/>
      </c>
      <c r="N163" s="20"/>
      <c r="O163" s="20"/>
      <c r="P163" s="20"/>
      <c r="Q163" s="21" t="str">
        <f t="shared" si="5"/>
        <v/>
      </c>
      <c r="R163" s="21" t="str">
        <f t="shared" si="6"/>
        <v/>
      </c>
      <c r="S163" s="22"/>
      <c r="T163" s="22"/>
      <c r="U163" s="23" t="str">
        <f t="shared" si="7"/>
        <v/>
      </c>
      <c r="V163" s="21" t="str">
        <f t="shared" si="8"/>
        <v>#DIV/0!</v>
      </c>
      <c r="W163" s="24" t="str">
        <f t="shared" si="9"/>
        <v>#DIV/0!</v>
      </c>
      <c r="X163" s="24" t="str">
        <f t="shared" si="10"/>
        <v>#DIV/0!</v>
      </c>
      <c r="Y163" s="21" t="str">
        <f>IF(A163="","",SUMIFS('Labor Log'!$I$2:$I$2001,'Labor Log'!$A$2:$A$2001,A163))</f>
        <v/>
      </c>
      <c r="Z163" s="24" t="str">
        <f t="shared" si="11"/>
        <v>#DIV/0!</v>
      </c>
      <c r="AA163" s="21" t="str">
        <f>IF(A163="","",SUMIFS('Inventory &amp; COGS'!$H$2:$H$2001,'Inventory &amp; COGS'!$A$2:$A$2001,A163,'Inventory &amp; COGS'!$B$2:$B$2001,"Food"))</f>
        <v/>
      </c>
      <c r="AB163" s="21" t="str">
        <f>IF(A163="","",SUMIFS('Inventory &amp; COGS'!$H$2:$H$2001,'Inventory &amp; COGS'!$A$2:$A$2001,A163,'Inventory &amp; COGS'!$B$2:$B$2001,"Beverage"))</f>
        <v/>
      </c>
      <c r="AC163" s="21" t="str">
        <f t="shared" si="12"/>
        <v/>
      </c>
      <c r="AD163" s="24" t="str">
        <f t="shared" ref="AD163:AE163" si="178">IF(I163=0,"",AA163/I163)</f>
        <v/>
      </c>
      <c r="AE163" s="24" t="str">
        <f t="shared" si="178"/>
        <v/>
      </c>
      <c r="AF163" s="21" t="str">
        <f t="shared" si="14"/>
        <v/>
      </c>
      <c r="AG163" s="24" t="str">
        <f t="shared" si="15"/>
        <v>#DIV/0!</v>
      </c>
      <c r="AH163" s="25" t="str">
        <f t="shared" si="16"/>
        <v/>
      </c>
      <c r="AI163" s="25" t="str">
        <f t="shared" si="17"/>
        <v/>
      </c>
      <c r="AJ163" s="26" t="str">
        <f t="shared" si="18"/>
        <v/>
      </c>
    </row>
    <row r="164" ht="15.75" customHeight="1">
      <c r="A164" s="3"/>
      <c r="B164" s="18" t="str">
        <f t="shared" si="2"/>
        <v/>
      </c>
      <c r="C164" s="19"/>
      <c r="D164" s="19"/>
      <c r="E164" s="19"/>
      <c r="F164" s="20"/>
      <c r="G164" s="20"/>
      <c r="H164" s="21" t="str">
        <f t="shared" si="3"/>
        <v/>
      </c>
      <c r="I164" s="20"/>
      <c r="J164" s="20"/>
      <c r="K164" s="20"/>
      <c r="L164" s="20"/>
      <c r="M164" s="21" t="str">
        <f t="shared" si="4"/>
        <v/>
      </c>
      <c r="N164" s="20"/>
      <c r="O164" s="20"/>
      <c r="P164" s="20"/>
      <c r="Q164" s="21" t="str">
        <f t="shared" si="5"/>
        <v/>
      </c>
      <c r="R164" s="21" t="str">
        <f t="shared" si="6"/>
        <v/>
      </c>
      <c r="S164" s="22"/>
      <c r="T164" s="22"/>
      <c r="U164" s="23" t="str">
        <f t="shared" si="7"/>
        <v/>
      </c>
      <c r="V164" s="21" t="str">
        <f t="shared" si="8"/>
        <v>#DIV/0!</v>
      </c>
      <c r="W164" s="24" t="str">
        <f t="shared" si="9"/>
        <v>#DIV/0!</v>
      </c>
      <c r="X164" s="24" t="str">
        <f t="shared" si="10"/>
        <v>#DIV/0!</v>
      </c>
      <c r="Y164" s="21" t="str">
        <f>IF(A164="","",SUMIFS('Labor Log'!$I$2:$I$2001,'Labor Log'!$A$2:$A$2001,A164))</f>
        <v/>
      </c>
      <c r="Z164" s="24" t="str">
        <f t="shared" si="11"/>
        <v>#DIV/0!</v>
      </c>
      <c r="AA164" s="21" t="str">
        <f>IF(A164="","",SUMIFS('Inventory &amp; COGS'!$H$2:$H$2001,'Inventory &amp; COGS'!$A$2:$A$2001,A164,'Inventory &amp; COGS'!$B$2:$B$2001,"Food"))</f>
        <v/>
      </c>
      <c r="AB164" s="21" t="str">
        <f>IF(A164="","",SUMIFS('Inventory &amp; COGS'!$H$2:$H$2001,'Inventory &amp; COGS'!$A$2:$A$2001,A164,'Inventory &amp; COGS'!$B$2:$B$2001,"Beverage"))</f>
        <v/>
      </c>
      <c r="AC164" s="21" t="str">
        <f t="shared" si="12"/>
        <v/>
      </c>
      <c r="AD164" s="24" t="str">
        <f t="shared" ref="AD164:AE164" si="179">IF(I164=0,"",AA164/I164)</f>
        <v/>
      </c>
      <c r="AE164" s="24" t="str">
        <f t="shared" si="179"/>
        <v/>
      </c>
      <c r="AF164" s="21" t="str">
        <f t="shared" si="14"/>
        <v/>
      </c>
      <c r="AG164" s="24" t="str">
        <f t="shared" si="15"/>
        <v>#DIV/0!</v>
      </c>
      <c r="AH164" s="25" t="str">
        <f t="shared" si="16"/>
        <v/>
      </c>
      <c r="AI164" s="25" t="str">
        <f t="shared" si="17"/>
        <v/>
      </c>
      <c r="AJ164" s="26" t="str">
        <f t="shared" si="18"/>
        <v/>
      </c>
    </row>
    <row r="165" ht="15.75" customHeight="1">
      <c r="A165" s="3"/>
      <c r="B165" s="18" t="str">
        <f t="shared" si="2"/>
        <v/>
      </c>
      <c r="C165" s="19"/>
      <c r="D165" s="19"/>
      <c r="E165" s="19"/>
      <c r="F165" s="20"/>
      <c r="G165" s="20"/>
      <c r="H165" s="21" t="str">
        <f t="shared" si="3"/>
        <v/>
      </c>
      <c r="I165" s="20"/>
      <c r="J165" s="20"/>
      <c r="K165" s="20"/>
      <c r="L165" s="20"/>
      <c r="M165" s="21" t="str">
        <f t="shared" si="4"/>
        <v/>
      </c>
      <c r="N165" s="20"/>
      <c r="O165" s="20"/>
      <c r="P165" s="20"/>
      <c r="Q165" s="21" t="str">
        <f t="shared" si="5"/>
        <v/>
      </c>
      <c r="R165" s="21" t="str">
        <f t="shared" si="6"/>
        <v/>
      </c>
      <c r="S165" s="22"/>
      <c r="T165" s="22"/>
      <c r="U165" s="23" t="str">
        <f t="shared" si="7"/>
        <v/>
      </c>
      <c r="V165" s="21" t="str">
        <f t="shared" si="8"/>
        <v>#DIV/0!</v>
      </c>
      <c r="W165" s="24" t="str">
        <f t="shared" si="9"/>
        <v>#DIV/0!</v>
      </c>
      <c r="X165" s="24" t="str">
        <f t="shared" si="10"/>
        <v>#DIV/0!</v>
      </c>
      <c r="Y165" s="21" t="str">
        <f>IF(A165="","",SUMIFS('Labor Log'!$I$2:$I$2001,'Labor Log'!$A$2:$A$2001,A165))</f>
        <v/>
      </c>
      <c r="Z165" s="24" t="str">
        <f t="shared" si="11"/>
        <v>#DIV/0!</v>
      </c>
      <c r="AA165" s="21" t="str">
        <f>IF(A165="","",SUMIFS('Inventory &amp; COGS'!$H$2:$H$2001,'Inventory &amp; COGS'!$A$2:$A$2001,A165,'Inventory &amp; COGS'!$B$2:$B$2001,"Food"))</f>
        <v/>
      </c>
      <c r="AB165" s="21" t="str">
        <f>IF(A165="","",SUMIFS('Inventory &amp; COGS'!$H$2:$H$2001,'Inventory &amp; COGS'!$A$2:$A$2001,A165,'Inventory &amp; COGS'!$B$2:$B$2001,"Beverage"))</f>
        <v/>
      </c>
      <c r="AC165" s="21" t="str">
        <f t="shared" si="12"/>
        <v/>
      </c>
      <c r="AD165" s="24" t="str">
        <f t="shared" ref="AD165:AE165" si="180">IF(I165=0,"",AA165/I165)</f>
        <v/>
      </c>
      <c r="AE165" s="24" t="str">
        <f t="shared" si="180"/>
        <v/>
      </c>
      <c r="AF165" s="21" t="str">
        <f t="shared" si="14"/>
        <v/>
      </c>
      <c r="AG165" s="24" t="str">
        <f t="shared" si="15"/>
        <v>#DIV/0!</v>
      </c>
      <c r="AH165" s="25" t="str">
        <f t="shared" si="16"/>
        <v/>
      </c>
      <c r="AI165" s="25" t="str">
        <f t="shared" si="17"/>
        <v/>
      </c>
      <c r="AJ165" s="26" t="str">
        <f t="shared" si="18"/>
        <v/>
      </c>
    </row>
    <row r="166" ht="15.75" customHeight="1">
      <c r="A166" s="3"/>
      <c r="B166" s="18" t="str">
        <f t="shared" si="2"/>
        <v/>
      </c>
      <c r="C166" s="19"/>
      <c r="D166" s="19"/>
      <c r="E166" s="19"/>
      <c r="F166" s="20"/>
      <c r="G166" s="20"/>
      <c r="H166" s="21" t="str">
        <f t="shared" si="3"/>
        <v/>
      </c>
      <c r="I166" s="20"/>
      <c r="J166" s="20"/>
      <c r="K166" s="20"/>
      <c r="L166" s="20"/>
      <c r="M166" s="21" t="str">
        <f t="shared" si="4"/>
        <v/>
      </c>
      <c r="N166" s="20"/>
      <c r="O166" s="20"/>
      <c r="P166" s="20"/>
      <c r="Q166" s="21" t="str">
        <f t="shared" si="5"/>
        <v/>
      </c>
      <c r="R166" s="21" t="str">
        <f t="shared" si="6"/>
        <v/>
      </c>
      <c r="S166" s="22"/>
      <c r="T166" s="22"/>
      <c r="U166" s="23" t="str">
        <f t="shared" si="7"/>
        <v/>
      </c>
      <c r="V166" s="21" t="str">
        <f t="shared" si="8"/>
        <v>#DIV/0!</v>
      </c>
      <c r="W166" s="24" t="str">
        <f t="shared" si="9"/>
        <v>#DIV/0!</v>
      </c>
      <c r="X166" s="24" t="str">
        <f t="shared" si="10"/>
        <v>#DIV/0!</v>
      </c>
      <c r="Y166" s="21" t="str">
        <f>IF(A166="","",SUMIFS('Labor Log'!$I$2:$I$2001,'Labor Log'!$A$2:$A$2001,A166))</f>
        <v/>
      </c>
      <c r="Z166" s="24" t="str">
        <f t="shared" si="11"/>
        <v>#DIV/0!</v>
      </c>
      <c r="AA166" s="21" t="str">
        <f>IF(A166="","",SUMIFS('Inventory &amp; COGS'!$H$2:$H$2001,'Inventory &amp; COGS'!$A$2:$A$2001,A166,'Inventory &amp; COGS'!$B$2:$B$2001,"Food"))</f>
        <v/>
      </c>
      <c r="AB166" s="21" t="str">
        <f>IF(A166="","",SUMIFS('Inventory &amp; COGS'!$H$2:$H$2001,'Inventory &amp; COGS'!$A$2:$A$2001,A166,'Inventory &amp; COGS'!$B$2:$B$2001,"Beverage"))</f>
        <v/>
      </c>
      <c r="AC166" s="21" t="str">
        <f t="shared" si="12"/>
        <v/>
      </c>
      <c r="AD166" s="24" t="str">
        <f t="shared" ref="AD166:AE166" si="181">IF(I166=0,"",AA166/I166)</f>
        <v/>
      </c>
      <c r="AE166" s="24" t="str">
        <f t="shared" si="181"/>
        <v/>
      </c>
      <c r="AF166" s="21" t="str">
        <f t="shared" si="14"/>
        <v/>
      </c>
      <c r="AG166" s="24" t="str">
        <f t="shared" si="15"/>
        <v>#DIV/0!</v>
      </c>
      <c r="AH166" s="25" t="str">
        <f t="shared" si="16"/>
        <v/>
      </c>
      <c r="AI166" s="25" t="str">
        <f t="shared" si="17"/>
        <v/>
      </c>
      <c r="AJ166" s="26" t="str">
        <f t="shared" si="18"/>
        <v/>
      </c>
    </row>
    <row r="167" ht="15.75" customHeight="1">
      <c r="A167" s="3"/>
      <c r="B167" s="18" t="str">
        <f t="shared" si="2"/>
        <v/>
      </c>
      <c r="C167" s="19"/>
      <c r="D167" s="19"/>
      <c r="E167" s="19"/>
      <c r="F167" s="20"/>
      <c r="G167" s="20"/>
      <c r="H167" s="21" t="str">
        <f t="shared" si="3"/>
        <v/>
      </c>
      <c r="I167" s="20"/>
      <c r="J167" s="20"/>
      <c r="K167" s="20"/>
      <c r="L167" s="20"/>
      <c r="M167" s="21" t="str">
        <f t="shared" si="4"/>
        <v/>
      </c>
      <c r="N167" s="20"/>
      <c r="O167" s="20"/>
      <c r="P167" s="20"/>
      <c r="Q167" s="21" t="str">
        <f t="shared" si="5"/>
        <v/>
      </c>
      <c r="R167" s="21" t="str">
        <f t="shared" si="6"/>
        <v/>
      </c>
      <c r="S167" s="22"/>
      <c r="T167" s="22"/>
      <c r="U167" s="23" t="str">
        <f t="shared" si="7"/>
        <v/>
      </c>
      <c r="V167" s="21" t="str">
        <f t="shared" si="8"/>
        <v>#DIV/0!</v>
      </c>
      <c r="W167" s="24" t="str">
        <f t="shared" si="9"/>
        <v>#DIV/0!</v>
      </c>
      <c r="X167" s="24" t="str">
        <f t="shared" si="10"/>
        <v>#DIV/0!</v>
      </c>
      <c r="Y167" s="21" t="str">
        <f>IF(A167="","",SUMIFS('Labor Log'!$I$2:$I$2001,'Labor Log'!$A$2:$A$2001,A167))</f>
        <v/>
      </c>
      <c r="Z167" s="24" t="str">
        <f t="shared" si="11"/>
        <v>#DIV/0!</v>
      </c>
      <c r="AA167" s="21" t="str">
        <f>IF(A167="","",SUMIFS('Inventory &amp; COGS'!$H$2:$H$2001,'Inventory &amp; COGS'!$A$2:$A$2001,A167,'Inventory &amp; COGS'!$B$2:$B$2001,"Food"))</f>
        <v/>
      </c>
      <c r="AB167" s="21" t="str">
        <f>IF(A167="","",SUMIFS('Inventory &amp; COGS'!$H$2:$H$2001,'Inventory &amp; COGS'!$A$2:$A$2001,A167,'Inventory &amp; COGS'!$B$2:$B$2001,"Beverage"))</f>
        <v/>
      </c>
      <c r="AC167" s="21" t="str">
        <f t="shared" si="12"/>
        <v/>
      </c>
      <c r="AD167" s="24" t="str">
        <f t="shared" ref="AD167:AE167" si="182">IF(I167=0,"",AA167/I167)</f>
        <v/>
      </c>
      <c r="AE167" s="24" t="str">
        <f t="shared" si="182"/>
        <v/>
      </c>
      <c r="AF167" s="21" t="str">
        <f t="shared" si="14"/>
        <v/>
      </c>
      <c r="AG167" s="24" t="str">
        <f t="shared" si="15"/>
        <v>#DIV/0!</v>
      </c>
      <c r="AH167" s="25" t="str">
        <f t="shared" si="16"/>
        <v/>
      </c>
      <c r="AI167" s="25" t="str">
        <f t="shared" si="17"/>
        <v/>
      </c>
      <c r="AJ167" s="26" t="str">
        <f t="shared" si="18"/>
        <v/>
      </c>
    </row>
    <row r="168" ht="15.75" customHeight="1">
      <c r="A168" s="3"/>
      <c r="B168" s="18" t="str">
        <f t="shared" si="2"/>
        <v/>
      </c>
      <c r="C168" s="19"/>
      <c r="D168" s="19"/>
      <c r="E168" s="19"/>
      <c r="F168" s="20"/>
      <c r="G168" s="20"/>
      <c r="H168" s="21" t="str">
        <f t="shared" si="3"/>
        <v/>
      </c>
      <c r="I168" s="20"/>
      <c r="J168" s="20"/>
      <c r="K168" s="20"/>
      <c r="L168" s="20"/>
      <c r="M168" s="21" t="str">
        <f t="shared" si="4"/>
        <v/>
      </c>
      <c r="N168" s="20"/>
      <c r="O168" s="20"/>
      <c r="P168" s="20"/>
      <c r="Q168" s="21" t="str">
        <f t="shared" si="5"/>
        <v/>
      </c>
      <c r="R168" s="21" t="str">
        <f t="shared" si="6"/>
        <v/>
      </c>
      <c r="S168" s="22"/>
      <c r="T168" s="22"/>
      <c r="U168" s="23" t="str">
        <f t="shared" si="7"/>
        <v/>
      </c>
      <c r="V168" s="21" t="str">
        <f t="shared" si="8"/>
        <v>#DIV/0!</v>
      </c>
      <c r="W168" s="24" t="str">
        <f t="shared" si="9"/>
        <v>#DIV/0!</v>
      </c>
      <c r="X168" s="24" t="str">
        <f t="shared" si="10"/>
        <v>#DIV/0!</v>
      </c>
      <c r="Y168" s="21" t="str">
        <f>IF(A168="","",SUMIFS('Labor Log'!$I$2:$I$2001,'Labor Log'!$A$2:$A$2001,A168))</f>
        <v/>
      </c>
      <c r="Z168" s="24" t="str">
        <f t="shared" si="11"/>
        <v>#DIV/0!</v>
      </c>
      <c r="AA168" s="21" t="str">
        <f>IF(A168="","",SUMIFS('Inventory &amp; COGS'!$H$2:$H$2001,'Inventory &amp; COGS'!$A$2:$A$2001,A168,'Inventory &amp; COGS'!$B$2:$B$2001,"Food"))</f>
        <v/>
      </c>
      <c r="AB168" s="21" t="str">
        <f>IF(A168="","",SUMIFS('Inventory &amp; COGS'!$H$2:$H$2001,'Inventory &amp; COGS'!$A$2:$A$2001,A168,'Inventory &amp; COGS'!$B$2:$B$2001,"Beverage"))</f>
        <v/>
      </c>
      <c r="AC168" s="21" t="str">
        <f t="shared" si="12"/>
        <v/>
      </c>
      <c r="AD168" s="24" t="str">
        <f t="shared" ref="AD168:AE168" si="183">IF(I168=0,"",AA168/I168)</f>
        <v/>
      </c>
      <c r="AE168" s="24" t="str">
        <f t="shared" si="183"/>
        <v/>
      </c>
      <c r="AF168" s="21" t="str">
        <f t="shared" si="14"/>
        <v/>
      </c>
      <c r="AG168" s="24" t="str">
        <f t="shared" si="15"/>
        <v>#DIV/0!</v>
      </c>
      <c r="AH168" s="25" t="str">
        <f t="shared" si="16"/>
        <v/>
      </c>
      <c r="AI168" s="25" t="str">
        <f t="shared" si="17"/>
        <v/>
      </c>
      <c r="AJ168" s="26" t="str">
        <f t="shared" si="18"/>
        <v/>
      </c>
    </row>
    <row r="169" ht="15.75" customHeight="1">
      <c r="A169" s="3"/>
      <c r="B169" s="18" t="str">
        <f t="shared" si="2"/>
        <v/>
      </c>
      <c r="C169" s="19"/>
      <c r="D169" s="19"/>
      <c r="E169" s="19"/>
      <c r="F169" s="20"/>
      <c r="G169" s="20"/>
      <c r="H169" s="21" t="str">
        <f t="shared" si="3"/>
        <v/>
      </c>
      <c r="I169" s="20"/>
      <c r="J169" s="20"/>
      <c r="K169" s="20"/>
      <c r="L169" s="20"/>
      <c r="M169" s="21" t="str">
        <f t="shared" si="4"/>
        <v/>
      </c>
      <c r="N169" s="20"/>
      <c r="O169" s="20"/>
      <c r="P169" s="20"/>
      <c r="Q169" s="21" t="str">
        <f t="shared" si="5"/>
        <v/>
      </c>
      <c r="R169" s="21" t="str">
        <f t="shared" si="6"/>
        <v/>
      </c>
      <c r="S169" s="22"/>
      <c r="T169" s="22"/>
      <c r="U169" s="23" t="str">
        <f t="shared" si="7"/>
        <v/>
      </c>
      <c r="V169" s="21" t="str">
        <f t="shared" si="8"/>
        <v>#DIV/0!</v>
      </c>
      <c r="W169" s="24" t="str">
        <f t="shared" si="9"/>
        <v>#DIV/0!</v>
      </c>
      <c r="X169" s="24" t="str">
        <f t="shared" si="10"/>
        <v>#DIV/0!</v>
      </c>
      <c r="Y169" s="21" t="str">
        <f>IF(A169="","",SUMIFS('Labor Log'!$I$2:$I$2001,'Labor Log'!$A$2:$A$2001,A169))</f>
        <v/>
      </c>
      <c r="Z169" s="24" t="str">
        <f t="shared" si="11"/>
        <v>#DIV/0!</v>
      </c>
      <c r="AA169" s="21" t="str">
        <f>IF(A169="","",SUMIFS('Inventory &amp; COGS'!$H$2:$H$2001,'Inventory &amp; COGS'!$A$2:$A$2001,A169,'Inventory &amp; COGS'!$B$2:$B$2001,"Food"))</f>
        <v/>
      </c>
      <c r="AB169" s="21" t="str">
        <f>IF(A169="","",SUMIFS('Inventory &amp; COGS'!$H$2:$H$2001,'Inventory &amp; COGS'!$A$2:$A$2001,A169,'Inventory &amp; COGS'!$B$2:$B$2001,"Beverage"))</f>
        <v/>
      </c>
      <c r="AC169" s="21" t="str">
        <f t="shared" si="12"/>
        <v/>
      </c>
      <c r="AD169" s="24" t="str">
        <f t="shared" ref="AD169:AE169" si="184">IF(I169=0,"",AA169/I169)</f>
        <v/>
      </c>
      <c r="AE169" s="24" t="str">
        <f t="shared" si="184"/>
        <v/>
      </c>
      <c r="AF169" s="21" t="str">
        <f t="shared" si="14"/>
        <v/>
      </c>
      <c r="AG169" s="24" t="str">
        <f t="shared" si="15"/>
        <v>#DIV/0!</v>
      </c>
      <c r="AH169" s="25" t="str">
        <f t="shared" si="16"/>
        <v/>
      </c>
      <c r="AI169" s="25" t="str">
        <f t="shared" si="17"/>
        <v/>
      </c>
      <c r="AJ169" s="26" t="str">
        <f t="shared" si="18"/>
        <v/>
      </c>
    </row>
    <row r="170" ht="15.75" customHeight="1">
      <c r="A170" s="3"/>
      <c r="B170" s="18" t="str">
        <f t="shared" si="2"/>
        <v/>
      </c>
      <c r="C170" s="19"/>
      <c r="D170" s="19"/>
      <c r="E170" s="19"/>
      <c r="F170" s="20"/>
      <c r="G170" s="20"/>
      <c r="H170" s="21" t="str">
        <f t="shared" si="3"/>
        <v/>
      </c>
      <c r="I170" s="20"/>
      <c r="J170" s="20"/>
      <c r="K170" s="20"/>
      <c r="L170" s="20"/>
      <c r="M170" s="21" t="str">
        <f t="shared" si="4"/>
        <v/>
      </c>
      <c r="N170" s="20"/>
      <c r="O170" s="20"/>
      <c r="P170" s="20"/>
      <c r="Q170" s="21" t="str">
        <f t="shared" si="5"/>
        <v/>
      </c>
      <c r="R170" s="21" t="str">
        <f t="shared" si="6"/>
        <v/>
      </c>
      <c r="S170" s="22"/>
      <c r="T170" s="22"/>
      <c r="U170" s="23" t="str">
        <f t="shared" si="7"/>
        <v/>
      </c>
      <c r="V170" s="21" t="str">
        <f t="shared" si="8"/>
        <v>#DIV/0!</v>
      </c>
      <c r="W170" s="24" t="str">
        <f t="shared" si="9"/>
        <v>#DIV/0!</v>
      </c>
      <c r="X170" s="24" t="str">
        <f t="shared" si="10"/>
        <v>#DIV/0!</v>
      </c>
      <c r="Y170" s="21" t="str">
        <f>IF(A170="","",SUMIFS('Labor Log'!$I$2:$I$2001,'Labor Log'!$A$2:$A$2001,A170))</f>
        <v/>
      </c>
      <c r="Z170" s="24" t="str">
        <f t="shared" si="11"/>
        <v>#DIV/0!</v>
      </c>
      <c r="AA170" s="21" t="str">
        <f>IF(A170="","",SUMIFS('Inventory &amp; COGS'!$H$2:$H$2001,'Inventory &amp; COGS'!$A$2:$A$2001,A170,'Inventory &amp; COGS'!$B$2:$B$2001,"Food"))</f>
        <v/>
      </c>
      <c r="AB170" s="21" t="str">
        <f>IF(A170="","",SUMIFS('Inventory &amp; COGS'!$H$2:$H$2001,'Inventory &amp; COGS'!$A$2:$A$2001,A170,'Inventory &amp; COGS'!$B$2:$B$2001,"Beverage"))</f>
        <v/>
      </c>
      <c r="AC170" s="21" t="str">
        <f t="shared" si="12"/>
        <v/>
      </c>
      <c r="AD170" s="24" t="str">
        <f t="shared" ref="AD170:AE170" si="185">IF(I170=0,"",AA170/I170)</f>
        <v/>
      </c>
      <c r="AE170" s="24" t="str">
        <f t="shared" si="185"/>
        <v/>
      </c>
      <c r="AF170" s="21" t="str">
        <f t="shared" si="14"/>
        <v/>
      </c>
      <c r="AG170" s="24" t="str">
        <f t="shared" si="15"/>
        <v>#DIV/0!</v>
      </c>
      <c r="AH170" s="25" t="str">
        <f t="shared" si="16"/>
        <v/>
      </c>
      <c r="AI170" s="25" t="str">
        <f t="shared" si="17"/>
        <v/>
      </c>
      <c r="AJ170" s="26" t="str">
        <f t="shared" si="18"/>
        <v/>
      </c>
    </row>
    <row r="171" ht="15.75" customHeight="1">
      <c r="A171" s="3"/>
      <c r="B171" s="18" t="str">
        <f t="shared" si="2"/>
        <v/>
      </c>
      <c r="C171" s="19"/>
      <c r="D171" s="19"/>
      <c r="E171" s="19"/>
      <c r="F171" s="20"/>
      <c r="G171" s="20"/>
      <c r="H171" s="21" t="str">
        <f t="shared" si="3"/>
        <v/>
      </c>
      <c r="I171" s="20"/>
      <c r="J171" s="20"/>
      <c r="K171" s="20"/>
      <c r="L171" s="20"/>
      <c r="M171" s="21" t="str">
        <f t="shared" si="4"/>
        <v/>
      </c>
      <c r="N171" s="20"/>
      <c r="O171" s="20"/>
      <c r="P171" s="20"/>
      <c r="Q171" s="21" t="str">
        <f t="shared" si="5"/>
        <v/>
      </c>
      <c r="R171" s="21" t="str">
        <f t="shared" si="6"/>
        <v/>
      </c>
      <c r="S171" s="22"/>
      <c r="T171" s="22"/>
      <c r="U171" s="23" t="str">
        <f t="shared" si="7"/>
        <v/>
      </c>
      <c r="V171" s="21" t="str">
        <f t="shared" si="8"/>
        <v>#DIV/0!</v>
      </c>
      <c r="W171" s="24" t="str">
        <f t="shared" si="9"/>
        <v>#DIV/0!</v>
      </c>
      <c r="X171" s="24" t="str">
        <f t="shared" si="10"/>
        <v>#DIV/0!</v>
      </c>
      <c r="Y171" s="21" t="str">
        <f>IF(A171="","",SUMIFS('Labor Log'!$I$2:$I$2001,'Labor Log'!$A$2:$A$2001,A171))</f>
        <v/>
      </c>
      <c r="Z171" s="24" t="str">
        <f t="shared" si="11"/>
        <v>#DIV/0!</v>
      </c>
      <c r="AA171" s="21" t="str">
        <f>IF(A171="","",SUMIFS('Inventory &amp; COGS'!$H$2:$H$2001,'Inventory &amp; COGS'!$A$2:$A$2001,A171,'Inventory &amp; COGS'!$B$2:$B$2001,"Food"))</f>
        <v/>
      </c>
      <c r="AB171" s="21" t="str">
        <f>IF(A171="","",SUMIFS('Inventory &amp; COGS'!$H$2:$H$2001,'Inventory &amp; COGS'!$A$2:$A$2001,A171,'Inventory &amp; COGS'!$B$2:$B$2001,"Beverage"))</f>
        <v/>
      </c>
      <c r="AC171" s="21" t="str">
        <f t="shared" si="12"/>
        <v/>
      </c>
      <c r="AD171" s="24" t="str">
        <f t="shared" ref="AD171:AE171" si="186">IF(I171=0,"",AA171/I171)</f>
        <v/>
      </c>
      <c r="AE171" s="24" t="str">
        <f t="shared" si="186"/>
        <v/>
      </c>
      <c r="AF171" s="21" t="str">
        <f t="shared" si="14"/>
        <v/>
      </c>
      <c r="AG171" s="24" t="str">
        <f t="shared" si="15"/>
        <v>#DIV/0!</v>
      </c>
      <c r="AH171" s="25" t="str">
        <f t="shared" si="16"/>
        <v/>
      </c>
      <c r="AI171" s="25" t="str">
        <f t="shared" si="17"/>
        <v/>
      </c>
      <c r="AJ171" s="26" t="str">
        <f t="shared" si="18"/>
        <v/>
      </c>
    </row>
    <row r="172" ht="15.75" customHeight="1">
      <c r="A172" s="3"/>
      <c r="B172" s="18" t="str">
        <f t="shared" si="2"/>
        <v/>
      </c>
      <c r="C172" s="19"/>
      <c r="D172" s="19"/>
      <c r="E172" s="19"/>
      <c r="F172" s="20"/>
      <c r="G172" s="20"/>
      <c r="H172" s="21" t="str">
        <f t="shared" si="3"/>
        <v/>
      </c>
      <c r="I172" s="20"/>
      <c r="J172" s="20"/>
      <c r="K172" s="20"/>
      <c r="L172" s="20"/>
      <c r="M172" s="21" t="str">
        <f t="shared" si="4"/>
        <v/>
      </c>
      <c r="N172" s="20"/>
      <c r="O172" s="20"/>
      <c r="P172" s="20"/>
      <c r="Q172" s="21" t="str">
        <f t="shared" si="5"/>
        <v/>
      </c>
      <c r="R172" s="21" t="str">
        <f t="shared" si="6"/>
        <v/>
      </c>
      <c r="S172" s="22"/>
      <c r="T172" s="22"/>
      <c r="U172" s="23" t="str">
        <f t="shared" si="7"/>
        <v/>
      </c>
      <c r="V172" s="21" t="str">
        <f t="shared" si="8"/>
        <v>#DIV/0!</v>
      </c>
      <c r="W172" s="24" t="str">
        <f t="shared" si="9"/>
        <v>#DIV/0!</v>
      </c>
      <c r="X172" s="24" t="str">
        <f t="shared" si="10"/>
        <v>#DIV/0!</v>
      </c>
      <c r="Y172" s="21" t="str">
        <f>IF(A172="","",SUMIFS('Labor Log'!$I$2:$I$2001,'Labor Log'!$A$2:$A$2001,A172))</f>
        <v/>
      </c>
      <c r="Z172" s="24" t="str">
        <f t="shared" si="11"/>
        <v>#DIV/0!</v>
      </c>
      <c r="AA172" s="21" t="str">
        <f>IF(A172="","",SUMIFS('Inventory &amp; COGS'!$H$2:$H$2001,'Inventory &amp; COGS'!$A$2:$A$2001,A172,'Inventory &amp; COGS'!$B$2:$B$2001,"Food"))</f>
        <v/>
      </c>
      <c r="AB172" s="21" t="str">
        <f>IF(A172="","",SUMIFS('Inventory &amp; COGS'!$H$2:$H$2001,'Inventory &amp; COGS'!$A$2:$A$2001,A172,'Inventory &amp; COGS'!$B$2:$B$2001,"Beverage"))</f>
        <v/>
      </c>
      <c r="AC172" s="21" t="str">
        <f t="shared" si="12"/>
        <v/>
      </c>
      <c r="AD172" s="24" t="str">
        <f t="shared" ref="AD172:AE172" si="187">IF(I172=0,"",AA172/I172)</f>
        <v/>
      </c>
      <c r="AE172" s="24" t="str">
        <f t="shared" si="187"/>
        <v/>
      </c>
      <c r="AF172" s="21" t="str">
        <f t="shared" si="14"/>
        <v/>
      </c>
      <c r="AG172" s="24" t="str">
        <f t="shared" si="15"/>
        <v>#DIV/0!</v>
      </c>
      <c r="AH172" s="25" t="str">
        <f t="shared" si="16"/>
        <v/>
      </c>
      <c r="AI172" s="25" t="str">
        <f t="shared" si="17"/>
        <v/>
      </c>
      <c r="AJ172" s="26" t="str">
        <f t="shared" si="18"/>
        <v/>
      </c>
    </row>
    <row r="173" ht="15.75" customHeight="1">
      <c r="A173" s="3"/>
      <c r="B173" s="18" t="str">
        <f t="shared" si="2"/>
        <v/>
      </c>
      <c r="C173" s="19"/>
      <c r="D173" s="19"/>
      <c r="E173" s="19"/>
      <c r="F173" s="20"/>
      <c r="G173" s="20"/>
      <c r="H173" s="21" t="str">
        <f t="shared" si="3"/>
        <v/>
      </c>
      <c r="I173" s="20"/>
      <c r="J173" s="20"/>
      <c r="K173" s="20"/>
      <c r="L173" s="20"/>
      <c r="M173" s="21" t="str">
        <f t="shared" si="4"/>
        <v/>
      </c>
      <c r="N173" s="20"/>
      <c r="O173" s="20"/>
      <c r="P173" s="20"/>
      <c r="Q173" s="21" t="str">
        <f t="shared" si="5"/>
        <v/>
      </c>
      <c r="R173" s="21" t="str">
        <f t="shared" si="6"/>
        <v/>
      </c>
      <c r="S173" s="22"/>
      <c r="T173" s="22"/>
      <c r="U173" s="23" t="str">
        <f t="shared" si="7"/>
        <v/>
      </c>
      <c r="V173" s="21" t="str">
        <f t="shared" si="8"/>
        <v>#DIV/0!</v>
      </c>
      <c r="W173" s="24" t="str">
        <f t="shared" si="9"/>
        <v>#DIV/0!</v>
      </c>
      <c r="X173" s="24" t="str">
        <f t="shared" si="10"/>
        <v>#DIV/0!</v>
      </c>
      <c r="Y173" s="21" t="str">
        <f>IF(A173="","",SUMIFS('Labor Log'!$I$2:$I$2001,'Labor Log'!$A$2:$A$2001,A173))</f>
        <v/>
      </c>
      <c r="Z173" s="24" t="str">
        <f t="shared" si="11"/>
        <v>#DIV/0!</v>
      </c>
      <c r="AA173" s="21" t="str">
        <f>IF(A173="","",SUMIFS('Inventory &amp; COGS'!$H$2:$H$2001,'Inventory &amp; COGS'!$A$2:$A$2001,A173,'Inventory &amp; COGS'!$B$2:$B$2001,"Food"))</f>
        <v/>
      </c>
      <c r="AB173" s="21" t="str">
        <f>IF(A173="","",SUMIFS('Inventory &amp; COGS'!$H$2:$H$2001,'Inventory &amp; COGS'!$A$2:$A$2001,A173,'Inventory &amp; COGS'!$B$2:$B$2001,"Beverage"))</f>
        <v/>
      </c>
      <c r="AC173" s="21" t="str">
        <f t="shared" si="12"/>
        <v/>
      </c>
      <c r="AD173" s="24" t="str">
        <f t="shared" ref="AD173:AE173" si="188">IF(I173=0,"",AA173/I173)</f>
        <v/>
      </c>
      <c r="AE173" s="24" t="str">
        <f t="shared" si="188"/>
        <v/>
      </c>
      <c r="AF173" s="21" t="str">
        <f t="shared" si="14"/>
        <v/>
      </c>
      <c r="AG173" s="24" t="str">
        <f t="shared" si="15"/>
        <v>#DIV/0!</v>
      </c>
      <c r="AH173" s="25" t="str">
        <f t="shared" si="16"/>
        <v/>
      </c>
      <c r="AI173" s="25" t="str">
        <f t="shared" si="17"/>
        <v/>
      </c>
      <c r="AJ173" s="26" t="str">
        <f t="shared" si="18"/>
        <v/>
      </c>
    </row>
    <row r="174" ht="15.75" customHeight="1">
      <c r="A174" s="3"/>
      <c r="B174" s="18" t="str">
        <f t="shared" si="2"/>
        <v/>
      </c>
      <c r="C174" s="19"/>
      <c r="D174" s="19"/>
      <c r="E174" s="19"/>
      <c r="F174" s="20"/>
      <c r="G174" s="20"/>
      <c r="H174" s="21" t="str">
        <f t="shared" si="3"/>
        <v/>
      </c>
      <c r="I174" s="20"/>
      <c r="J174" s="20"/>
      <c r="K174" s="20"/>
      <c r="L174" s="20"/>
      <c r="M174" s="21" t="str">
        <f t="shared" si="4"/>
        <v/>
      </c>
      <c r="N174" s="20"/>
      <c r="O174" s="20"/>
      <c r="P174" s="20"/>
      <c r="Q174" s="21" t="str">
        <f t="shared" si="5"/>
        <v/>
      </c>
      <c r="R174" s="21" t="str">
        <f t="shared" si="6"/>
        <v/>
      </c>
      <c r="S174" s="22"/>
      <c r="T174" s="22"/>
      <c r="U174" s="23" t="str">
        <f t="shared" si="7"/>
        <v/>
      </c>
      <c r="V174" s="21" t="str">
        <f t="shared" si="8"/>
        <v>#DIV/0!</v>
      </c>
      <c r="W174" s="24" t="str">
        <f t="shared" si="9"/>
        <v>#DIV/0!</v>
      </c>
      <c r="X174" s="24" t="str">
        <f t="shared" si="10"/>
        <v>#DIV/0!</v>
      </c>
      <c r="Y174" s="21" t="str">
        <f>IF(A174="","",SUMIFS('Labor Log'!$I$2:$I$2001,'Labor Log'!$A$2:$A$2001,A174))</f>
        <v/>
      </c>
      <c r="Z174" s="24" t="str">
        <f t="shared" si="11"/>
        <v>#DIV/0!</v>
      </c>
      <c r="AA174" s="21" t="str">
        <f>IF(A174="","",SUMIFS('Inventory &amp; COGS'!$H$2:$H$2001,'Inventory &amp; COGS'!$A$2:$A$2001,A174,'Inventory &amp; COGS'!$B$2:$B$2001,"Food"))</f>
        <v/>
      </c>
      <c r="AB174" s="21" t="str">
        <f>IF(A174="","",SUMIFS('Inventory &amp; COGS'!$H$2:$H$2001,'Inventory &amp; COGS'!$A$2:$A$2001,A174,'Inventory &amp; COGS'!$B$2:$B$2001,"Beverage"))</f>
        <v/>
      </c>
      <c r="AC174" s="21" t="str">
        <f t="shared" si="12"/>
        <v/>
      </c>
      <c r="AD174" s="24" t="str">
        <f t="shared" ref="AD174:AE174" si="189">IF(I174=0,"",AA174/I174)</f>
        <v/>
      </c>
      <c r="AE174" s="24" t="str">
        <f t="shared" si="189"/>
        <v/>
      </c>
      <c r="AF174" s="21" t="str">
        <f t="shared" si="14"/>
        <v/>
      </c>
      <c r="AG174" s="24" t="str">
        <f t="shared" si="15"/>
        <v>#DIV/0!</v>
      </c>
      <c r="AH174" s="25" t="str">
        <f t="shared" si="16"/>
        <v/>
      </c>
      <c r="AI174" s="25" t="str">
        <f t="shared" si="17"/>
        <v/>
      </c>
      <c r="AJ174" s="26" t="str">
        <f t="shared" si="18"/>
        <v/>
      </c>
    </row>
    <row r="175" ht="15.75" customHeight="1">
      <c r="A175" s="3"/>
      <c r="B175" s="18" t="str">
        <f t="shared" si="2"/>
        <v/>
      </c>
      <c r="C175" s="19"/>
      <c r="D175" s="19"/>
      <c r="E175" s="19"/>
      <c r="F175" s="20"/>
      <c r="G175" s="20"/>
      <c r="H175" s="21" t="str">
        <f t="shared" si="3"/>
        <v/>
      </c>
      <c r="I175" s="20"/>
      <c r="J175" s="20"/>
      <c r="K175" s="20"/>
      <c r="L175" s="20"/>
      <c r="M175" s="21" t="str">
        <f t="shared" si="4"/>
        <v/>
      </c>
      <c r="N175" s="20"/>
      <c r="O175" s="20"/>
      <c r="P175" s="20"/>
      <c r="Q175" s="21" t="str">
        <f t="shared" si="5"/>
        <v/>
      </c>
      <c r="R175" s="21" t="str">
        <f t="shared" si="6"/>
        <v/>
      </c>
      <c r="S175" s="22"/>
      <c r="T175" s="22"/>
      <c r="U175" s="23" t="str">
        <f t="shared" si="7"/>
        <v/>
      </c>
      <c r="V175" s="21" t="str">
        <f t="shared" si="8"/>
        <v>#DIV/0!</v>
      </c>
      <c r="W175" s="24" t="str">
        <f t="shared" si="9"/>
        <v>#DIV/0!</v>
      </c>
      <c r="X175" s="24" t="str">
        <f t="shared" si="10"/>
        <v>#DIV/0!</v>
      </c>
      <c r="Y175" s="21" t="str">
        <f>IF(A175="","",SUMIFS('Labor Log'!$I$2:$I$2001,'Labor Log'!$A$2:$A$2001,A175))</f>
        <v/>
      </c>
      <c r="Z175" s="24" t="str">
        <f t="shared" si="11"/>
        <v>#DIV/0!</v>
      </c>
      <c r="AA175" s="21" t="str">
        <f>IF(A175="","",SUMIFS('Inventory &amp; COGS'!$H$2:$H$2001,'Inventory &amp; COGS'!$A$2:$A$2001,A175,'Inventory &amp; COGS'!$B$2:$B$2001,"Food"))</f>
        <v/>
      </c>
      <c r="AB175" s="21" t="str">
        <f>IF(A175="","",SUMIFS('Inventory &amp; COGS'!$H$2:$H$2001,'Inventory &amp; COGS'!$A$2:$A$2001,A175,'Inventory &amp; COGS'!$B$2:$B$2001,"Beverage"))</f>
        <v/>
      </c>
      <c r="AC175" s="21" t="str">
        <f t="shared" si="12"/>
        <v/>
      </c>
      <c r="AD175" s="24" t="str">
        <f t="shared" ref="AD175:AE175" si="190">IF(I175=0,"",AA175/I175)</f>
        <v/>
      </c>
      <c r="AE175" s="24" t="str">
        <f t="shared" si="190"/>
        <v/>
      </c>
      <c r="AF175" s="21" t="str">
        <f t="shared" si="14"/>
        <v/>
      </c>
      <c r="AG175" s="24" t="str">
        <f t="shared" si="15"/>
        <v>#DIV/0!</v>
      </c>
      <c r="AH175" s="25" t="str">
        <f t="shared" si="16"/>
        <v/>
      </c>
      <c r="AI175" s="25" t="str">
        <f t="shared" si="17"/>
        <v/>
      </c>
      <c r="AJ175" s="26" t="str">
        <f t="shared" si="18"/>
        <v/>
      </c>
    </row>
    <row r="176" ht="15.75" customHeight="1">
      <c r="A176" s="3"/>
      <c r="B176" s="18" t="str">
        <f t="shared" si="2"/>
        <v/>
      </c>
      <c r="C176" s="19"/>
      <c r="D176" s="19"/>
      <c r="E176" s="19"/>
      <c r="F176" s="20"/>
      <c r="G176" s="20"/>
      <c r="H176" s="21" t="str">
        <f t="shared" si="3"/>
        <v/>
      </c>
      <c r="I176" s="20"/>
      <c r="J176" s="20"/>
      <c r="K176" s="20"/>
      <c r="L176" s="20"/>
      <c r="M176" s="21" t="str">
        <f t="shared" si="4"/>
        <v/>
      </c>
      <c r="N176" s="20"/>
      <c r="O176" s="20"/>
      <c r="P176" s="20"/>
      <c r="Q176" s="21" t="str">
        <f t="shared" si="5"/>
        <v/>
      </c>
      <c r="R176" s="21" t="str">
        <f t="shared" si="6"/>
        <v/>
      </c>
      <c r="S176" s="22"/>
      <c r="T176" s="22"/>
      <c r="U176" s="23" t="str">
        <f t="shared" si="7"/>
        <v/>
      </c>
      <c r="V176" s="21" t="str">
        <f t="shared" si="8"/>
        <v>#DIV/0!</v>
      </c>
      <c r="W176" s="24" t="str">
        <f t="shared" si="9"/>
        <v>#DIV/0!</v>
      </c>
      <c r="X176" s="24" t="str">
        <f t="shared" si="10"/>
        <v>#DIV/0!</v>
      </c>
      <c r="Y176" s="21" t="str">
        <f>IF(A176="","",SUMIFS('Labor Log'!$I$2:$I$2001,'Labor Log'!$A$2:$A$2001,A176))</f>
        <v/>
      </c>
      <c r="Z176" s="24" t="str">
        <f t="shared" si="11"/>
        <v>#DIV/0!</v>
      </c>
      <c r="AA176" s="21" t="str">
        <f>IF(A176="","",SUMIFS('Inventory &amp; COGS'!$H$2:$H$2001,'Inventory &amp; COGS'!$A$2:$A$2001,A176,'Inventory &amp; COGS'!$B$2:$B$2001,"Food"))</f>
        <v/>
      </c>
      <c r="AB176" s="21" t="str">
        <f>IF(A176="","",SUMIFS('Inventory &amp; COGS'!$H$2:$H$2001,'Inventory &amp; COGS'!$A$2:$A$2001,A176,'Inventory &amp; COGS'!$B$2:$B$2001,"Beverage"))</f>
        <v/>
      </c>
      <c r="AC176" s="21" t="str">
        <f t="shared" si="12"/>
        <v/>
      </c>
      <c r="AD176" s="24" t="str">
        <f t="shared" ref="AD176:AE176" si="191">IF(I176=0,"",AA176/I176)</f>
        <v/>
      </c>
      <c r="AE176" s="24" t="str">
        <f t="shared" si="191"/>
        <v/>
      </c>
      <c r="AF176" s="21" t="str">
        <f t="shared" si="14"/>
        <v/>
      </c>
      <c r="AG176" s="24" t="str">
        <f t="shared" si="15"/>
        <v>#DIV/0!</v>
      </c>
      <c r="AH176" s="25" t="str">
        <f t="shared" si="16"/>
        <v/>
      </c>
      <c r="AI176" s="25" t="str">
        <f t="shared" si="17"/>
        <v/>
      </c>
      <c r="AJ176" s="26" t="str">
        <f t="shared" si="18"/>
        <v/>
      </c>
    </row>
    <row r="177" ht="15.75" customHeight="1">
      <c r="A177" s="3"/>
      <c r="B177" s="18" t="str">
        <f t="shared" si="2"/>
        <v/>
      </c>
      <c r="C177" s="19"/>
      <c r="D177" s="19"/>
      <c r="E177" s="19"/>
      <c r="F177" s="20"/>
      <c r="G177" s="20"/>
      <c r="H177" s="21" t="str">
        <f t="shared" si="3"/>
        <v/>
      </c>
      <c r="I177" s="20"/>
      <c r="J177" s="20"/>
      <c r="K177" s="20"/>
      <c r="L177" s="20"/>
      <c r="M177" s="21" t="str">
        <f t="shared" si="4"/>
        <v/>
      </c>
      <c r="N177" s="20"/>
      <c r="O177" s="20"/>
      <c r="P177" s="20"/>
      <c r="Q177" s="21" t="str">
        <f t="shared" si="5"/>
        <v/>
      </c>
      <c r="R177" s="21" t="str">
        <f t="shared" si="6"/>
        <v/>
      </c>
      <c r="S177" s="22"/>
      <c r="T177" s="22"/>
      <c r="U177" s="23" t="str">
        <f t="shared" si="7"/>
        <v/>
      </c>
      <c r="V177" s="21" t="str">
        <f t="shared" si="8"/>
        <v>#DIV/0!</v>
      </c>
      <c r="W177" s="24" t="str">
        <f t="shared" si="9"/>
        <v>#DIV/0!</v>
      </c>
      <c r="X177" s="24" t="str">
        <f t="shared" si="10"/>
        <v>#DIV/0!</v>
      </c>
      <c r="Y177" s="21" t="str">
        <f>IF(A177="","",SUMIFS('Labor Log'!$I$2:$I$2001,'Labor Log'!$A$2:$A$2001,A177))</f>
        <v/>
      </c>
      <c r="Z177" s="24" t="str">
        <f t="shared" si="11"/>
        <v>#DIV/0!</v>
      </c>
      <c r="AA177" s="21" t="str">
        <f>IF(A177="","",SUMIFS('Inventory &amp; COGS'!$H$2:$H$2001,'Inventory &amp; COGS'!$A$2:$A$2001,A177,'Inventory &amp; COGS'!$B$2:$B$2001,"Food"))</f>
        <v/>
      </c>
      <c r="AB177" s="21" t="str">
        <f>IF(A177="","",SUMIFS('Inventory &amp; COGS'!$H$2:$H$2001,'Inventory &amp; COGS'!$A$2:$A$2001,A177,'Inventory &amp; COGS'!$B$2:$B$2001,"Beverage"))</f>
        <v/>
      </c>
      <c r="AC177" s="21" t="str">
        <f t="shared" si="12"/>
        <v/>
      </c>
      <c r="AD177" s="24" t="str">
        <f t="shared" ref="AD177:AE177" si="192">IF(I177=0,"",AA177/I177)</f>
        <v/>
      </c>
      <c r="AE177" s="24" t="str">
        <f t="shared" si="192"/>
        <v/>
      </c>
      <c r="AF177" s="21" t="str">
        <f t="shared" si="14"/>
        <v/>
      </c>
      <c r="AG177" s="24" t="str">
        <f t="shared" si="15"/>
        <v>#DIV/0!</v>
      </c>
      <c r="AH177" s="25" t="str">
        <f t="shared" si="16"/>
        <v/>
      </c>
      <c r="AI177" s="25" t="str">
        <f t="shared" si="17"/>
        <v/>
      </c>
      <c r="AJ177" s="26" t="str">
        <f t="shared" si="18"/>
        <v/>
      </c>
    </row>
    <row r="178" ht="15.75" customHeight="1">
      <c r="A178" s="3"/>
      <c r="B178" s="18" t="str">
        <f t="shared" si="2"/>
        <v/>
      </c>
      <c r="C178" s="19"/>
      <c r="D178" s="19"/>
      <c r="E178" s="19"/>
      <c r="F178" s="20"/>
      <c r="G178" s="20"/>
      <c r="H178" s="21" t="str">
        <f t="shared" si="3"/>
        <v/>
      </c>
      <c r="I178" s="20"/>
      <c r="J178" s="20"/>
      <c r="K178" s="20"/>
      <c r="L178" s="20"/>
      <c r="M178" s="21" t="str">
        <f t="shared" si="4"/>
        <v/>
      </c>
      <c r="N178" s="20"/>
      <c r="O178" s="20"/>
      <c r="P178" s="20"/>
      <c r="Q178" s="21" t="str">
        <f t="shared" si="5"/>
        <v/>
      </c>
      <c r="R178" s="21" t="str">
        <f t="shared" si="6"/>
        <v/>
      </c>
      <c r="S178" s="22"/>
      <c r="T178" s="22"/>
      <c r="U178" s="23" t="str">
        <f t="shared" si="7"/>
        <v/>
      </c>
      <c r="V178" s="21" t="str">
        <f t="shared" si="8"/>
        <v>#DIV/0!</v>
      </c>
      <c r="W178" s="24" t="str">
        <f t="shared" si="9"/>
        <v>#DIV/0!</v>
      </c>
      <c r="X178" s="24" t="str">
        <f t="shared" si="10"/>
        <v>#DIV/0!</v>
      </c>
      <c r="Y178" s="21" t="str">
        <f>IF(A178="","",SUMIFS('Labor Log'!$I$2:$I$2001,'Labor Log'!$A$2:$A$2001,A178))</f>
        <v/>
      </c>
      <c r="Z178" s="24" t="str">
        <f t="shared" si="11"/>
        <v>#DIV/0!</v>
      </c>
      <c r="AA178" s="21" t="str">
        <f>IF(A178="","",SUMIFS('Inventory &amp; COGS'!$H$2:$H$2001,'Inventory &amp; COGS'!$A$2:$A$2001,A178,'Inventory &amp; COGS'!$B$2:$B$2001,"Food"))</f>
        <v/>
      </c>
      <c r="AB178" s="21" t="str">
        <f>IF(A178="","",SUMIFS('Inventory &amp; COGS'!$H$2:$H$2001,'Inventory &amp; COGS'!$A$2:$A$2001,A178,'Inventory &amp; COGS'!$B$2:$B$2001,"Beverage"))</f>
        <v/>
      </c>
      <c r="AC178" s="21" t="str">
        <f t="shared" si="12"/>
        <v/>
      </c>
      <c r="AD178" s="24" t="str">
        <f t="shared" ref="AD178:AE178" si="193">IF(I178=0,"",AA178/I178)</f>
        <v/>
      </c>
      <c r="AE178" s="24" t="str">
        <f t="shared" si="193"/>
        <v/>
      </c>
      <c r="AF178" s="21" t="str">
        <f t="shared" si="14"/>
        <v/>
      </c>
      <c r="AG178" s="24" t="str">
        <f t="shared" si="15"/>
        <v>#DIV/0!</v>
      </c>
      <c r="AH178" s="25" t="str">
        <f t="shared" si="16"/>
        <v/>
      </c>
      <c r="AI178" s="25" t="str">
        <f t="shared" si="17"/>
        <v/>
      </c>
      <c r="AJ178" s="26" t="str">
        <f t="shared" si="18"/>
        <v/>
      </c>
    </row>
    <row r="179" ht="15.75" customHeight="1">
      <c r="A179" s="3"/>
      <c r="B179" s="18" t="str">
        <f t="shared" si="2"/>
        <v/>
      </c>
      <c r="C179" s="19"/>
      <c r="D179" s="19"/>
      <c r="E179" s="19"/>
      <c r="F179" s="20"/>
      <c r="G179" s="20"/>
      <c r="H179" s="21" t="str">
        <f t="shared" si="3"/>
        <v/>
      </c>
      <c r="I179" s="20"/>
      <c r="J179" s="20"/>
      <c r="K179" s="20"/>
      <c r="L179" s="20"/>
      <c r="M179" s="21" t="str">
        <f t="shared" si="4"/>
        <v/>
      </c>
      <c r="N179" s="20"/>
      <c r="O179" s="20"/>
      <c r="P179" s="20"/>
      <c r="Q179" s="21" t="str">
        <f t="shared" si="5"/>
        <v/>
      </c>
      <c r="R179" s="21" t="str">
        <f t="shared" si="6"/>
        <v/>
      </c>
      <c r="S179" s="22"/>
      <c r="T179" s="22"/>
      <c r="U179" s="23" t="str">
        <f t="shared" si="7"/>
        <v/>
      </c>
      <c r="V179" s="21" t="str">
        <f t="shared" si="8"/>
        <v>#DIV/0!</v>
      </c>
      <c r="W179" s="24" t="str">
        <f t="shared" si="9"/>
        <v>#DIV/0!</v>
      </c>
      <c r="X179" s="24" t="str">
        <f t="shared" si="10"/>
        <v>#DIV/0!</v>
      </c>
      <c r="Y179" s="21" t="str">
        <f>IF(A179="","",SUMIFS('Labor Log'!$I$2:$I$2001,'Labor Log'!$A$2:$A$2001,A179))</f>
        <v/>
      </c>
      <c r="Z179" s="24" t="str">
        <f t="shared" si="11"/>
        <v>#DIV/0!</v>
      </c>
      <c r="AA179" s="21" t="str">
        <f>IF(A179="","",SUMIFS('Inventory &amp; COGS'!$H$2:$H$2001,'Inventory &amp; COGS'!$A$2:$A$2001,A179,'Inventory &amp; COGS'!$B$2:$B$2001,"Food"))</f>
        <v/>
      </c>
      <c r="AB179" s="21" t="str">
        <f>IF(A179="","",SUMIFS('Inventory &amp; COGS'!$H$2:$H$2001,'Inventory &amp; COGS'!$A$2:$A$2001,A179,'Inventory &amp; COGS'!$B$2:$B$2001,"Beverage"))</f>
        <v/>
      </c>
      <c r="AC179" s="21" t="str">
        <f t="shared" si="12"/>
        <v/>
      </c>
      <c r="AD179" s="24" t="str">
        <f t="shared" ref="AD179:AE179" si="194">IF(I179=0,"",AA179/I179)</f>
        <v/>
      </c>
      <c r="AE179" s="24" t="str">
        <f t="shared" si="194"/>
        <v/>
      </c>
      <c r="AF179" s="21" t="str">
        <f t="shared" si="14"/>
        <v/>
      </c>
      <c r="AG179" s="24" t="str">
        <f t="shared" si="15"/>
        <v>#DIV/0!</v>
      </c>
      <c r="AH179" s="25" t="str">
        <f t="shared" si="16"/>
        <v/>
      </c>
      <c r="AI179" s="25" t="str">
        <f t="shared" si="17"/>
        <v/>
      </c>
      <c r="AJ179" s="26" t="str">
        <f t="shared" si="18"/>
        <v/>
      </c>
    </row>
    <row r="180" ht="15.75" customHeight="1">
      <c r="A180" s="3"/>
      <c r="B180" s="18" t="str">
        <f t="shared" si="2"/>
        <v/>
      </c>
      <c r="C180" s="19"/>
      <c r="D180" s="19"/>
      <c r="E180" s="19"/>
      <c r="F180" s="20"/>
      <c r="G180" s="20"/>
      <c r="H180" s="21" t="str">
        <f t="shared" si="3"/>
        <v/>
      </c>
      <c r="I180" s="20"/>
      <c r="J180" s="20"/>
      <c r="K180" s="20"/>
      <c r="L180" s="20"/>
      <c r="M180" s="21" t="str">
        <f t="shared" si="4"/>
        <v/>
      </c>
      <c r="N180" s="20"/>
      <c r="O180" s="20"/>
      <c r="P180" s="20"/>
      <c r="Q180" s="21" t="str">
        <f t="shared" si="5"/>
        <v/>
      </c>
      <c r="R180" s="21" t="str">
        <f t="shared" si="6"/>
        <v/>
      </c>
      <c r="S180" s="22"/>
      <c r="T180" s="22"/>
      <c r="U180" s="23" t="str">
        <f t="shared" si="7"/>
        <v/>
      </c>
      <c r="V180" s="21" t="str">
        <f t="shared" si="8"/>
        <v>#DIV/0!</v>
      </c>
      <c r="W180" s="24" t="str">
        <f t="shared" si="9"/>
        <v>#DIV/0!</v>
      </c>
      <c r="X180" s="24" t="str">
        <f t="shared" si="10"/>
        <v>#DIV/0!</v>
      </c>
      <c r="Y180" s="21" t="str">
        <f>IF(A180="","",SUMIFS('Labor Log'!$I$2:$I$2001,'Labor Log'!$A$2:$A$2001,A180))</f>
        <v/>
      </c>
      <c r="Z180" s="24" t="str">
        <f t="shared" si="11"/>
        <v>#DIV/0!</v>
      </c>
      <c r="AA180" s="21" t="str">
        <f>IF(A180="","",SUMIFS('Inventory &amp; COGS'!$H$2:$H$2001,'Inventory &amp; COGS'!$A$2:$A$2001,A180,'Inventory &amp; COGS'!$B$2:$B$2001,"Food"))</f>
        <v/>
      </c>
      <c r="AB180" s="21" t="str">
        <f>IF(A180="","",SUMIFS('Inventory &amp; COGS'!$H$2:$H$2001,'Inventory &amp; COGS'!$A$2:$A$2001,A180,'Inventory &amp; COGS'!$B$2:$B$2001,"Beverage"))</f>
        <v/>
      </c>
      <c r="AC180" s="21" t="str">
        <f t="shared" si="12"/>
        <v/>
      </c>
      <c r="AD180" s="24" t="str">
        <f t="shared" ref="AD180:AE180" si="195">IF(I180=0,"",AA180/I180)</f>
        <v/>
      </c>
      <c r="AE180" s="24" t="str">
        <f t="shared" si="195"/>
        <v/>
      </c>
      <c r="AF180" s="21" t="str">
        <f t="shared" si="14"/>
        <v/>
      </c>
      <c r="AG180" s="24" t="str">
        <f t="shared" si="15"/>
        <v>#DIV/0!</v>
      </c>
      <c r="AH180" s="25" t="str">
        <f t="shared" si="16"/>
        <v/>
      </c>
      <c r="AI180" s="25" t="str">
        <f t="shared" si="17"/>
        <v/>
      </c>
      <c r="AJ180" s="26" t="str">
        <f t="shared" si="18"/>
        <v/>
      </c>
    </row>
    <row r="181" ht="15.75" customHeight="1">
      <c r="A181" s="3"/>
      <c r="B181" s="18" t="str">
        <f t="shared" si="2"/>
        <v/>
      </c>
      <c r="C181" s="19"/>
      <c r="D181" s="19"/>
      <c r="E181" s="19"/>
      <c r="F181" s="20"/>
      <c r="G181" s="20"/>
      <c r="H181" s="21" t="str">
        <f t="shared" si="3"/>
        <v/>
      </c>
      <c r="I181" s="20"/>
      <c r="J181" s="20"/>
      <c r="K181" s="20"/>
      <c r="L181" s="20"/>
      <c r="M181" s="21" t="str">
        <f t="shared" si="4"/>
        <v/>
      </c>
      <c r="N181" s="20"/>
      <c r="O181" s="20"/>
      <c r="P181" s="20"/>
      <c r="Q181" s="21" t="str">
        <f t="shared" si="5"/>
        <v/>
      </c>
      <c r="R181" s="21" t="str">
        <f t="shared" si="6"/>
        <v/>
      </c>
      <c r="S181" s="22"/>
      <c r="T181" s="22"/>
      <c r="U181" s="23" t="str">
        <f t="shared" si="7"/>
        <v/>
      </c>
      <c r="V181" s="21" t="str">
        <f t="shared" si="8"/>
        <v>#DIV/0!</v>
      </c>
      <c r="W181" s="24" t="str">
        <f t="shared" si="9"/>
        <v>#DIV/0!</v>
      </c>
      <c r="X181" s="24" t="str">
        <f t="shared" si="10"/>
        <v>#DIV/0!</v>
      </c>
      <c r="Y181" s="21" t="str">
        <f>IF(A181="","",SUMIFS('Labor Log'!$I$2:$I$2001,'Labor Log'!$A$2:$A$2001,A181))</f>
        <v/>
      </c>
      <c r="Z181" s="24" t="str">
        <f t="shared" si="11"/>
        <v>#DIV/0!</v>
      </c>
      <c r="AA181" s="21" t="str">
        <f>IF(A181="","",SUMIFS('Inventory &amp; COGS'!$H$2:$H$2001,'Inventory &amp; COGS'!$A$2:$A$2001,A181,'Inventory &amp; COGS'!$B$2:$B$2001,"Food"))</f>
        <v/>
      </c>
      <c r="AB181" s="21" t="str">
        <f>IF(A181="","",SUMIFS('Inventory &amp; COGS'!$H$2:$H$2001,'Inventory &amp; COGS'!$A$2:$A$2001,A181,'Inventory &amp; COGS'!$B$2:$B$2001,"Beverage"))</f>
        <v/>
      </c>
      <c r="AC181" s="21" t="str">
        <f t="shared" si="12"/>
        <v/>
      </c>
      <c r="AD181" s="24" t="str">
        <f t="shared" ref="AD181:AE181" si="196">IF(I181=0,"",AA181/I181)</f>
        <v/>
      </c>
      <c r="AE181" s="24" t="str">
        <f t="shared" si="196"/>
        <v/>
      </c>
      <c r="AF181" s="21" t="str">
        <f t="shared" si="14"/>
        <v/>
      </c>
      <c r="AG181" s="24" t="str">
        <f t="shared" si="15"/>
        <v>#DIV/0!</v>
      </c>
      <c r="AH181" s="25" t="str">
        <f t="shared" si="16"/>
        <v/>
      </c>
      <c r="AI181" s="25" t="str">
        <f t="shared" si="17"/>
        <v/>
      </c>
      <c r="AJ181" s="26" t="str">
        <f t="shared" si="18"/>
        <v/>
      </c>
    </row>
    <row r="182" ht="15.75" customHeight="1">
      <c r="A182" s="3"/>
      <c r="B182" s="18" t="str">
        <f t="shared" si="2"/>
        <v/>
      </c>
      <c r="C182" s="19"/>
      <c r="D182" s="19"/>
      <c r="E182" s="19"/>
      <c r="F182" s="20"/>
      <c r="G182" s="20"/>
      <c r="H182" s="21" t="str">
        <f t="shared" si="3"/>
        <v/>
      </c>
      <c r="I182" s="20"/>
      <c r="J182" s="20"/>
      <c r="K182" s="20"/>
      <c r="L182" s="20"/>
      <c r="M182" s="21" t="str">
        <f t="shared" si="4"/>
        <v/>
      </c>
      <c r="N182" s="20"/>
      <c r="O182" s="20"/>
      <c r="P182" s="20"/>
      <c r="Q182" s="21" t="str">
        <f t="shared" si="5"/>
        <v/>
      </c>
      <c r="R182" s="21" t="str">
        <f t="shared" si="6"/>
        <v/>
      </c>
      <c r="S182" s="22"/>
      <c r="T182" s="22"/>
      <c r="U182" s="23" t="str">
        <f t="shared" si="7"/>
        <v/>
      </c>
      <c r="V182" s="21" t="str">
        <f t="shared" si="8"/>
        <v>#DIV/0!</v>
      </c>
      <c r="W182" s="24" t="str">
        <f t="shared" si="9"/>
        <v>#DIV/0!</v>
      </c>
      <c r="X182" s="24" t="str">
        <f t="shared" si="10"/>
        <v>#DIV/0!</v>
      </c>
      <c r="Y182" s="21" t="str">
        <f>IF(A182="","",SUMIFS('Labor Log'!$I$2:$I$2001,'Labor Log'!$A$2:$A$2001,A182))</f>
        <v/>
      </c>
      <c r="Z182" s="24" t="str">
        <f t="shared" si="11"/>
        <v>#DIV/0!</v>
      </c>
      <c r="AA182" s="21" t="str">
        <f>IF(A182="","",SUMIFS('Inventory &amp; COGS'!$H$2:$H$2001,'Inventory &amp; COGS'!$A$2:$A$2001,A182,'Inventory &amp; COGS'!$B$2:$B$2001,"Food"))</f>
        <v/>
      </c>
      <c r="AB182" s="21" t="str">
        <f>IF(A182="","",SUMIFS('Inventory &amp; COGS'!$H$2:$H$2001,'Inventory &amp; COGS'!$A$2:$A$2001,A182,'Inventory &amp; COGS'!$B$2:$B$2001,"Beverage"))</f>
        <v/>
      </c>
      <c r="AC182" s="21" t="str">
        <f t="shared" si="12"/>
        <v/>
      </c>
      <c r="AD182" s="24" t="str">
        <f t="shared" ref="AD182:AE182" si="197">IF(I182=0,"",AA182/I182)</f>
        <v/>
      </c>
      <c r="AE182" s="24" t="str">
        <f t="shared" si="197"/>
        <v/>
      </c>
      <c r="AF182" s="21" t="str">
        <f t="shared" si="14"/>
        <v/>
      </c>
      <c r="AG182" s="24" t="str">
        <f t="shared" si="15"/>
        <v>#DIV/0!</v>
      </c>
      <c r="AH182" s="25" t="str">
        <f t="shared" si="16"/>
        <v/>
      </c>
      <c r="AI182" s="25" t="str">
        <f t="shared" si="17"/>
        <v/>
      </c>
      <c r="AJ182" s="26" t="str">
        <f t="shared" si="18"/>
        <v/>
      </c>
    </row>
    <row r="183" ht="15.75" customHeight="1">
      <c r="A183" s="3"/>
      <c r="B183" s="18" t="str">
        <f t="shared" si="2"/>
        <v/>
      </c>
      <c r="C183" s="19"/>
      <c r="D183" s="19"/>
      <c r="E183" s="19"/>
      <c r="F183" s="20"/>
      <c r="G183" s="20"/>
      <c r="H183" s="21" t="str">
        <f t="shared" si="3"/>
        <v/>
      </c>
      <c r="I183" s="20"/>
      <c r="J183" s="20"/>
      <c r="K183" s="20"/>
      <c r="L183" s="20"/>
      <c r="M183" s="21" t="str">
        <f t="shared" si="4"/>
        <v/>
      </c>
      <c r="N183" s="20"/>
      <c r="O183" s="20"/>
      <c r="P183" s="20"/>
      <c r="Q183" s="21" t="str">
        <f t="shared" si="5"/>
        <v/>
      </c>
      <c r="R183" s="21" t="str">
        <f t="shared" si="6"/>
        <v/>
      </c>
      <c r="S183" s="22"/>
      <c r="T183" s="22"/>
      <c r="U183" s="23" t="str">
        <f t="shared" si="7"/>
        <v/>
      </c>
      <c r="V183" s="21" t="str">
        <f t="shared" si="8"/>
        <v>#DIV/0!</v>
      </c>
      <c r="W183" s="24" t="str">
        <f t="shared" si="9"/>
        <v>#DIV/0!</v>
      </c>
      <c r="X183" s="24" t="str">
        <f t="shared" si="10"/>
        <v>#DIV/0!</v>
      </c>
      <c r="Y183" s="21" t="str">
        <f>IF(A183="","",SUMIFS('Labor Log'!$I$2:$I$2001,'Labor Log'!$A$2:$A$2001,A183))</f>
        <v/>
      </c>
      <c r="Z183" s="24" t="str">
        <f t="shared" si="11"/>
        <v>#DIV/0!</v>
      </c>
      <c r="AA183" s="21" t="str">
        <f>IF(A183="","",SUMIFS('Inventory &amp; COGS'!$H$2:$H$2001,'Inventory &amp; COGS'!$A$2:$A$2001,A183,'Inventory &amp; COGS'!$B$2:$B$2001,"Food"))</f>
        <v/>
      </c>
      <c r="AB183" s="21" t="str">
        <f>IF(A183="","",SUMIFS('Inventory &amp; COGS'!$H$2:$H$2001,'Inventory &amp; COGS'!$A$2:$A$2001,A183,'Inventory &amp; COGS'!$B$2:$B$2001,"Beverage"))</f>
        <v/>
      </c>
      <c r="AC183" s="21" t="str">
        <f t="shared" si="12"/>
        <v/>
      </c>
      <c r="AD183" s="24" t="str">
        <f t="shared" ref="AD183:AE183" si="198">IF(I183=0,"",AA183/I183)</f>
        <v/>
      </c>
      <c r="AE183" s="24" t="str">
        <f t="shared" si="198"/>
        <v/>
      </c>
      <c r="AF183" s="21" t="str">
        <f t="shared" si="14"/>
        <v/>
      </c>
      <c r="AG183" s="24" t="str">
        <f t="shared" si="15"/>
        <v>#DIV/0!</v>
      </c>
      <c r="AH183" s="25" t="str">
        <f t="shared" si="16"/>
        <v/>
      </c>
      <c r="AI183" s="25" t="str">
        <f t="shared" si="17"/>
        <v/>
      </c>
      <c r="AJ183" s="26" t="str">
        <f t="shared" si="18"/>
        <v/>
      </c>
    </row>
    <row r="184" ht="15.75" customHeight="1">
      <c r="A184" s="3"/>
      <c r="B184" s="18" t="str">
        <f t="shared" si="2"/>
        <v/>
      </c>
      <c r="C184" s="19"/>
      <c r="D184" s="19"/>
      <c r="E184" s="19"/>
      <c r="F184" s="20"/>
      <c r="G184" s="20"/>
      <c r="H184" s="21" t="str">
        <f t="shared" si="3"/>
        <v/>
      </c>
      <c r="I184" s="20"/>
      <c r="J184" s="20"/>
      <c r="K184" s="20"/>
      <c r="L184" s="20"/>
      <c r="M184" s="21" t="str">
        <f t="shared" si="4"/>
        <v/>
      </c>
      <c r="N184" s="20"/>
      <c r="O184" s="20"/>
      <c r="P184" s="20"/>
      <c r="Q184" s="21" t="str">
        <f t="shared" si="5"/>
        <v/>
      </c>
      <c r="R184" s="21" t="str">
        <f t="shared" si="6"/>
        <v/>
      </c>
      <c r="S184" s="22"/>
      <c r="T184" s="22"/>
      <c r="U184" s="23" t="str">
        <f t="shared" si="7"/>
        <v/>
      </c>
      <c r="V184" s="21" t="str">
        <f t="shared" si="8"/>
        <v>#DIV/0!</v>
      </c>
      <c r="W184" s="24" t="str">
        <f t="shared" si="9"/>
        <v>#DIV/0!</v>
      </c>
      <c r="X184" s="24" t="str">
        <f t="shared" si="10"/>
        <v>#DIV/0!</v>
      </c>
      <c r="Y184" s="21" t="str">
        <f>IF(A184="","",SUMIFS('Labor Log'!$I$2:$I$2001,'Labor Log'!$A$2:$A$2001,A184))</f>
        <v/>
      </c>
      <c r="Z184" s="24" t="str">
        <f t="shared" si="11"/>
        <v>#DIV/0!</v>
      </c>
      <c r="AA184" s="21" t="str">
        <f>IF(A184="","",SUMIFS('Inventory &amp; COGS'!$H$2:$H$2001,'Inventory &amp; COGS'!$A$2:$A$2001,A184,'Inventory &amp; COGS'!$B$2:$B$2001,"Food"))</f>
        <v/>
      </c>
      <c r="AB184" s="21" t="str">
        <f>IF(A184="","",SUMIFS('Inventory &amp; COGS'!$H$2:$H$2001,'Inventory &amp; COGS'!$A$2:$A$2001,A184,'Inventory &amp; COGS'!$B$2:$B$2001,"Beverage"))</f>
        <v/>
      </c>
      <c r="AC184" s="21" t="str">
        <f t="shared" si="12"/>
        <v/>
      </c>
      <c r="AD184" s="24" t="str">
        <f t="shared" ref="AD184:AE184" si="199">IF(I184=0,"",AA184/I184)</f>
        <v/>
      </c>
      <c r="AE184" s="24" t="str">
        <f t="shared" si="199"/>
        <v/>
      </c>
      <c r="AF184" s="21" t="str">
        <f t="shared" si="14"/>
        <v/>
      </c>
      <c r="AG184" s="24" t="str">
        <f t="shared" si="15"/>
        <v>#DIV/0!</v>
      </c>
      <c r="AH184" s="25" t="str">
        <f t="shared" si="16"/>
        <v/>
      </c>
      <c r="AI184" s="25" t="str">
        <f t="shared" si="17"/>
        <v/>
      </c>
      <c r="AJ184" s="26" t="str">
        <f t="shared" si="18"/>
        <v/>
      </c>
    </row>
    <row r="185" ht="15.75" customHeight="1">
      <c r="A185" s="3"/>
      <c r="B185" s="18" t="str">
        <f t="shared" si="2"/>
        <v/>
      </c>
      <c r="C185" s="19"/>
      <c r="D185" s="19"/>
      <c r="E185" s="19"/>
      <c r="F185" s="20"/>
      <c r="G185" s="20"/>
      <c r="H185" s="21" t="str">
        <f t="shared" si="3"/>
        <v/>
      </c>
      <c r="I185" s="20"/>
      <c r="J185" s="20"/>
      <c r="K185" s="20"/>
      <c r="L185" s="20"/>
      <c r="M185" s="21" t="str">
        <f t="shared" si="4"/>
        <v/>
      </c>
      <c r="N185" s="20"/>
      <c r="O185" s="20"/>
      <c r="P185" s="20"/>
      <c r="Q185" s="21" t="str">
        <f t="shared" si="5"/>
        <v/>
      </c>
      <c r="R185" s="21" t="str">
        <f t="shared" si="6"/>
        <v/>
      </c>
      <c r="S185" s="22"/>
      <c r="T185" s="22"/>
      <c r="U185" s="23" t="str">
        <f t="shared" si="7"/>
        <v/>
      </c>
      <c r="V185" s="21" t="str">
        <f t="shared" si="8"/>
        <v>#DIV/0!</v>
      </c>
      <c r="W185" s="24" t="str">
        <f t="shared" si="9"/>
        <v>#DIV/0!</v>
      </c>
      <c r="X185" s="24" t="str">
        <f t="shared" si="10"/>
        <v>#DIV/0!</v>
      </c>
      <c r="Y185" s="21" t="str">
        <f>IF(A185="","",SUMIFS('Labor Log'!$I$2:$I$2001,'Labor Log'!$A$2:$A$2001,A185))</f>
        <v/>
      </c>
      <c r="Z185" s="24" t="str">
        <f t="shared" si="11"/>
        <v>#DIV/0!</v>
      </c>
      <c r="AA185" s="21" t="str">
        <f>IF(A185="","",SUMIFS('Inventory &amp; COGS'!$H$2:$H$2001,'Inventory &amp; COGS'!$A$2:$A$2001,A185,'Inventory &amp; COGS'!$B$2:$B$2001,"Food"))</f>
        <v/>
      </c>
      <c r="AB185" s="21" t="str">
        <f>IF(A185="","",SUMIFS('Inventory &amp; COGS'!$H$2:$H$2001,'Inventory &amp; COGS'!$A$2:$A$2001,A185,'Inventory &amp; COGS'!$B$2:$B$2001,"Beverage"))</f>
        <v/>
      </c>
      <c r="AC185" s="21" t="str">
        <f t="shared" si="12"/>
        <v/>
      </c>
      <c r="AD185" s="24" t="str">
        <f t="shared" ref="AD185:AE185" si="200">IF(I185=0,"",AA185/I185)</f>
        <v/>
      </c>
      <c r="AE185" s="24" t="str">
        <f t="shared" si="200"/>
        <v/>
      </c>
      <c r="AF185" s="21" t="str">
        <f t="shared" si="14"/>
        <v/>
      </c>
      <c r="AG185" s="24" t="str">
        <f t="shared" si="15"/>
        <v>#DIV/0!</v>
      </c>
      <c r="AH185" s="25" t="str">
        <f t="shared" si="16"/>
        <v/>
      </c>
      <c r="AI185" s="25" t="str">
        <f t="shared" si="17"/>
        <v/>
      </c>
      <c r="AJ185" s="26" t="str">
        <f t="shared" si="18"/>
        <v/>
      </c>
    </row>
    <row r="186" ht="15.75" customHeight="1">
      <c r="A186" s="3"/>
      <c r="B186" s="18" t="str">
        <f t="shared" si="2"/>
        <v/>
      </c>
      <c r="C186" s="19"/>
      <c r="D186" s="19"/>
      <c r="E186" s="19"/>
      <c r="F186" s="20"/>
      <c r="G186" s="20"/>
      <c r="H186" s="21" t="str">
        <f t="shared" si="3"/>
        <v/>
      </c>
      <c r="I186" s="20"/>
      <c r="J186" s="20"/>
      <c r="K186" s="20"/>
      <c r="L186" s="20"/>
      <c r="M186" s="21" t="str">
        <f t="shared" si="4"/>
        <v/>
      </c>
      <c r="N186" s="20"/>
      <c r="O186" s="20"/>
      <c r="P186" s="20"/>
      <c r="Q186" s="21" t="str">
        <f t="shared" si="5"/>
        <v/>
      </c>
      <c r="R186" s="21" t="str">
        <f t="shared" si="6"/>
        <v/>
      </c>
      <c r="S186" s="22"/>
      <c r="T186" s="22"/>
      <c r="U186" s="23" t="str">
        <f t="shared" si="7"/>
        <v/>
      </c>
      <c r="V186" s="21" t="str">
        <f t="shared" si="8"/>
        <v>#DIV/0!</v>
      </c>
      <c r="W186" s="24" t="str">
        <f t="shared" si="9"/>
        <v>#DIV/0!</v>
      </c>
      <c r="X186" s="24" t="str">
        <f t="shared" si="10"/>
        <v>#DIV/0!</v>
      </c>
      <c r="Y186" s="21" t="str">
        <f>IF(A186="","",SUMIFS('Labor Log'!$I$2:$I$2001,'Labor Log'!$A$2:$A$2001,A186))</f>
        <v/>
      </c>
      <c r="Z186" s="24" t="str">
        <f t="shared" si="11"/>
        <v>#DIV/0!</v>
      </c>
      <c r="AA186" s="21" t="str">
        <f>IF(A186="","",SUMIFS('Inventory &amp; COGS'!$H$2:$H$2001,'Inventory &amp; COGS'!$A$2:$A$2001,A186,'Inventory &amp; COGS'!$B$2:$B$2001,"Food"))</f>
        <v/>
      </c>
      <c r="AB186" s="21" t="str">
        <f>IF(A186="","",SUMIFS('Inventory &amp; COGS'!$H$2:$H$2001,'Inventory &amp; COGS'!$A$2:$A$2001,A186,'Inventory &amp; COGS'!$B$2:$B$2001,"Beverage"))</f>
        <v/>
      </c>
      <c r="AC186" s="21" t="str">
        <f t="shared" si="12"/>
        <v/>
      </c>
      <c r="AD186" s="24" t="str">
        <f t="shared" ref="AD186:AE186" si="201">IF(I186=0,"",AA186/I186)</f>
        <v/>
      </c>
      <c r="AE186" s="24" t="str">
        <f t="shared" si="201"/>
        <v/>
      </c>
      <c r="AF186" s="21" t="str">
        <f t="shared" si="14"/>
        <v/>
      </c>
      <c r="AG186" s="24" t="str">
        <f t="shared" si="15"/>
        <v>#DIV/0!</v>
      </c>
      <c r="AH186" s="25" t="str">
        <f t="shared" si="16"/>
        <v/>
      </c>
      <c r="AI186" s="25" t="str">
        <f t="shared" si="17"/>
        <v/>
      </c>
      <c r="AJ186" s="26" t="str">
        <f t="shared" si="18"/>
        <v/>
      </c>
    </row>
    <row r="187" ht="15.75" customHeight="1">
      <c r="A187" s="3"/>
      <c r="B187" s="18" t="str">
        <f t="shared" si="2"/>
        <v/>
      </c>
      <c r="C187" s="19"/>
      <c r="D187" s="19"/>
      <c r="E187" s="19"/>
      <c r="F187" s="20"/>
      <c r="G187" s="20"/>
      <c r="H187" s="21" t="str">
        <f t="shared" si="3"/>
        <v/>
      </c>
      <c r="I187" s="20"/>
      <c r="J187" s="20"/>
      <c r="K187" s="20"/>
      <c r="L187" s="20"/>
      <c r="M187" s="21" t="str">
        <f t="shared" si="4"/>
        <v/>
      </c>
      <c r="N187" s="20"/>
      <c r="O187" s="20"/>
      <c r="P187" s="20"/>
      <c r="Q187" s="21" t="str">
        <f t="shared" si="5"/>
        <v/>
      </c>
      <c r="R187" s="21" t="str">
        <f t="shared" si="6"/>
        <v/>
      </c>
      <c r="S187" s="22"/>
      <c r="T187" s="22"/>
      <c r="U187" s="23" t="str">
        <f t="shared" si="7"/>
        <v/>
      </c>
      <c r="V187" s="21" t="str">
        <f t="shared" si="8"/>
        <v>#DIV/0!</v>
      </c>
      <c r="W187" s="24" t="str">
        <f t="shared" si="9"/>
        <v>#DIV/0!</v>
      </c>
      <c r="X187" s="24" t="str">
        <f t="shared" si="10"/>
        <v>#DIV/0!</v>
      </c>
      <c r="Y187" s="21" t="str">
        <f>IF(A187="","",SUMIFS('Labor Log'!$I$2:$I$2001,'Labor Log'!$A$2:$A$2001,A187))</f>
        <v/>
      </c>
      <c r="Z187" s="24" t="str">
        <f t="shared" si="11"/>
        <v>#DIV/0!</v>
      </c>
      <c r="AA187" s="21" t="str">
        <f>IF(A187="","",SUMIFS('Inventory &amp; COGS'!$H$2:$H$2001,'Inventory &amp; COGS'!$A$2:$A$2001,A187,'Inventory &amp; COGS'!$B$2:$B$2001,"Food"))</f>
        <v/>
      </c>
      <c r="AB187" s="21" t="str">
        <f>IF(A187="","",SUMIFS('Inventory &amp; COGS'!$H$2:$H$2001,'Inventory &amp; COGS'!$A$2:$A$2001,A187,'Inventory &amp; COGS'!$B$2:$B$2001,"Beverage"))</f>
        <v/>
      </c>
      <c r="AC187" s="21" t="str">
        <f t="shared" si="12"/>
        <v/>
      </c>
      <c r="AD187" s="24" t="str">
        <f t="shared" ref="AD187:AE187" si="202">IF(I187=0,"",AA187/I187)</f>
        <v/>
      </c>
      <c r="AE187" s="24" t="str">
        <f t="shared" si="202"/>
        <v/>
      </c>
      <c r="AF187" s="21" t="str">
        <f t="shared" si="14"/>
        <v/>
      </c>
      <c r="AG187" s="24" t="str">
        <f t="shared" si="15"/>
        <v>#DIV/0!</v>
      </c>
      <c r="AH187" s="25" t="str">
        <f t="shared" si="16"/>
        <v/>
      </c>
      <c r="AI187" s="25" t="str">
        <f t="shared" si="17"/>
        <v/>
      </c>
      <c r="AJ187" s="26" t="str">
        <f t="shared" si="18"/>
        <v/>
      </c>
    </row>
    <row r="188" ht="15.75" customHeight="1">
      <c r="A188" s="3"/>
      <c r="B188" s="18" t="str">
        <f t="shared" si="2"/>
        <v/>
      </c>
      <c r="C188" s="19"/>
      <c r="D188" s="19"/>
      <c r="E188" s="19"/>
      <c r="F188" s="20"/>
      <c r="G188" s="20"/>
      <c r="H188" s="21" t="str">
        <f t="shared" si="3"/>
        <v/>
      </c>
      <c r="I188" s="20"/>
      <c r="J188" s="20"/>
      <c r="K188" s="20"/>
      <c r="L188" s="20"/>
      <c r="M188" s="21" t="str">
        <f t="shared" si="4"/>
        <v/>
      </c>
      <c r="N188" s="20"/>
      <c r="O188" s="20"/>
      <c r="P188" s="20"/>
      <c r="Q188" s="21" t="str">
        <f t="shared" si="5"/>
        <v/>
      </c>
      <c r="R188" s="21" t="str">
        <f t="shared" si="6"/>
        <v/>
      </c>
      <c r="S188" s="22"/>
      <c r="T188" s="22"/>
      <c r="U188" s="23" t="str">
        <f t="shared" si="7"/>
        <v/>
      </c>
      <c r="V188" s="21" t="str">
        <f t="shared" si="8"/>
        <v>#DIV/0!</v>
      </c>
      <c r="W188" s="24" t="str">
        <f t="shared" si="9"/>
        <v>#DIV/0!</v>
      </c>
      <c r="X188" s="24" t="str">
        <f t="shared" si="10"/>
        <v>#DIV/0!</v>
      </c>
      <c r="Y188" s="21" t="str">
        <f>IF(A188="","",SUMIFS('Labor Log'!$I$2:$I$2001,'Labor Log'!$A$2:$A$2001,A188))</f>
        <v/>
      </c>
      <c r="Z188" s="24" t="str">
        <f t="shared" si="11"/>
        <v>#DIV/0!</v>
      </c>
      <c r="AA188" s="21" t="str">
        <f>IF(A188="","",SUMIFS('Inventory &amp; COGS'!$H$2:$H$2001,'Inventory &amp; COGS'!$A$2:$A$2001,A188,'Inventory &amp; COGS'!$B$2:$B$2001,"Food"))</f>
        <v/>
      </c>
      <c r="AB188" s="21" t="str">
        <f>IF(A188="","",SUMIFS('Inventory &amp; COGS'!$H$2:$H$2001,'Inventory &amp; COGS'!$A$2:$A$2001,A188,'Inventory &amp; COGS'!$B$2:$B$2001,"Beverage"))</f>
        <v/>
      </c>
      <c r="AC188" s="21" t="str">
        <f t="shared" si="12"/>
        <v/>
      </c>
      <c r="AD188" s="24" t="str">
        <f t="shared" ref="AD188:AE188" si="203">IF(I188=0,"",AA188/I188)</f>
        <v/>
      </c>
      <c r="AE188" s="24" t="str">
        <f t="shared" si="203"/>
        <v/>
      </c>
      <c r="AF188" s="21" t="str">
        <f t="shared" si="14"/>
        <v/>
      </c>
      <c r="AG188" s="24" t="str">
        <f t="shared" si="15"/>
        <v>#DIV/0!</v>
      </c>
      <c r="AH188" s="25" t="str">
        <f t="shared" si="16"/>
        <v/>
      </c>
      <c r="AI188" s="25" t="str">
        <f t="shared" si="17"/>
        <v/>
      </c>
      <c r="AJ188" s="26" t="str">
        <f t="shared" si="18"/>
        <v/>
      </c>
    </row>
    <row r="189" ht="15.75" customHeight="1">
      <c r="A189" s="3"/>
      <c r="B189" s="18" t="str">
        <f t="shared" si="2"/>
        <v/>
      </c>
      <c r="C189" s="19"/>
      <c r="D189" s="19"/>
      <c r="E189" s="19"/>
      <c r="F189" s="20"/>
      <c r="G189" s="20"/>
      <c r="H189" s="21" t="str">
        <f t="shared" si="3"/>
        <v/>
      </c>
      <c r="I189" s="20"/>
      <c r="J189" s="20"/>
      <c r="K189" s="20"/>
      <c r="L189" s="20"/>
      <c r="M189" s="21" t="str">
        <f t="shared" si="4"/>
        <v/>
      </c>
      <c r="N189" s="20"/>
      <c r="O189" s="20"/>
      <c r="P189" s="20"/>
      <c r="Q189" s="21" t="str">
        <f t="shared" si="5"/>
        <v/>
      </c>
      <c r="R189" s="21" t="str">
        <f t="shared" si="6"/>
        <v/>
      </c>
      <c r="S189" s="22"/>
      <c r="T189" s="22"/>
      <c r="U189" s="23" t="str">
        <f t="shared" si="7"/>
        <v/>
      </c>
      <c r="V189" s="21" t="str">
        <f t="shared" si="8"/>
        <v>#DIV/0!</v>
      </c>
      <c r="W189" s="24" t="str">
        <f t="shared" si="9"/>
        <v>#DIV/0!</v>
      </c>
      <c r="X189" s="24" t="str">
        <f t="shared" si="10"/>
        <v>#DIV/0!</v>
      </c>
      <c r="Y189" s="21" t="str">
        <f>IF(A189="","",SUMIFS('Labor Log'!$I$2:$I$2001,'Labor Log'!$A$2:$A$2001,A189))</f>
        <v/>
      </c>
      <c r="Z189" s="24" t="str">
        <f t="shared" si="11"/>
        <v>#DIV/0!</v>
      </c>
      <c r="AA189" s="21" t="str">
        <f>IF(A189="","",SUMIFS('Inventory &amp; COGS'!$H$2:$H$2001,'Inventory &amp; COGS'!$A$2:$A$2001,A189,'Inventory &amp; COGS'!$B$2:$B$2001,"Food"))</f>
        <v/>
      </c>
      <c r="AB189" s="21" t="str">
        <f>IF(A189="","",SUMIFS('Inventory &amp; COGS'!$H$2:$H$2001,'Inventory &amp; COGS'!$A$2:$A$2001,A189,'Inventory &amp; COGS'!$B$2:$B$2001,"Beverage"))</f>
        <v/>
      </c>
      <c r="AC189" s="21" t="str">
        <f t="shared" si="12"/>
        <v/>
      </c>
      <c r="AD189" s="24" t="str">
        <f t="shared" ref="AD189:AE189" si="204">IF(I189=0,"",AA189/I189)</f>
        <v/>
      </c>
      <c r="AE189" s="24" t="str">
        <f t="shared" si="204"/>
        <v/>
      </c>
      <c r="AF189" s="21" t="str">
        <f t="shared" si="14"/>
        <v/>
      </c>
      <c r="AG189" s="24" t="str">
        <f t="shared" si="15"/>
        <v>#DIV/0!</v>
      </c>
      <c r="AH189" s="25" t="str">
        <f t="shared" si="16"/>
        <v/>
      </c>
      <c r="AI189" s="25" t="str">
        <f t="shared" si="17"/>
        <v/>
      </c>
      <c r="AJ189" s="26" t="str">
        <f t="shared" si="18"/>
        <v/>
      </c>
    </row>
    <row r="190" ht="15.75" customHeight="1">
      <c r="A190" s="3"/>
      <c r="B190" s="18" t="str">
        <f t="shared" si="2"/>
        <v/>
      </c>
      <c r="C190" s="19"/>
      <c r="D190" s="19"/>
      <c r="E190" s="19"/>
      <c r="F190" s="20"/>
      <c r="G190" s="20"/>
      <c r="H190" s="21" t="str">
        <f t="shared" si="3"/>
        <v/>
      </c>
      <c r="I190" s="20"/>
      <c r="J190" s="20"/>
      <c r="K190" s="20"/>
      <c r="L190" s="20"/>
      <c r="M190" s="21" t="str">
        <f t="shared" si="4"/>
        <v/>
      </c>
      <c r="N190" s="20"/>
      <c r="O190" s="20"/>
      <c r="P190" s="20"/>
      <c r="Q190" s="21" t="str">
        <f t="shared" si="5"/>
        <v/>
      </c>
      <c r="R190" s="21" t="str">
        <f t="shared" si="6"/>
        <v/>
      </c>
      <c r="S190" s="22"/>
      <c r="T190" s="22"/>
      <c r="U190" s="23" t="str">
        <f t="shared" si="7"/>
        <v/>
      </c>
      <c r="V190" s="21" t="str">
        <f t="shared" si="8"/>
        <v>#DIV/0!</v>
      </c>
      <c r="W190" s="24" t="str">
        <f t="shared" si="9"/>
        <v>#DIV/0!</v>
      </c>
      <c r="X190" s="24" t="str">
        <f t="shared" si="10"/>
        <v>#DIV/0!</v>
      </c>
      <c r="Y190" s="21" t="str">
        <f>IF(A190="","",SUMIFS('Labor Log'!$I$2:$I$2001,'Labor Log'!$A$2:$A$2001,A190))</f>
        <v/>
      </c>
      <c r="Z190" s="24" t="str">
        <f t="shared" si="11"/>
        <v>#DIV/0!</v>
      </c>
      <c r="AA190" s="21" t="str">
        <f>IF(A190="","",SUMIFS('Inventory &amp; COGS'!$H$2:$H$2001,'Inventory &amp; COGS'!$A$2:$A$2001,A190,'Inventory &amp; COGS'!$B$2:$B$2001,"Food"))</f>
        <v/>
      </c>
      <c r="AB190" s="21" t="str">
        <f>IF(A190="","",SUMIFS('Inventory &amp; COGS'!$H$2:$H$2001,'Inventory &amp; COGS'!$A$2:$A$2001,A190,'Inventory &amp; COGS'!$B$2:$B$2001,"Beverage"))</f>
        <v/>
      </c>
      <c r="AC190" s="21" t="str">
        <f t="shared" si="12"/>
        <v/>
      </c>
      <c r="AD190" s="24" t="str">
        <f t="shared" ref="AD190:AE190" si="205">IF(I190=0,"",AA190/I190)</f>
        <v/>
      </c>
      <c r="AE190" s="24" t="str">
        <f t="shared" si="205"/>
        <v/>
      </c>
      <c r="AF190" s="21" t="str">
        <f t="shared" si="14"/>
        <v/>
      </c>
      <c r="AG190" s="24" t="str">
        <f t="shared" si="15"/>
        <v>#DIV/0!</v>
      </c>
      <c r="AH190" s="25" t="str">
        <f t="shared" si="16"/>
        <v/>
      </c>
      <c r="AI190" s="25" t="str">
        <f t="shared" si="17"/>
        <v/>
      </c>
      <c r="AJ190" s="26" t="str">
        <f t="shared" si="18"/>
        <v/>
      </c>
    </row>
    <row r="191" ht="15.75" customHeight="1">
      <c r="A191" s="3"/>
      <c r="B191" s="18" t="str">
        <f t="shared" si="2"/>
        <v/>
      </c>
      <c r="C191" s="19"/>
      <c r="D191" s="19"/>
      <c r="E191" s="19"/>
      <c r="F191" s="20"/>
      <c r="G191" s="20"/>
      <c r="H191" s="21" t="str">
        <f t="shared" si="3"/>
        <v/>
      </c>
      <c r="I191" s="20"/>
      <c r="J191" s="20"/>
      <c r="K191" s="20"/>
      <c r="L191" s="20"/>
      <c r="M191" s="21" t="str">
        <f t="shared" si="4"/>
        <v/>
      </c>
      <c r="N191" s="20"/>
      <c r="O191" s="20"/>
      <c r="P191" s="20"/>
      <c r="Q191" s="21" t="str">
        <f t="shared" si="5"/>
        <v/>
      </c>
      <c r="R191" s="21" t="str">
        <f t="shared" si="6"/>
        <v/>
      </c>
      <c r="S191" s="22"/>
      <c r="T191" s="22"/>
      <c r="U191" s="23" t="str">
        <f t="shared" si="7"/>
        <v/>
      </c>
      <c r="V191" s="21" t="str">
        <f t="shared" si="8"/>
        <v>#DIV/0!</v>
      </c>
      <c r="W191" s="24" t="str">
        <f t="shared" si="9"/>
        <v>#DIV/0!</v>
      </c>
      <c r="X191" s="24" t="str">
        <f t="shared" si="10"/>
        <v>#DIV/0!</v>
      </c>
      <c r="Y191" s="21" t="str">
        <f>IF(A191="","",SUMIFS('Labor Log'!$I$2:$I$2001,'Labor Log'!$A$2:$A$2001,A191))</f>
        <v/>
      </c>
      <c r="Z191" s="24" t="str">
        <f t="shared" si="11"/>
        <v>#DIV/0!</v>
      </c>
      <c r="AA191" s="21" t="str">
        <f>IF(A191="","",SUMIFS('Inventory &amp; COGS'!$H$2:$H$2001,'Inventory &amp; COGS'!$A$2:$A$2001,A191,'Inventory &amp; COGS'!$B$2:$B$2001,"Food"))</f>
        <v/>
      </c>
      <c r="AB191" s="21" t="str">
        <f>IF(A191="","",SUMIFS('Inventory &amp; COGS'!$H$2:$H$2001,'Inventory &amp; COGS'!$A$2:$A$2001,A191,'Inventory &amp; COGS'!$B$2:$B$2001,"Beverage"))</f>
        <v/>
      </c>
      <c r="AC191" s="21" t="str">
        <f t="shared" si="12"/>
        <v/>
      </c>
      <c r="AD191" s="24" t="str">
        <f t="shared" ref="AD191:AE191" si="206">IF(I191=0,"",AA191/I191)</f>
        <v/>
      </c>
      <c r="AE191" s="24" t="str">
        <f t="shared" si="206"/>
        <v/>
      </c>
      <c r="AF191" s="21" t="str">
        <f t="shared" si="14"/>
        <v/>
      </c>
      <c r="AG191" s="24" t="str">
        <f t="shared" si="15"/>
        <v>#DIV/0!</v>
      </c>
      <c r="AH191" s="25" t="str">
        <f t="shared" si="16"/>
        <v/>
      </c>
      <c r="AI191" s="25" t="str">
        <f t="shared" si="17"/>
        <v/>
      </c>
      <c r="AJ191" s="26" t="str">
        <f t="shared" si="18"/>
        <v/>
      </c>
    </row>
    <row r="192" ht="15.75" customHeight="1">
      <c r="A192" s="3"/>
      <c r="B192" s="18" t="str">
        <f t="shared" si="2"/>
        <v/>
      </c>
      <c r="C192" s="19"/>
      <c r="D192" s="19"/>
      <c r="E192" s="19"/>
      <c r="F192" s="20"/>
      <c r="G192" s="20"/>
      <c r="H192" s="21" t="str">
        <f t="shared" si="3"/>
        <v/>
      </c>
      <c r="I192" s="20"/>
      <c r="J192" s="20"/>
      <c r="K192" s="20"/>
      <c r="L192" s="20"/>
      <c r="M192" s="21" t="str">
        <f t="shared" si="4"/>
        <v/>
      </c>
      <c r="N192" s="20"/>
      <c r="O192" s="20"/>
      <c r="P192" s="20"/>
      <c r="Q192" s="21" t="str">
        <f t="shared" si="5"/>
        <v/>
      </c>
      <c r="R192" s="21" t="str">
        <f t="shared" si="6"/>
        <v/>
      </c>
      <c r="S192" s="22"/>
      <c r="T192" s="22"/>
      <c r="U192" s="23" t="str">
        <f t="shared" si="7"/>
        <v/>
      </c>
      <c r="V192" s="21" t="str">
        <f t="shared" si="8"/>
        <v>#DIV/0!</v>
      </c>
      <c r="W192" s="24" t="str">
        <f t="shared" si="9"/>
        <v>#DIV/0!</v>
      </c>
      <c r="X192" s="24" t="str">
        <f t="shared" si="10"/>
        <v>#DIV/0!</v>
      </c>
      <c r="Y192" s="21" t="str">
        <f>IF(A192="","",SUMIFS('Labor Log'!$I$2:$I$2001,'Labor Log'!$A$2:$A$2001,A192))</f>
        <v/>
      </c>
      <c r="Z192" s="24" t="str">
        <f t="shared" si="11"/>
        <v>#DIV/0!</v>
      </c>
      <c r="AA192" s="21" t="str">
        <f>IF(A192="","",SUMIFS('Inventory &amp; COGS'!$H$2:$H$2001,'Inventory &amp; COGS'!$A$2:$A$2001,A192,'Inventory &amp; COGS'!$B$2:$B$2001,"Food"))</f>
        <v/>
      </c>
      <c r="AB192" s="21" t="str">
        <f>IF(A192="","",SUMIFS('Inventory &amp; COGS'!$H$2:$H$2001,'Inventory &amp; COGS'!$A$2:$A$2001,A192,'Inventory &amp; COGS'!$B$2:$B$2001,"Beverage"))</f>
        <v/>
      </c>
      <c r="AC192" s="21" t="str">
        <f t="shared" si="12"/>
        <v/>
      </c>
      <c r="AD192" s="24" t="str">
        <f t="shared" ref="AD192:AE192" si="207">IF(I192=0,"",AA192/I192)</f>
        <v/>
      </c>
      <c r="AE192" s="24" t="str">
        <f t="shared" si="207"/>
        <v/>
      </c>
      <c r="AF192" s="21" t="str">
        <f t="shared" si="14"/>
        <v/>
      </c>
      <c r="AG192" s="24" t="str">
        <f t="shared" si="15"/>
        <v>#DIV/0!</v>
      </c>
      <c r="AH192" s="25" t="str">
        <f t="shared" si="16"/>
        <v/>
      </c>
      <c r="AI192" s="25" t="str">
        <f t="shared" si="17"/>
        <v/>
      </c>
      <c r="AJ192" s="26" t="str">
        <f t="shared" si="18"/>
        <v/>
      </c>
    </row>
    <row r="193" ht="15.75" customHeight="1">
      <c r="A193" s="3"/>
      <c r="B193" s="18" t="str">
        <f t="shared" si="2"/>
        <v/>
      </c>
      <c r="C193" s="19"/>
      <c r="D193" s="19"/>
      <c r="E193" s="19"/>
      <c r="F193" s="20"/>
      <c r="G193" s="20"/>
      <c r="H193" s="21" t="str">
        <f t="shared" si="3"/>
        <v/>
      </c>
      <c r="I193" s="20"/>
      <c r="J193" s="20"/>
      <c r="K193" s="20"/>
      <c r="L193" s="20"/>
      <c r="M193" s="21" t="str">
        <f t="shared" si="4"/>
        <v/>
      </c>
      <c r="N193" s="20"/>
      <c r="O193" s="20"/>
      <c r="P193" s="20"/>
      <c r="Q193" s="21" t="str">
        <f t="shared" si="5"/>
        <v/>
      </c>
      <c r="R193" s="21" t="str">
        <f t="shared" si="6"/>
        <v/>
      </c>
      <c r="S193" s="22"/>
      <c r="T193" s="22"/>
      <c r="U193" s="23" t="str">
        <f t="shared" si="7"/>
        <v/>
      </c>
      <c r="V193" s="21" t="str">
        <f t="shared" si="8"/>
        <v>#DIV/0!</v>
      </c>
      <c r="W193" s="24" t="str">
        <f t="shared" si="9"/>
        <v>#DIV/0!</v>
      </c>
      <c r="X193" s="24" t="str">
        <f t="shared" si="10"/>
        <v>#DIV/0!</v>
      </c>
      <c r="Y193" s="21" t="str">
        <f>IF(A193="","",SUMIFS('Labor Log'!$I$2:$I$2001,'Labor Log'!$A$2:$A$2001,A193))</f>
        <v/>
      </c>
      <c r="Z193" s="24" t="str">
        <f t="shared" si="11"/>
        <v>#DIV/0!</v>
      </c>
      <c r="AA193" s="21" t="str">
        <f>IF(A193="","",SUMIFS('Inventory &amp; COGS'!$H$2:$H$2001,'Inventory &amp; COGS'!$A$2:$A$2001,A193,'Inventory &amp; COGS'!$B$2:$B$2001,"Food"))</f>
        <v/>
      </c>
      <c r="AB193" s="21" t="str">
        <f>IF(A193="","",SUMIFS('Inventory &amp; COGS'!$H$2:$H$2001,'Inventory &amp; COGS'!$A$2:$A$2001,A193,'Inventory &amp; COGS'!$B$2:$B$2001,"Beverage"))</f>
        <v/>
      </c>
      <c r="AC193" s="21" t="str">
        <f t="shared" si="12"/>
        <v/>
      </c>
      <c r="AD193" s="24" t="str">
        <f t="shared" ref="AD193:AE193" si="208">IF(I193=0,"",AA193/I193)</f>
        <v/>
      </c>
      <c r="AE193" s="24" t="str">
        <f t="shared" si="208"/>
        <v/>
      </c>
      <c r="AF193" s="21" t="str">
        <f t="shared" si="14"/>
        <v/>
      </c>
      <c r="AG193" s="24" t="str">
        <f t="shared" si="15"/>
        <v>#DIV/0!</v>
      </c>
      <c r="AH193" s="25" t="str">
        <f t="shared" si="16"/>
        <v/>
      </c>
      <c r="AI193" s="25" t="str">
        <f t="shared" si="17"/>
        <v/>
      </c>
      <c r="AJ193" s="26" t="str">
        <f t="shared" si="18"/>
        <v/>
      </c>
    </row>
    <row r="194" ht="15.75" customHeight="1">
      <c r="A194" s="3"/>
      <c r="B194" s="18" t="str">
        <f t="shared" si="2"/>
        <v/>
      </c>
      <c r="C194" s="19"/>
      <c r="D194" s="19"/>
      <c r="E194" s="19"/>
      <c r="F194" s="20"/>
      <c r="G194" s="20"/>
      <c r="H194" s="21" t="str">
        <f t="shared" si="3"/>
        <v/>
      </c>
      <c r="I194" s="20"/>
      <c r="J194" s="20"/>
      <c r="K194" s="20"/>
      <c r="L194" s="20"/>
      <c r="M194" s="21" t="str">
        <f t="shared" si="4"/>
        <v/>
      </c>
      <c r="N194" s="20"/>
      <c r="O194" s="20"/>
      <c r="P194" s="20"/>
      <c r="Q194" s="21" t="str">
        <f t="shared" si="5"/>
        <v/>
      </c>
      <c r="R194" s="21" t="str">
        <f t="shared" si="6"/>
        <v/>
      </c>
      <c r="S194" s="22"/>
      <c r="T194" s="22"/>
      <c r="U194" s="23" t="str">
        <f t="shared" si="7"/>
        <v/>
      </c>
      <c r="V194" s="21" t="str">
        <f t="shared" si="8"/>
        <v>#DIV/0!</v>
      </c>
      <c r="W194" s="24" t="str">
        <f t="shared" si="9"/>
        <v>#DIV/0!</v>
      </c>
      <c r="X194" s="24" t="str">
        <f t="shared" si="10"/>
        <v>#DIV/0!</v>
      </c>
      <c r="Y194" s="21" t="str">
        <f>IF(A194="","",SUMIFS('Labor Log'!$I$2:$I$2001,'Labor Log'!$A$2:$A$2001,A194))</f>
        <v/>
      </c>
      <c r="Z194" s="24" t="str">
        <f t="shared" si="11"/>
        <v>#DIV/0!</v>
      </c>
      <c r="AA194" s="21" t="str">
        <f>IF(A194="","",SUMIFS('Inventory &amp; COGS'!$H$2:$H$2001,'Inventory &amp; COGS'!$A$2:$A$2001,A194,'Inventory &amp; COGS'!$B$2:$B$2001,"Food"))</f>
        <v/>
      </c>
      <c r="AB194" s="21" t="str">
        <f>IF(A194="","",SUMIFS('Inventory &amp; COGS'!$H$2:$H$2001,'Inventory &amp; COGS'!$A$2:$A$2001,A194,'Inventory &amp; COGS'!$B$2:$B$2001,"Beverage"))</f>
        <v/>
      </c>
      <c r="AC194" s="21" t="str">
        <f t="shared" si="12"/>
        <v/>
      </c>
      <c r="AD194" s="24" t="str">
        <f t="shared" ref="AD194:AE194" si="209">IF(I194=0,"",AA194/I194)</f>
        <v/>
      </c>
      <c r="AE194" s="24" t="str">
        <f t="shared" si="209"/>
        <v/>
      </c>
      <c r="AF194" s="21" t="str">
        <f t="shared" si="14"/>
        <v/>
      </c>
      <c r="AG194" s="24" t="str">
        <f t="shared" si="15"/>
        <v>#DIV/0!</v>
      </c>
      <c r="AH194" s="25" t="str">
        <f t="shared" si="16"/>
        <v/>
      </c>
      <c r="AI194" s="25" t="str">
        <f t="shared" si="17"/>
        <v/>
      </c>
      <c r="AJ194" s="26" t="str">
        <f t="shared" si="18"/>
        <v/>
      </c>
    </row>
    <row r="195" ht="15.75" customHeight="1">
      <c r="A195" s="3"/>
      <c r="B195" s="18" t="str">
        <f t="shared" si="2"/>
        <v/>
      </c>
      <c r="C195" s="19"/>
      <c r="D195" s="19"/>
      <c r="E195" s="19"/>
      <c r="F195" s="20"/>
      <c r="G195" s="20"/>
      <c r="H195" s="21" t="str">
        <f t="shared" si="3"/>
        <v/>
      </c>
      <c r="I195" s="20"/>
      <c r="J195" s="20"/>
      <c r="K195" s="20"/>
      <c r="L195" s="20"/>
      <c r="M195" s="21" t="str">
        <f t="shared" si="4"/>
        <v/>
      </c>
      <c r="N195" s="20"/>
      <c r="O195" s="20"/>
      <c r="P195" s="20"/>
      <c r="Q195" s="21" t="str">
        <f t="shared" si="5"/>
        <v/>
      </c>
      <c r="R195" s="21" t="str">
        <f t="shared" si="6"/>
        <v/>
      </c>
      <c r="S195" s="22"/>
      <c r="T195" s="22"/>
      <c r="U195" s="23" t="str">
        <f t="shared" si="7"/>
        <v/>
      </c>
      <c r="V195" s="21" t="str">
        <f t="shared" si="8"/>
        <v>#DIV/0!</v>
      </c>
      <c r="W195" s="24" t="str">
        <f t="shared" si="9"/>
        <v>#DIV/0!</v>
      </c>
      <c r="X195" s="24" t="str">
        <f t="shared" si="10"/>
        <v>#DIV/0!</v>
      </c>
      <c r="Y195" s="21" t="str">
        <f>IF(A195="","",SUMIFS('Labor Log'!$I$2:$I$2001,'Labor Log'!$A$2:$A$2001,A195))</f>
        <v/>
      </c>
      <c r="Z195" s="24" t="str">
        <f t="shared" si="11"/>
        <v>#DIV/0!</v>
      </c>
      <c r="AA195" s="21" t="str">
        <f>IF(A195="","",SUMIFS('Inventory &amp; COGS'!$H$2:$H$2001,'Inventory &amp; COGS'!$A$2:$A$2001,A195,'Inventory &amp; COGS'!$B$2:$B$2001,"Food"))</f>
        <v/>
      </c>
      <c r="AB195" s="21" t="str">
        <f>IF(A195="","",SUMIFS('Inventory &amp; COGS'!$H$2:$H$2001,'Inventory &amp; COGS'!$A$2:$A$2001,A195,'Inventory &amp; COGS'!$B$2:$B$2001,"Beverage"))</f>
        <v/>
      </c>
      <c r="AC195" s="21" t="str">
        <f t="shared" si="12"/>
        <v/>
      </c>
      <c r="AD195" s="24" t="str">
        <f t="shared" ref="AD195:AE195" si="210">IF(I195=0,"",AA195/I195)</f>
        <v/>
      </c>
      <c r="AE195" s="24" t="str">
        <f t="shared" si="210"/>
        <v/>
      </c>
      <c r="AF195" s="21" t="str">
        <f t="shared" si="14"/>
        <v/>
      </c>
      <c r="AG195" s="24" t="str">
        <f t="shared" si="15"/>
        <v>#DIV/0!</v>
      </c>
      <c r="AH195" s="25" t="str">
        <f t="shared" si="16"/>
        <v/>
      </c>
      <c r="AI195" s="25" t="str">
        <f t="shared" si="17"/>
        <v/>
      </c>
      <c r="AJ195" s="26" t="str">
        <f t="shared" si="18"/>
        <v/>
      </c>
    </row>
    <row r="196" ht="15.75" customHeight="1">
      <c r="A196" s="3"/>
      <c r="B196" s="18" t="str">
        <f t="shared" si="2"/>
        <v/>
      </c>
      <c r="C196" s="19"/>
      <c r="D196" s="19"/>
      <c r="E196" s="19"/>
      <c r="F196" s="20"/>
      <c r="G196" s="20"/>
      <c r="H196" s="21" t="str">
        <f t="shared" si="3"/>
        <v/>
      </c>
      <c r="I196" s="20"/>
      <c r="J196" s="20"/>
      <c r="K196" s="20"/>
      <c r="L196" s="20"/>
      <c r="M196" s="21" t="str">
        <f t="shared" si="4"/>
        <v/>
      </c>
      <c r="N196" s="20"/>
      <c r="O196" s="20"/>
      <c r="P196" s="20"/>
      <c r="Q196" s="21" t="str">
        <f t="shared" si="5"/>
        <v/>
      </c>
      <c r="R196" s="21" t="str">
        <f t="shared" si="6"/>
        <v/>
      </c>
      <c r="S196" s="22"/>
      <c r="T196" s="22"/>
      <c r="U196" s="23" t="str">
        <f t="shared" si="7"/>
        <v/>
      </c>
      <c r="V196" s="21" t="str">
        <f t="shared" si="8"/>
        <v>#DIV/0!</v>
      </c>
      <c r="W196" s="24" t="str">
        <f t="shared" si="9"/>
        <v>#DIV/0!</v>
      </c>
      <c r="X196" s="24" t="str">
        <f t="shared" si="10"/>
        <v>#DIV/0!</v>
      </c>
      <c r="Y196" s="21" t="str">
        <f>IF(A196="","",SUMIFS('Labor Log'!$I$2:$I$2001,'Labor Log'!$A$2:$A$2001,A196))</f>
        <v/>
      </c>
      <c r="Z196" s="24" t="str">
        <f t="shared" si="11"/>
        <v>#DIV/0!</v>
      </c>
      <c r="AA196" s="21" t="str">
        <f>IF(A196="","",SUMIFS('Inventory &amp; COGS'!$H$2:$H$2001,'Inventory &amp; COGS'!$A$2:$A$2001,A196,'Inventory &amp; COGS'!$B$2:$B$2001,"Food"))</f>
        <v/>
      </c>
      <c r="AB196" s="21" t="str">
        <f>IF(A196="","",SUMIFS('Inventory &amp; COGS'!$H$2:$H$2001,'Inventory &amp; COGS'!$A$2:$A$2001,A196,'Inventory &amp; COGS'!$B$2:$B$2001,"Beverage"))</f>
        <v/>
      </c>
      <c r="AC196" s="21" t="str">
        <f t="shared" si="12"/>
        <v/>
      </c>
      <c r="AD196" s="24" t="str">
        <f t="shared" ref="AD196:AE196" si="211">IF(I196=0,"",AA196/I196)</f>
        <v/>
      </c>
      <c r="AE196" s="24" t="str">
        <f t="shared" si="211"/>
        <v/>
      </c>
      <c r="AF196" s="21" t="str">
        <f t="shared" si="14"/>
        <v/>
      </c>
      <c r="AG196" s="24" t="str">
        <f t="shared" si="15"/>
        <v>#DIV/0!</v>
      </c>
      <c r="AH196" s="25" t="str">
        <f t="shared" si="16"/>
        <v/>
      </c>
      <c r="AI196" s="25" t="str">
        <f t="shared" si="17"/>
        <v/>
      </c>
      <c r="AJ196" s="26" t="str">
        <f t="shared" si="18"/>
        <v/>
      </c>
    </row>
    <row r="197" ht="15.75" customHeight="1">
      <c r="A197" s="3"/>
      <c r="B197" s="18" t="str">
        <f t="shared" si="2"/>
        <v/>
      </c>
      <c r="C197" s="19"/>
      <c r="D197" s="19"/>
      <c r="E197" s="19"/>
      <c r="F197" s="20"/>
      <c r="G197" s="20"/>
      <c r="H197" s="21" t="str">
        <f t="shared" si="3"/>
        <v/>
      </c>
      <c r="I197" s="20"/>
      <c r="J197" s="20"/>
      <c r="K197" s="20"/>
      <c r="L197" s="20"/>
      <c r="M197" s="21" t="str">
        <f t="shared" si="4"/>
        <v/>
      </c>
      <c r="N197" s="20"/>
      <c r="O197" s="20"/>
      <c r="P197" s="20"/>
      <c r="Q197" s="21" t="str">
        <f t="shared" si="5"/>
        <v/>
      </c>
      <c r="R197" s="21" t="str">
        <f t="shared" si="6"/>
        <v/>
      </c>
      <c r="S197" s="22"/>
      <c r="T197" s="22"/>
      <c r="U197" s="23" t="str">
        <f t="shared" si="7"/>
        <v/>
      </c>
      <c r="V197" s="21" t="str">
        <f t="shared" si="8"/>
        <v>#DIV/0!</v>
      </c>
      <c r="W197" s="24" t="str">
        <f t="shared" si="9"/>
        <v>#DIV/0!</v>
      </c>
      <c r="X197" s="24" t="str">
        <f t="shared" si="10"/>
        <v>#DIV/0!</v>
      </c>
      <c r="Y197" s="21" t="str">
        <f>IF(A197="","",SUMIFS('Labor Log'!$I$2:$I$2001,'Labor Log'!$A$2:$A$2001,A197))</f>
        <v/>
      </c>
      <c r="Z197" s="24" t="str">
        <f t="shared" si="11"/>
        <v>#DIV/0!</v>
      </c>
      <c r="AA197" s="21" t="str">
        <f>IF(A197="","",SUMIFS('Inventory &amp; COGS'!$H$2:$H$2001,'Inventory &amp; COGS'!$A$2:$A$2001,A197,'Inventory &amp; COGS'!$B$2:$B$2001,"Food"))</f>
        <v/>
      </c>
      <c r="AB197" s="21" t="str">
        <f>IF(A197="","",SUMIFS('Inventory &amp; COGS'!$H$2:$H$2001,'Inventory &amp; COGS'!$A$2:$A$2001,A197,'Inventory &amp; COGS'!$B$2:$B$2001,"Beverage"))</f>
        <v/>
      </c>
      <c r="AC197" s="21" t="str">
        <f t="shared" si="12"/>
        <v/>
      </c>
      <c r="AD197" s="24" t="str">
        <f t="shared" ref="AD197:AE197" si="212">IF(I197=0,"",AA197/I197)</f>
        <v/>
      </c>
      <c r="AE197" s="24" t="str">
        <f t="shared" si="212"/>
        <v/>
      </c>
      <c r="AF197" s="21" t="str">
        <f t="shared" si="14"/>
        <v/>
      </c>
      <c r="AG197" s="24" t="str">
        <f t="shared" si="15"/>
        <v>#DIV/0!</v>
      </c>
      <c r="AH197" s="25" t="str">
        <f t="shared" si="16"/>
        <v/>
      </c>
      <c r="AI197" s="25" t="str">
        <f t="shared" si="17"/>
        <v/>
      </c>
      <c r="AJ197" s="26" t="str">
        <f t="shared" si="18"/>
        <v/>
      </c>
    </row>
    <row r="198" ht="15.75" customHeight="1">
      <c r="A198" s="3"/>
      <c r="B198" s="18" t="str">
        <f t="shared" si="2"/>
        <v/>
      </c>
      <c r="C198" s="19"/>
      <c r="D198" s="19"/>
      <c r="E198" s="19"/>
      <c r="F198" s="20"/>
      <c r="G198" s="20"/>
      <c r="H198" s="21" t="str">
        <f t="shared" si="3"/>
        <v/>
      </c>
      <c r="I198" s="20"/>
      <c r="J198" s="20"/>
      <c r="K198" s="20"/>
      <c r="L198" s="20"/>
      <c r="M198" s="21" t="str">
        <f t="shared" si="4"/>
        <v/>
      </c>
      <c r="N198" s="20"/>
      <c r="O198" s="20"/>
      <c r="P198" s="20"/>
      <c r="Q198" s="21" t="str">
        <f t="shared" si="5"/>
        <v/>
      </c>
      <c r="R198" s="21" t="str">
        <f t="shared" si="6"/>
        <v/>
      </c>
      <c r="S198" s="22"/>
      <c r="T198" s="22"/>
      <c r="U198" s="23" t="str">
        <f t="shared" si="7"/>
        <v/>
      </c>
      <c r="V198" s="21" t="str">
        <f t="shared" si="8"/>
        <v>#DIV/0!</v>
      </c>
      <c r="W198" s="24" t="str">
        <f t="shared" si="9"/>
        <v>#DIV/0!</v>
      </c>
      <c r="X198" s="24" t="str">
        <f t="shared" si="10"/>
        <v>#DIV/0!</v>
      </c>
      <c r="Y198" s="21" t="str">
        <f>IF(A198="","",SUMIFS('Labor Log'!$I$2:$I$2001,'Labor Log'!$A$2:$A$2001,A198))</f>
        <v/>
      </c>
      <c r="Z198" s="24" t="str">
        <f t="shared" si="11"/>
        <v>#DIV/0!</v>
      </c>
      <c r="AA198" s="21" t="str">
        <f>IF(A198="","",SUMIFS('Inventory &amp; COGS'!$H$2:$H$2001,'Inventory &amp; COGS'!$A$2:$A$2001,A198,'Inventory &amp; COGS'!$B$2:$B$2001,"Food"))</f>
        <v/>
      </c>
      <c r="AB198" s="21" t="str">
        <f>IF(A198="","",SUMIFS('Inventory &amp; COGS'!$H$2:$H$2001,'Inventory &amp; COGS'!$A$2:$A$2001,A198,'Inventory &amp; COGS'!$B$2:$B$2001,"Beverage"))</f>
        <v/>
      </c>
      <c r="AC198" s="21" t="str">
        <f t="shared" si="12"/>
        <v/>
      </c>
      <c r="AD198" s="24" t="str">
        <f t="shared" ref="AD198:AE198" si="213">IF(I198=0,"",AA198/I198)</f>
        <v/>
      </c>
      <c r="AE198" s="24" t="str">
        <f t="shared" si="213"/>
        <v/>
      </c>
      <c r="AF198" s="21" t="str">
        <f t="shared" si="14"/>
        <v/>
      </c>
      <c r="AG198" s="24" t="str">
        <f t="shared" si="15"/>
        <v>#DIV/0!</v>
      </c>
      <c r="AH198" s="25" t="str">
        <f t="shared" si="16"/>
        <v/>
      </c>
      <c r="AI198" s="25" t="str">
        <f t="shared" si="17"/>
        <v/>
      </c>
      <c r="AJ198" s="26" t="str">
        <f t="shared" si="18"/>
        <v/>
      </c>
    </row>
    <row r="199" ht="15.75" customHeight="1">
      <c r="A199" s="3"/>
      <c r="B199" s="18" t="str">
        <f t="shared" si="2"/>
        <v/>
      </c>
      <c r="C199" s="19"/>
      <c r="D199" s="19"/>
      <c r="E199" s="19"/>
      <c r="F199" s="20"/>
      <c r="G199" s="20"/>
      <c r="H199" s="21" t="str">
        <f t="shared" si="3"/>
        <v/>
      </c>
      <c r="I199" s="20"/>
      <c r="J199" s="20"/>
      <c r="K199" s="20"/>
      <c r="L199" s="20"/>
      <c r="M199" s="21" t="str">
        <f t="shared" si="4"/>
        <v/>
      </c>
      <c r="N199" s="20"/>
      <c r="O199" s="20"/>
      <c r="P199" s="20"/>
      <c r="Q199" s="21" t="str">
        <f t="shared" si="5"/>
        <v/>
      </c>
      <c r="R199" s="21" t="str">
        <f t="shared" si="6"/>
        <v/>
      </c>
      <c r="S199" s="22"/>
      <c r="T199" s="22"/>
      <c r="U199" s="23" t="str">
        <f t="shared" si="7"/>
        <v/>
      </c>
      <c r="V199" s="21" t="str">
        <f t="shared" si="8"/>
        <v>#DIV/0!</v>
      </c>
      <c r="W199" s="24" t="str">
        <f t="shared" si="9"/>
        <v>#DIV/0!</v>
      </c>
      <c r="X199" s="24" t="str">
        <f t="shared" si="10"/>
        <v>#DIV/0!</v>
      </c>
      <c r="Y199" s="21" t="str">
        <f>IF(A199="","",SUMIFS('Labor Log'!$I$2:$I$2001,'Labor Log'!$A$2:$A$2001,A199))</f>
        <v/>
      </c>
      <c r="Z199" s="24" t="str">
        <f t="shared" si="11"/>
        <v>#DIV/0!</v>
      </c>
      <c r="AA199" s="21" t="str">
        <f>IF(A199="","",SUMIFS('Inventory &amp; COGS'!$H$2:$H$2001,'Inventory &amp; COGS'!$A$2:$A$2001,A199,'Inventory &amp; COGS'!$B$2:$B$2001,"Food"))</f>
        <v/>
      </c>
      <c r="AB199" s="21" t="str">
        <f>IF(A199="","",SUMIFS('Inventory &amp; COGS'!$H$2:$H$2001,'Inventory &amp; COGS'!$A$2:$A$2001,A199,'Inventory &amp; COGS'!$B$2:$B$2001,"Beverage"))</f>
        <v/>
      </c>
      <c r="AC199" s="21" t="str">
        <f t="shared" si="12"/>
        <v/>
      </c>
      <c r="AD199" s="24" t="str">
        <f t="shared" ref="AD199:AE199" si="214">IF(I199=0,"",AA199/I199)</f>
        <v/>
      </c>
      <c r="AE199" s="24" t="str">
        <f t="shared" si="214"/>
        <v/>
      </c>
      <c r="AF199" s="21" t="str">
        <f t="shared" si="14"/>
        <v/>
      </c>
      <c r="AG199" s="24" t="str">
        <f t="shared" si="15"/>
        <v>#DIV/0!</v>
      </c>
      <c r="AH199" s="25" t="str">
        <f t="shared" si="16"/>
        <v/>
      </c>
      <c r="AI199" s="25" t="str">
        <f t="shared" si="17"/>
        <v/>
      </c>
      <c r="AJ199" s="26" t="str">
        <f t="shared" si="18"/>
        <v/>
      </c>
    </row>
    <row r="200" ht="15.75" customHeight="1">
      <c r="A200" s="3"/>
      <c r="B200" s="18" t="str">
        <f t="shared" si="2"/>
        <v/>
      </c>
      <c r="C200" s="19"/>
      <c r="D200" s="19"/>
      <c r="E200" s="19"/>
      <c r="F200" s="20"/>
      <c r="G200" s="20"/>
      <c r="H200" s="21" t="str">
        <f t="shared" si="3"/>
        <v/>
      </c>
      <c r="I200" s="20"/>
      <c r="J200" s="20"/>
      <c r="K200" s="20"/>
      <c r="L200" s="20"/>
      <c r="M200" s="21" t="str">
        <f t="shared" si="4"/>
        <v/>
      </c>
      <c r="N200" s="20"/>
      <c r="O200" s="20"/>
      <c r="P200" s="20"/>
      <c r="Q200" s="21" t="str">
        <f t="shared" si="5"/>
        <v/>
      </c>
      <c r="R200" s="21" t="str">
        <f t="shared" si="6"/>
        <v/>
      </c>
      <c r="S200" s="22"/>
      <c r="T200" s="22"/>
      <c r="U200" s="23" t="str">
        <f t="shared" si="7"/>
        <v/>
      </c>
      <c r="V200" s="21" t="str">
        <f t="shared" si="8"/>
        <v>#DIV/0!</v>
      </c>
      <c r="W200" s="24" t="str">
        <f t="shared" si="9"/>
        <v>#DIV/0!</v>
      </c>
      <c r="X200" s="24" t="str">
        <f t="shared" si="10"/>
        <v>#DIV/0!</v>
      </c>
      <c r="Y200" s="21" t="str">
        <f>IF(A200="","",SUMIFS('Labor Log'!$I$2:$I$2001,'Labor Log'!$A$2:$A$2001,A200))</f>
        <v/>
      </c>
      <c r="Z200" s="24" t="str">
        <f t="shared" si="11"/>
        <v>#DIV/0!</v>
      </c>
      <c r="AA200" s="21" t="str">
        <f>IF(A200="","",SUMIFS('Inventory &amp; COGS'!$H$2:$H$2001,'Inventory &amp; COGS'!$A$2:$A$2001,A200,'Inventory &amp; COGS'!$B$2:$B$2001,"Food"))</f>
        <v/>
      </c>
      <c r="AB200" s="21" t="str">
        <f>IF(A200="","",SUMIFS('Inventory &amp; COGS'!$H$2:$H$2001,'Inventory &amp; COGS'!$A$2:$A$2001,A200,'Inventory &amp; COGS'!$B$2:$B$2001,"Beverage"))</f>
        <v/>
      </c>
      <c r="AC200" s="21" t="str">
        <f t="shared" si="12"/>
        <v/>
      </c>
      <c r="AD200" s="24" t="str">
        <f t="shared" ref="AD200:AE200" si="215">IF(I200=0,"",AA200/I200)</f>
        <v/>
      </c>
      <c r="AE200" s="24" t="str">
        <f t="shared" si="215"/>
        <v/>
      </c>
      <c r="AF200" s="21" t="str">
        <f t="shared" si="14"/>
        <v/>
      </c>
      <c r="AG200" s="24" t="str">
        <f t="shared" si="15"/>
        <v>#DIV/0!</v>
      </c>
      <c r="AH200" s="25" t="str">
        <f t="shared" si="16"/>
        <v/>
      </c>
      <c r="AI200" s="25" t="str">
        <f t="shared" si="17"/>
        <v/>
      </c>
      <c r="AJ200" s="26" t="str">
        <f t="shared" si="18"/>
        <v/>
      </c>
    </row>
    <row r="201" ht="15.75" customHeight="1">
      <c r="A201" s="3"/>
      <c r="B201" s="18" t="str">
        <f t="shared" si="2"/>
        <v/>
      </c>
      <c r="C201" s="19"/>
      <c r="D201" s="19"/>
      <c r="E201" s="19"/>
      <c r="F201" s="20"/>
      <c r="G201" s="20"/>
      <c r="H201" s="21" t="str">
        <f t="shared" si="3"/>
        <v/>
      </c>
      <c r="I201" s="20"/>
      <c r="J201" s="20"/>
      <c r="K201" s="20"/>
      <c r="L201" s="20"/>
      <c r="M201" s="21" t="str">
        <f t="shared" si="4"/>
        <v/>
      </c>
      <c r="N201" s="20"/>
      <c r="O201" s="20"/>
      <c r="P201" s="20"/>
      <c r="Q201" s="21" t="str">
        <f t="shared" si="5"/>
        <v/>
      </c>
      <c r="R201" s="21" t="str">
        <f t="shared" si="6"/>
        <v/>
      </c>
      <c r="S201" s="22"/>
      <c r="T201" s="22"/>
      <c r="U201" s="23" t="str">
        <f t="shared" si="7"/>
        <v/>
      </c>
      <c r="V201" s="21" t="str">
        <f t="shared" si="8"/>
        <v>#DIV/0!</v>
      </c>
      <c r="W201" s="24" t="str">
        <f t="shared" si="9"/>
        <v>#DIV/0!</v>
      </c>
      <c r="X201" s="24" t="str">
        <f t="shared" si="10"/>
        <v>#DIV/0!</v>
      </c>
      <c r="Y201" s="21" t="str">
        <f>IF(A201="","",SUMIFS('Labor Log'!$I$2:$I$2001,'Labor Log'!$A$2:$A$2001,A201))</f>
        <v/>
      </c>
      <c r="Z201" s="24" t="str">
        <f t="shared" si="11"/>
        <v>#DIV/0!</v>
      </c>
      <c r="AA201" s="21" t="str">
        <f>IF(A201="","",SUMIFS('Inventory &amp; COGS'!$H$2:$H$2001,'Inventory &amp; COGS'!$A$2:$A$2001,A201,'Inventory &amp; COGS'!$B$2:$B$2001,"Food"))</f>
        <v/>
      </c>
      <c r="AB201" s="21" t="str">
        <f>IF(A201="","",SUMIFS('Inventory &amp; COGS'!$H$2:$H$2001,'Inventory &amp; COGS'!$A$2:$A$2001,A201,'Inventory &amp; COGS'!$B$2:$B$2001,"Beverage"))</f>
        <v/>
      </c>
      <c r="AC201" s="21" t="str">
        <f t="shared" si="12"/>
        <v/>
      </c>
      <c r="AD201" s="24" t="str">
        <f t="shared" ref="AD201:AE201" si="216">IF(I201=0,"",AA201/I201)</f>
        <v/>
      </c>
      <c r="AE201" s="24" t="str">
        <f t="shared" si="216"/>
        <v/>
      </c>
      <c r="AF201" s="21" t="str">
        <f t="shared" si="14"/>
        <v/>
      </c>
      <c r="AG201" s="24" t="str">
        <f t="shared" si="15"/>
        <v>#DIV/0!</v>
      </c>
      <c r="AH201" s="25" t="str">
        <f t="shared" si="16"/>
        <v/>
      </c>
      <c r="AI201" s="25" t="str">
        <f t="shared" si="17"/>
        <v/>
      </c>
      <c r="AJ201" s="26" t="str">
        <f t="shared" si="18"/>
        <v/>
      </c>
    </row>
    <row r="202" ht="15.75" customHeight="1">
      <c r="A202" s="3"/>
      <c r="B202" s="18" t="str">
        <f t="shared" si="2"/>
        <v/>
      </c>
      <c r="C202" s="19"/>
      <c r="D202" s="19"/>
      <c r="E202" s="19"/>
      <c r="F202" s="20"/>
      <c r="G202" s="20"/>
      <c r="H202" s="21" t="str">
        <f t="shared" si="3"/>
        <v/>
      </c>
      <c r="I202" s="20"/>
      <c r="J202" s="20"/>
      <c r="K202" s="20"/>
      <c r="L202" s="20"/>
      <c r="M202" s="21" t="str">
        <f t="shared" si="4"/>
        <v/>
      </c>
      <c r="N202" s="20"/>
      <c r="O202" s="20"/>
      <c r="P202" s="20"/>
      <c r="Q202" s="21" t="str">
        <f t="shared" si="5"/>
        <v/>
      </c>
      <c r="R202" s="21" t="str">
        <f t="shared" si="6"/>
        <v/>
      </c>
      <c r="S202" s="22"/>
      <c r="T202" s="22"/>
      <c r="U202" s="23" t="str">
        <f t="shared" si="7"/>
        <v/>
      </c>
      <c r="V202" s="21" t="str">
        <f t="shared" si="8"/>
        <v>#DIV/0!</v>
      </c>
      <c r="W202" s="24" t="str">
        <f t="shared" si="9"/>
        <v>#DIV/0!</v>
      </c>
      <c r="X202" s="24" t="str">
        <f t="shared" si="10"/>
        <v>#DIV/0!</v>
      </c>
      <c r="Y202" s="21" t="str">
        <f>IF(A202="","",SUMIFS('Labor Log'!$I$2:$I$2001,'Labor Log'!$A$2:$A$2001,A202))</f>
        <v/>
      </c>
      <c r="Z202" s="24" t="str">
        <f t="shared" si="11"/>
        <v>#DIV/0!</v>
      </c>
      <c r="AA202" s="21" t="str">
        <f>IF(A202="","",SUMIFS('Inventory &amp; COGS'!$H$2:$H$2001,'Inventory &amp; COGS'!$A$2:$A$2001,A202,'Inventory &amp; COGS'!$B$2:$B$2001,"Food"))</f>
        <v/>
      </c>
      <c r="AB202" s="21" t="str">
        <f>IF(A202="","",SUMIFS('Inventory &amp; COGS'!$H$2:$H$2001,'Inventory &amp; COGS'!$A$2:$A$2001,A202,'Inventory &amp; COGS'!$B$2:$B$2001,"Beverage"))</f>
        <v/>
      </c>
      <c r="AC202" s="21" t="str">
        <f t="shared" si="12"/>
        <v/>
      </c>
      <c r="AD202" s="24" t="str">
        <f t="shared" ref="AD202:AE202" si="217">IF(I202=0,"",AA202/I202)</f>
        <v/>
      </c>
      <c r="AE202" s="24" t="str">
        <f t="shared" si="217"/>
        <v/>
      </c>
      <c r="AF202" s="21" t="str">
        <f t="shared" si="14"/>
        <v/>
      </c>
      <c r="AG202" s="24" t="str">
        <f t="shared" si="15"/>
        <v>#DIV/0!</v>
      </c>
      <c r="AH202" s="25" t="str">
        <f t="shared" si="16"/>
        <v/>
      </c>
      <c r="AI202" s="25" t="str">
        <f t="shared" si="17"/>
        <v/>
      </c>
      <c r="AJ202" s="26" t="str">
        <f t="shared" si="18"/>
        <v/>
      </c>
    </row>
    <row r="203" ht="15.75" customHeight="1">
      <c r="A203" s="3"/>
      <c r="B203" s="18" t="str">
        <f t="shared" si="2"/>
        <v/>
      </c>
      <c r="C203" s="19"/>
      <c r="D203" s="19"/>
      <c r="E203" s="19"/>
      <c r="F203" s="20"/>
      <c r="G203" s="20"/>
      <c r="H203" s="21" t="str">
        <f t="shared" si="3"/>
        <v/>
      </c>
      <c r="I203" s="20"/>
      <c r="J203" s="20"/>
      <c r="K203" s="20"/>
      <c r="L203" s="20"/>
      <c r="M203" s="21" t="str">
        <f t="shared" si="4"/>
        <v/>
      </c>
      <c r="N203" s="20"/>
      <c r="O203" s="20"/>
      <c r="P203" s="20"/>
      <c r="Q203" s="21" t="str">
        <f t="shared" si="5"/>
        <v/>
      </c>
      <c r="R203" s="21" t="str">
        <f t="shared" si="6"/>
        <v/>
      </c>
      <c r="S203" s="22"/>
      <c r="T203" s="22"/>
      <c r="U203" s="23" t="str">
        <f t="shared" si="7"/>
        <v/>
      </c>
      <c r="V203" s="21" t="str">
        <f t="shared" si="8"/>
        <v>#DIV/0!</v>
      </c>
      <c r="W203" s="24" t="str">
        <f t="shared" si="9"/>
        <v>#DIV/0!</v>
      </c>
      <c r="X203" s="24" t="str">
        <f t="shared" si="10"/>
        <v>#DIV/0!</v>
      </c>
      <c r="Y203" s="21" t="str">
        <f>IF(A203="","",SUMIFS('Labor Log'!$I$2:$I$2001,'Labor Log'!$A$2:$A$2001,A203))</f>
        <v/>
      </c>
      <c r="Z203" s="24" t="str">
        <f t="shared" si="11"/>
        <v>#DIV/0!</v>
      </c>
      <c r="AA203" s="21" t="str">
        <f>IF(A203="","",SUMIFS('Inventory &amp; COGS'!$H$2:$H$2001,'Inventory &amp; COGS'!$A$2:$A$2001,A203,'Inventory &amp; COGS'!$B$2:$B$2001,"Food"))</f>
        <v/>
      </c>
      <c r="AB203" s="21" t="str">
        <f>IF(A203="","",SUMIFS('Inventory &amp; COGS'!$H$2:$H$2001,'Inventory &amp; COGS'!$A$2:$A$2001,A203,'Inventory &amp; COGS'!$B$2:$B$2001,"Beverage"))</f>
        <v/>
      </c>
      <c r="AC203" s="21" t="str">
        <f t="shared" si="12"/>
        <v/>
      </c>
      <c r="AD203" s="24" t="str">
        <f t="shared" ref="AD203:AE203" si="218">IF(I203=0,"",AA203/I203)</f>
        <v/>
      </c>
      <c r="AE203" s="24" t="str">
        <f t="shared" si="218"/>
        <v/>
      </c>
      <c r="AF203" s="21" t="str">
        <f t="shared" si="14"/>
        <v/>
      </c>
      <c r="AG203" s="24" t="str">
        <f t="shared" si="15"/>
        <v>#DIV/0!</v>
      </c>
      <c r="AH203" s="25" t="str">
        <f t="shared" si="16"/>
        <v/>
      </c>
      <c r="AI203" s="25" t="str">
        <f t="shared" si="17"/>
        <v/>
      </c>
      <c r="AJ203" s="26" t="str">
        <f t="shared" si="18"/>
        <v/>
      </c>
    </row>
    <row r="204" ht="15.75" customHeight="1">
      <c r="A204" s="3"/>
      <c r="B204" s="18" t="str">
        <f t="shared" si="2"/>
        <v/>
      </c>
      <c r="C204" s="19"/>
      <c r="D204" s="19"/>
      <c r="E204" s="19"/>
      <c r="F204" s="20"/>
      <c r="G204" s="20"/>
      <c r="H204" s="21" t="str">
        <f t="shared" si="3"/>
        <v/>
      </c>
      <c r="I204" s="20"/>
      <c r="J204" s="20"/>
      <c r="K204" s="20"/>
      <c r="L204" s="20"/>
      <c r="M204" s="21" t="str">
        <f t="shared" si="4"/>
        <v/>
      </c>
      <c r="N204" s="20"/>
      <c r="O204" s="20"/>
      <c r="P204" s="20"/>
      <c r="Q204" s="21" t="str">
        <f t="shared" si="5"/>
        <v/>
      </c>
      <c r="R204" s="21" t="str">
        <f t="shared" si="6"/>
        <v/>
      </c>
      <c r="S204" s="22"/>
      <c r="T204" s="22"/>
      <c r="U204" s="23" t="str">
        <f t="shared" si="7"/>
        <v/>
      </c>
      <c r="V204" s="21" t="str">
        <f t="shared" si="8"/>
        <v>#DIV/0!</v>
      </c>
      <c r="W204" s="24" t="str">
        <f t="shared" si="9"/>
        <v>#DIV/0!</v>
      </c>
      <c r="X204" s="24" t="str">
        <f t="shared" si="10"/>
        <v>#DIV/0!</v>
      </c>
      <c r="Y204" s="21" t="str">
        <f>IF(A204="","",SUMIFS('Labor Log'!$I$2:$I$2001,'Labor Log'!$A$2:$A$2001,A204))</f>
        <v/>
      </c>
      <c r="Z204" s="24" t="str">
        <f t="shared" si="11"/>
        <v>#DIV/0!</v>
      </c>
      <c r="AA204" s="21" t="str">
        <f>IF(A204="","",SUMIFS('Inventory &amp; COGS'!$H$2:$H$2001,'Inventory &amp; COGS'!$A$2:$A$2001,A204,'Inventory &amp; COGS'!$B$2:$B$2001,"Food"))</f>
        <v/>
      </c>
      <c r="AB204" s="21" t="str">
        <f>IF(A204="","",SUMIFS('Inventory &amp; COGS'!$H$2:$H$2001,'Inventory &amp; COGS'!$A$2:$A$2001,A204,'Inventory &amp; COGS'!$B$2:$B$2001,"Beverage"))</f>
        <v/>
      </c>
      <c r="AC204" s="21" t="str">
        <f t="shared" si="12"/>
        <v/>
      </c>
      <c r="AD204" s="24" t="str">
        <f t="shared" ref="AD204:AE204" si="219">IF(I204=0,"",AA204/I204)</f>
        <v/>
      </c>
      <c r="AE204" s="24" t="str">
        <f t="shared" si="219"/>
        <v/>
      </c>
      <c r="AF204" s="21" t="str">
        <f t="shared" si="14"/>
        <v/>
      </c>
      <c r="AG204" s="24" t="str">
        <f t="shared" si="15"/>
        <v>#DIV/0!</v>
      </c>
      <c r="AH204" s="25" t="str">
        <f t="shared" si="16"/>
        <v/>
      </c>
      <c r="AI204" s="25" t="str">
        <f t="shared" si="17"/>
        <v/>
      </c>
      <c r="AJ204" s="26" t="str">
        <f t="shared" si="18"/>
        <v/>
      </c>
    </row>
    <row r="205" ht="15.75" customHeight="1">
      <c r="A205" s="3"/>
      <c r="B205" s="18" t="str">
        <f t="shared" si="2"/>
        <v/>
      </c>
      <c r="C205" s="19"/>
      <c r="D205" s="19"/>
      <c r="E205" s="19"/>
      <c r="F205" s="20"/>
      <c r="G205" s="20"/>
      <c r="H205" s="21" t="str">
        <f t="shared" si="3"/>
        <v/>
      </c>
      <c r="I205" s="20"/>
      <c r="J205" s="20"/>
      <c r="K205" s="20"/>
      <c r="L205" s="20"/>
      <c r="M205" s="21" t="str">
        <f t="shared" si="4"/>
        <v/>
      </c>
      <c r="N205" s="20"/>
      <c r="O205" s="20"/>
      <c r="P205" s="20"/>
      <c r="Q205" s="21" t="str">
        <f t="shared" si="5"/>
        <v/>
      </c>
      <c r="R205" s="21" t="str">
        <f t="shared" si="6"/>
        <v/>
      </c>
      <c r="S205" s="22"/>
      <c r="T205" s="22"/>
      <c r="U205" s="23" t="str">
        <f t="shared" si="7"/>
        <v/>
      </c>
      <c r="V205" s="21" t="str">
        <f t="shared" si="8"/>
        <v>#DIV/0!</v>
      </c>
      <c r="W205" s="24" t="str">
        <f t="shared" si="9"/>
        <v>#DIV/0!</v>
      </c>
      <c r="X205" s="24" t="str">
        <f t="shared" si="10"/>
        <v>#DIV/0!</v>
      </c>
      <c r="Y205" s="21" t="str">
        <f>IF(A205="","",SUMIFS('Labor Log'!$I$2:$I$2001,'Labor Log'!$A$2:$A$2001,A205))</f>
        <v/>
      </c>
      <c r="Z205" s="24" t="str">
        <f t="shared" si="11"/>
        <v>#DIV/0!</v>
      </c>
      <c r="AA205" s="21" t="str">
        <f>IF(A205="","",SUMIFS('Inventory &amp; COGS'!$H$2:$H$2001,'Inventory &amp; COGS'!$A$2:$A$2001,A205,'Inventory &amp; COGS'!$B$2:$B$2001,"Food"))</f>
        <v/>
      </c>
      <c r="AB205" s="21" t="str">
        <f>IF(A205="","",SUMIFS('Inventory &amp; COGS'!$H$2:$H$2001,'Inventory &amp; COGS'!$A$2:$A$2001,A205,'Inventory &amp; COGS'!$B$2:$B$2001,"Beverage"))</f>
        <v/>
      </c>
      <c r="AC205" s="21" t="str">
        <f t="shared" si="12"/>
        <v/>
      </c>
      <c r="AD205" s="24" t="str">
        <f t="shared" ref="AD205:AE205" si="220">IF(I205=0,"",AA205/I205)</f>
        <v/>
      </c>
      <c r="AE205" s="24" t="str">
        <f t="shared" si="220"/>
        <v/>
      </c>
      <c r="AF205" s="21" t="str">
        <f t="shared" si="14"/>
        <v/>
      </c>
      <c r="AG205" s="24" t="str">
        <f t="shared" si="15"/>
        <v>#DIV/0!</v>
      </c>
      <c r="AH205" s="25" t="str">
        <f t="shared" si="16"/>
        <v/>
      </c>
      <c r="AI205" s="25" t="str">
        <f t="shared" si="17"/>
        <v/>
      </c>
      <c r="AJ205" s="26" t="str">
        <f t="shared" si="18"/>
        <v/>
      </c>
    </row>
    <row r="206" ht="15.75" customHeight="1">
      <c r="A206" s="3"/>
      <c r="B206" s="18" t="str">
        <f t="shared" si="2"/>
        <v/>
      </c>
      <c r="C206" s="19"/>
      <c r="D206" s="19"/>
      <c r="E206" s="19"/>
      <c r="F206" s="20"/>
      <c r="G206" s="20"/>
      <c r="H206" s="21" t="str">
        <f t="shared" si="3"/>
        <v/>
      </c>
      <c r="I206" s="20"/>
      <c r="J206" s="20"/>
      <c r="K206" s="20"/>
      <c r="L206" s="20"/>
      <c r="M206" s="21" t="str">
        <f t="shared" si="4"/>
        <v/>
      </c>
      <c r="N206" s="20"/>
      <c r="O206" s="20"/>
      <c r="P206" s="20"/>
      <c r="Q206" s="21" t="str">
        <f t="shared" si="5"/>
        <v/>
      </c>
      <c r="R206" s="21" t="str">
        <f t="shared" si="6"/>
        <v/>
      </c>
      <c r="S206" s="22"/>
      <c r="T206" s="22"/>
      <c r="U206" s="23" t="str">
        <f t="shared" si="7"/>
        <v/>
      </c>
      <c r="V206" s="21" t="str">
        <f t="shared" si="8"/>
        <v>#DIV/0!</v>
      </c>
      <c r="W206" s="24" t="str">
        <f t="shared" si="9"/>
        <v>#DIV/0!</v>
      </c>
      <c r="X206" s="24" t="str">
        <f t="shared" si="10"/>
        <v>#DIV/0!</v>
      </c>
      <c r="Y206" s="21" t="str">
        <f>IF(A206="","",SUMIFS('Labor Log'!$I$2:$I$2001,'Labor Log'!$A$2:$A$2001,A206))</f>
        <v/>
      </c>
      <c r="Z206" s="24" t="str">
        <f t="shared" si="11"/>
        <v>#DIV/0!</v>
      </c>
      <c r="AA206" s="21" t="str">
        <f>IF(A206="","",SUMIFS('Inventory &amp; COGS'!$H$2:$H$2001,'Inventory &amp; COGS'!$A$2:$A$2001,A206,'Inventory &amp; COGS'!$B$2:$B$2001,"Food"))</f>
        <v/>
      </c>
      <c r="AB206" s="21" t="str">
        <f>IF(A206="","",SUMIFS('Inventory &amp; COGS'!$H$2:$H$2001,'Inventory &amp; COGS'!$A$2:$A$2001,A206,'Inventory &amp; COGS'!$B$2:$B$2001,"Beverage"))</f>
        <v/>
      </c>
      <c r="AC206" s="21" t="str">
        <f t="shared" si="12"/>
        <v/>
      </c>
      <c r="AD206" s="24" t="str">
        <f t="shared" ref="AD206:AE206" si="221">IF(I206=0,"",AA206/I206)</f>
        <v/>
      </c>
      <c r="AE206" s="24" t="str">
        <f t="shared" si="221"/>
        <v/>
      </c>
      <c r="AF206" s="21" t="str">
        <f t="shared" si="14"/>
        <v/>
      </c>
      <c r="AG206" s="24" t="str">
        <f t="shared" si="15"/>
        <v>#DIV/0!</v>
      </c>
      <c r="AH206" s="25" t="str">
        <f t="shared" si="16"/>
        <v/>
      </c>
      <c r="AI206" s="25" t="str">
        <f t="shared" si="17"/>
        <v/>
      </c>
      <c r="AJ206" s="26" t="str">
        <f t="shared" si="18"/>
        <v/>
      </c>
    </row>
    <row r="207" ht="15.75" customHeight="1">
      <c r="A207" s="3"/>
      <c r="B207" s="18" t="str">
        <f t="shared" si="2"/>
        <v/>
      </c>
      <c r="C207" s="19"/>
      <c r="D207" s="19"/>
      <c r="E207" s="19"/>
      <c r="F207" s="20"/>
      <c r="G207" s="20"/>
      <c r="H207" s="21" t="str">
        <f t="shared" si="3"/>
        <v/>
      </c>
      <c r="I207" s="20"/>
      <c r="J207" s="20"/>
      <c r="K207" s="20"/>
      <c r="L207" s="20"/>
      <c r="M207" s="21" t="str">
        <f t="shared" si="4"/>
        <v/>
      </c>
      <c r="N207" s="20"/>
      <c r="O207" s="20"/>
      <c r="P207" s="20"/>
      <c r="Q207" s="21" t="str">
        <f t="shared" si="5"/>
        <v/>
      </c>
      <c r="R207" s="21" t="str">
        <f t="shared" si="6"/>
        <v/>
      </c>
      <c r="S207" s="22"/>
      <c r="T207" s="22"/>
      <c r="U207" s="23" t="str">
        <f t="shared" si="7"/>
        <v/>
      </c>
      <c r="V207" s="21" t="str">
        <f t="shared" si="8"/>
        <v>#DIV/0!</v>
      </c>
      <c r="W207" s="24" t="str">
        <f t="shared" si="9"/>
        <v>#DIV/0!</v>
      </c>
      <c r="X207" s="24" t="str">
        <f t="shared" si="10"/>
        <v>#DIV/0!</v>
      </c>
      <c r="Y207" s="21" t="str">
        <f>IF(A207="","",SUMIFS('Labor Log'!$I$2:$I$2001,'Labor Log'!$A$2:$A$2001,A207))</f>
        <v/>
      </c>
      <c r="Z207" s="24" t="str">
        <f t="shared" si="11"/>
        <v>#DIV/0!</v>
      </c>
      <c r="AA207" s="21" t="str">
        <f>IF(A207="","",SUMIFS('Inventory &amp; COGS'!$H$2:$H$2001,'Inventory &amp; COGS'!$A$2:$A$2001,A207,'Inventory &amp; COGS'!$B$2:$B$2001,"Food"))</f>
        <v/>
      </c>
      <c r="AB207" s="21" t="str">
        <f>IF(A207="","",SUMIFS('Inventory &amp; COGS'!$H$2:$H$2001,'Inventory &amp; COGS'!$A$2:$A$2001,A207,'Inventory &amp; COGS'!$B$2:$B$2001,"Beverage"))</f>
        <v/>
      </c>
      <c r="AC207" s="21" t="str">
        <f t="shared" si="12"/>
        <v/>
      </c>
      <c r="AD207" s="24" t="str">
        <f t="shared" ref="AD207:AE207" si="222">IF(I207=0,"",AA207/I207)</f>
        <v/>
      </c>
      <c r="AE207" s="24" t="str">
        <f t="shared" si="222"/>
        <v/>
      </c>
      <c r="AF207" s="21" t="str">
        <f t="shared" si="14"/>
        <v/>
      </c>
      <c r="AG207" s="24" t="str">
        <f t="shared" si="15"/>
        <v>#DIV/0!</v>
      </c>
      <c r="AH207" s="25" t="str">
        <f t="shared" si="16"/>
        <v/>
      </c>
      <c r="AI207" s="25" t="str">
        <f t="shared" si="17"/>
        <v/>
      </c>
      <c r="AJ207" s="26" t="str">
        <f t="shared" si="18"/>
        <v/>
      </c>
    </row>
    <row r="208" ht="15.75" customHeight="1">
      <c r="A208" s="3"/>
      <c r="B208" s="18" t="str">
        <f t="shared" si="2"/>
        <v/>
      </c>
      <c r="C208" s="19"/>
      <c r="D208" s="19"/>
      <c r="E208" s="19"/>
      <c r="F208" s="20"/>
      <c r="G208" s="20"/>
      <c r="H208" s="21" t="str">
        <f t="shared" si="3"/>
        <v/>
      </c>
      <c r="I208" s="20"/>
      <c r="J208" s="20"/>
      <c r="K208" s="20"/>
      <c r="L208" s="20"/>
      <c r="M208" s="21" t="str">
        <f t="shared" si="4"/>
        <v/>
      </c>
      <c r="N208" s="20"/>
      <c r="O208" s="20"/>
      <c r="P208" s="20"/>
      <c r="Q208" s="21" t="str">
        <f t="shared" si="5"/>
        <v/>
      </c>
      <c r="R208" s="21" t="str">
        <f t="shared" si="6"/>
        <v/>
      </c>
      <c r="S208" s="22"/>
      <c r="T208" s="22"/>
      <c r="U208" s="23" t="str">
        <f t="shared" si="7"/>
        <v/>
      </c>
      <c r="V208" s="21" t="str">
        <f t="shared" si="8"/>
        <v>#DIV/0!</v>
      </c>
      <c r="W208" s="24" t="str">
        <f t="shared" si="9"/>
        <v>#DIV/0!</v>
      </c>
      <c r="X208" s="24" t="str">
        <f t="shared" si="10"/>
        <v>#DIV/0!</v>
      </c>
      <c r="Y208" s="21" t="str">
        <f>IF(A208="","",SUMIFS('Labor Log'!$I$2:$I$2001,'Labor Log'!$A$2:$A$2001,A208))</f>
        <v/>
      </c>
      <c r="Z208" s="24" t="str">
        <f t="shared" si="11"/>
        <v>#DIV/0!</v>
      </c>
      <c r="AA208" s="21" t="str">
        <f>IF(A208="","",SUMIFS('Inventory &amp; COGS'!$H$2:$H$2001,'Inventory &amp; COGS'!$A$2:$A$2001,A208,'Inventory &amp; COGS'!$B$2:$B$2001,"Food"))</f>
        <v/>
      </c>
      <c r="AB208" s="21" t="str">
        <f>IF(A208="","",SUMIFS('Inventory &amp; COGS'!$H$2:$H$2001,'Inventory &amp; COGS'!$A$2:$A$2001,A208,'Inventory &amp; COGS'!$B$2:$B$2001,"Beverage"))</f>
        <v/>
      </c>
      <c r="AC208" s="21" t="str">
        <f t="shared" si="12"/>
        <v/>
      </c>
      <c r="AD208" s="24" t="str">
        <f t="shared" ref="AD208:AE208" si="223">IF(I208=0,"",AA208/I208)</f>
        <v/>
      </c>
      <c r="AE208" s="24" t="str">
        <f t="shared" si="223"/>
        <v/>
      </c>
      <c r="AF208" s="21" t="str">
        <f t="shared" si="14"/>
        <v/>
      </c>
      <c r="AG208" s="24" t="str">
        <f t="shared" si="15"/>
        <v>#DIV/0!</v>
      </c>
      <c r="AH208" s="25" t="str">
        <f t="shared" si="16"/>
        <v/>
      </c>
      <c r="AI208" s="25" t="str">
        <f t="shared" si="17"/>
        <v/>
      </c>
      <c r="AJ208" s="26" t="str">
        <f t="shared" si="18"/>
        <v/>
      </c>
    </row>
    <row r="209" ht="15.75" customHeight="1">
      <c r="A209" s="3"/>
      <c r="B209" s="18" t="str">
        <f t="shared" si="2"/>
        <v/>
      </c>
      <c r="C209" s="19"/>
      <c r="D209" s="19"/>
      <c r="E209" s="19"/>
      <c r="F209" s="20"/>
      <c r="G209" s="20"/>
      <c r="H209" s="21" t="str">
        <f t="shared" si="3"/>
        <v/>
      </c>
      <c r="I209" s="20"/>
      <c r="J209" s="20"/>
      <c r="K209" s="20"/>
      <c r="L209" s="20"/>
      <c r="M209" s="21" t="str">
        <f t="shared" si="4"/>
        <v/>
      </c>
      <c r="N209" s="20"/>
      <c r="O209" s="20"/>
      <c r="P209" s="20"/>
      <c r="Q209" s="21" t="str">
        <f t="shared" si="5"/>
        <v/>
      </c>
      <c r="R209" s="21" t="str">
        <f t="shared" si="6"/>
        <v/>
      </c>
      <c r="S209" s="22"/>
      <c r="T209" s="22"/>
      <c r="U209" s="23" t="str">
        <f t="shared" si="7"/>
        <v/>
      </c>
      <c r="V209" s="21" t="str">
        <f t="shared" si="8"/>
        <v>#DIV/0!</v>
      </c>
      <c r="W209" s="24" t="str">
        <f t="shared" si="9"/>
        <v>#DIV/0!</v>
      </c>
      <c r="X209" s="24" t="str">
        <f t="shared" si="10"/>
        <v>#DIV/0!</v>
      </c>
      <c r="Y209" s="21" t="str">
        <f>IF(A209="","",SUMIFS('Labor Log'!$I$2:$I$2001,'Labor Log'!$A$2:$A$2001,A209))</f>
        <v/>
      </c>
      <c r="Z209" s="24" t="str">
        <f t="shared" si="11"/>
        <v>#DIV/0!</v>
      </c>
      <c r="AA209" s="21" t="str">
        <f>IF(A209="","",SUMIFS('Inventory &amp; COGS'!$H$2:$H$2001,'Inventory &amp; COGS'!$A$2:$A$2001,A209,'Inventory &amp; COGS'!$B$2:$B$2001,"Food"))</f>
        <v/>
      </c>
      <c r="AB209" s="21" t="str">
        <f>IF(A209="","",SUMIFS('Inventory &amp; COGS'!$H$2:$H$2001,'Inventory &amp; COGS'!$A$2:$A$2001,A209,'Inventory &amp; COGS'!$B$2:$B$2001,"Beverage"))</f>
        <v/>
      </c>
      <c r="AC209" s="21" t="str">
        <f t="shared" si="12"/>
        <v/>
      </c>
      <c r="AD209" s="24" t="str">
        <f t="shared" ref="AD209:AE209" si="224">IF(I209=0,"",AA209/I209)</f>
        <v/>
      </c>
      <c r="AE209" s="24" t="str">
        <f t="shared" si="224"/>
        <v/>
      </c>
      <c r="AF209" s="21" t="str">
        <f t="shared" si="14"/>
        <v/>
      </c>
      <c r="AG209" s="24" t="str">
        <f t="shared" si="15"/>
        <v>#DIV/0!</v>
      </c>
      <c r="AH209" s="25" t="str">
        <f t="shared" si="16"/>
        <v/>
      </c>
      <c r="AI209" s="25" t="str">
        <f t="shared" si="17"/>
        <v/>
      </c>
      <c r="AJ209" s="26" t="str">
        <f t="shared" si="18"/>
        <v/>
      </c>
    </row>
    <row r="210" ht="15.75" customHeight="1">
      <c r="A210" s="3"/>
      <c r="B210" s="18" t="str">
        <f t="shared" si="2"/>
        <v/>
      </c>
      <c r="C210" s="19"/>
      <c r="D210" s="19"/>
      <c r="E210" s="19"/>
      <c r="F210" s="20"/>
      <c r="G210" s="20"/>
      <c r="H210" s="21" t="str">
        <f t="shared" si="3"/>
        <v/>
      </c>
      <c r="I210" s="20"/>
      <c r="J210" s="20"/>
      <c r="K210" s="20"/>
      <c r="L210" s="20"/>
      <c r="M210" s="21" t="str">
        <f t="shared" si="4"/>
        <v/>
      </c>
      <c r="N210" s="20"/>
      <c r="O210" s="20"/>
      <c r="P210" s="20"/>
      <c r="Q210" s="21" t="str">
        <f t="shared" si="5"/>
        <v/>
      </c>
      <c r="R210" s="21" t="str">
        <f t="shared" si="6"/>
        <v/>
      </c>
      <c r="S210" s="22"/>
      <c r="T210" s="22"/>
      <c r="U210" s="23" t="str">
        <f t="shared" si="7"/>
        <v/>
      </c>
      <c r="V210" s="21" t="str">
        <f t="shared" si="8"/>
        <v>#DIV/0!</v>
      </c>
      <c r="W210" s="24" t="str">
        <f t="shared" si="9"/>
        <v>#DIV/0!</v>
      </c>
      <c r="X210" s="24" t="str">
        <f t="shared" si="10"/>
        <v>#DIV/0!</v>
      </c>
      <c r="Y210" s="21" t="str">
        <f>IF(A210="","",SUMIFS('Labor Log'!$I$2:$I$2001,'Labor Log'!$A$2:$A$2001,A210))</f>
        <v/>
      </c>
      <c r="Z210" s="24" t="str">
        <f t="shared" si="11"/>
        <v>#DIV/0!</v>
      </c>
      <c r="AA210" s="21" t="str">
        <f>IF(A210="","",SUMIFS('Inventory &amp; COGS'!$H$2:$H$2001,'Inventory &amp; COGS'!$A$2:$A$2001,A210,'Inventory &amp; COGS'!$B$2:$B$2001,"Food"))</f>
        <v/>
      </c>
      <c r="AB210" s="21" t="str">
        <f>IF(A210="","",SUMIFS('Inventory &amp; COGS'!$H$2:$H$2001,'Inventory &amp; COGS'!$A$2:$A$2001,A210,'Inventory &amp; COGS'!$B$2:$B$2001,"Beverage"))</f>
        <v/>
      </c>
      <c r="AC210" s="21" t="str">
        <f t="shared" si="12"/>
        <v/>
      </c>
      <c r="AD210" s="24" t="str">
        <f t="shared" ref="AD210:AE210" si="225">IF(I210=0,"",AA210/I210)</f>
        <v/>
      </c>
      <c r="AE210" s="24" t="str">
        <f t="shared" si="225"/>
        <v/>
      </c>
      <c r="AF210" s="21" t="str">
        <f t="shared" si="14"/>
        <v/>
      </c>
      <c r="AG210" s="24" t="str">
        <f t="shared" si="15"/>
        <v>#DIV/0!</v>
      </c>
      <c r="AH210" s="25" t="str">
        <f t="shared" si="16"/>
        <v/>
      </c>
      <c r="AI210" s="25" t="str">
        <f t="shared" si="17"/>
        <v/>
      </c>
      <c r="AJ210" s="26" t="str">
        <f t="shared" si="18"/>
        <v/>
      </c>
    </row>
    <row r="211" ht="15.75" customHeight="1">
      <c r="A211" s="3"/>
      <c r="B211" s="18" t="str">
        <f t="shared" si="2"/>
        <v/>
      </c>
      <c r="C211" s="19"/>
      <c r="D211" s="19"/>
      <c r="E211" s="19"/>
      <c r="F211" s="20"/>
      <c r="G211" s="20"/>
      <c r="H211" s="21" t="str">
        <f t="shared" si="3"/>
        <v/>
      </c>
      <c r="I211" s="20"/>
      <c r="J211" s="20"/>
      <c r="K211" s="20"/>
      <c r="L211" s="20"/>
      <c r="M211" s="21" t="str">
        <f t="shared" si="4"/>
        <v/>
      </c>
      <c r="N211" s="20"/>
      <c r="O211" s="20"/>
      <c r="P211" s="20"/>
      <c r="Q211" s="21" t="str">
        <f t="shared" si="5"/>
        <v/>
      </c>
      <c r="R211" s="21" t="str">
        <f t="shared" si="6"/>
        <v/>
      </c>
      <c r="S211" s="22"/>
      <c r="T211" s="22"/>
      <c r="U211" s="23" t="str">
        <f t="shared" si="7"/>
        <v/>
      </c>
      <c r="V211" s="21" t="str">
        <f t="shared" si="8"/>
        <v>#DIV/0!</v>
      </c>
      <c r="W211" s="24" t="str">
        <f t="shared" si="9"/>
        <v>#DIV/0!</v>
      </c>
      <c r="X211" s="24" t="str">
        <f t="shared" si="10"/>
        <v>#DIV/0!</v>
      </c>
      <c r="Y211" s="21" t="str">
        <f>IF(A211="","",SUMIFS('Labor Log'!$I$2:$I$2001,'Labor Log'!$A$2:$A$2001,A211))</f>
        <v/>
      </c>
      <c r="Z211" s="24" t="str">
        <f t="shared" si="11"/>
        <v>#DIV/0!</v>
      </c>
      <c r="AA211" s="21" t="str">
        <f>IF(A211="","",SUMIFS('Inventory &amp; COGS'!$H$2:$H$2001,'Inventory &amp; COGS'!$A$2:$A$2001,A211,'Inventory &amp; COGS'!$B$2:$B$2001,"Food"))</f>
        <v/>
      </c>
      <c r="AB211" s="21" t="str">
        <f>IF(A211="","",SUMIFS('Inventory &amp; COGS'!$H$2:$H$2001,'Inventory &amp; COGS'!$A$2:$A$2001,A211,'Inventory &amp; COGS'!$B$2:$B$2001,"Beverage"))</f>
        <v/>
      </c>
      <c r="AC211" s="21" t="str">
        <f t="shared" si="12"/>
        <v/>
      </c>
      <c r="AD211" s="24" t="str">
        <f t="shared" ref="AD211:AE211" si="226">IF(I211=0,"",AA211/I211)</f>
        <v/>
      </c>
      <c r="AE211" s="24" t="str">
        <f t="shared" si="226"/>
        <v/>
      </c>
      <c r="AF211" s="21" t="str">
        <f t="shared" si="14"/>
        <v/>
      </c>
      <c r="AG211" s="24" t="str">
        <f t="shared" si="15"/>
        <v>#DIV/0!</v>
      </c>
      <c r="AH211" s="25" t="str">
        <f t="shared" si="16"/>
        <v/>
      </c>
      <c r="AI211" s="25" t="str">
        <f t="shared" si="17"/>
        <v/>
      </c>
      <c r="AJ211" s="26" t="str">
        <f t="shared" si="18"/>
        <v/>
      </c>
    </row>
    <row r="212" ht="15.75" customHeight="1">
      <c r="A212" s="3"/>
      <c r="B212" s="18" t="str">
        <f t="shared" si="2"/>
        <v/>
      </c>
      <c r="C212" s="19"/>
      <c r="D212" s="19"/>
      <c r="E212" s="19"/>
      <c r="F212" s="20"/>
      <c r="G212" s="20"/>
      <c r="H212" s="21" t="str">
        <f t="shared" si="3"/>
        <v/>
      </c>
      <c r="I212" s="20"/>
      <c r="J212" s="20"/>
      <c r="K212" s="20"/>
      <c r="L212" s="20"/>
      <c r="M212" s="21" t="str">
        <f t="shared" si="4"/>
        <v/>
      </c>
      <c r="N212" s="20"/>
      <c r="O212" s="20"/>
      <c r="P212" s="20"/>
      <c r="Q212" s="21" t="str">
        <f t="shared" si="5"/>
        <v/>
      </c>
      <c r="R212" s="21" t="str">
        <f t="shared" si="6"/>
        <v/>
      </c>
      <c r="S212" s="22"/>
      <c r="T212" s="22"/>
      <c r="U212" s="23" t="str">
        <f t="shared" si="7"/>
        <v/>
      </c>
      <c r="V212" s="21" t="str">
        <f t="shared" si="8"/>
        <v>#DIV/0!</v>
      </c>
      <c r="W212" s="24" t="str">
        <f t="shared" si="9"/>
        <v>#DIV/0!</v>
      </c>
      <c r="X212" s="24" t="str">
        <f t="shared" si="10"/>
        <v>#DIV/0!</v>
      </c>
      <c r="Y212" s="21" t="str">
        <f>IF(A212="","",SUMIFS('Labor Log'!$I$2:$I$2001,'Labor Log'!$A$2:$A$2001,A212))</f>
        <v/>
      </c>
      <c r="Z212" s="24" t="str">
        <f t="shared" si="11"/>
        <v>#DIV/0!</v>
      </c>
      <c r="AA212" s="21" t="str">
        <f>IF(A212="","",SUMIFS('Inventory &amp; COGS'!$H$2:$H$2001,'Inventory &amp; COGS'!$A$2:$A$2001,A212,'Inventory &amp; COGS'!$B$2:$B$2001,"Food"))</f>
        <v/>
      </c>
      <c r="AB212" s="21" t="str">
        <f>IF(A212="","",SUMIFS('Inventory &amp; COGS'!$H$2:$H$2001,'Inventory &amp; COGS'!$A$2:$A$2001,A212,'Inventory &amp; COGS'!$B$2:$B$2001,"Beverage"))</f>
        <v/>
      </c>
      <c r="AC212" s="21" t="str">
        <f t="shared" si="12"/>
        <v/>
      </c>
      <c r="AD212" s="24" t="str">
        <f t="shared" ref="AD212:AE212" si="227">IF(I212=0,"",AA212/I212)</f>
        <v/>
      </c>
      <c r="AE212" s="24" t="str">
        <f t="shared" si="227"/>
        <v/>
      </c>
      <c r="AF212" s="21" t="str">
        <f t="shared" si="14"/>
        <v/>
      </c>
      <c r="AG212" s="24" t="str">
        <f t="shared" si="15"/>
        <v>#DIV/0!</v>
      </c>
      <c r="AH212" s="25" t="str">
        <f t="shared" si="16"/>
        <v/>
      </c>
      <c r="AI212" s="25" t="str">
        <f t="shared" si="17"/>
        <v/>
      </c>
      <c r="AJ212" s="26" t="str">
        <f t="shared" si="18"/>
        <v/>
      </c>
    </row>
    <row r="213" ht="15.75" customHeight="1">
      <c r="A213" s="3"/>
      <c r="B213" s="18" t="str">
        <f t="shared" si="2"/>
        <v/>
      </c>
      <c r="C213" s="19"/>
      <c r="D213" s="19"/>
      <c r="E213" s="19"/>
      <c r="F213" s="20"/>
      <c r="G213" s="20"/>
      <c r="H213" s="21" t="str">
        <f t="shared" si="3"/>
        <v/>
      </c>
      <c r="I213" s="20"/>
      <c r="J213" s="20"/>
      <c r="K213" s="20"/>
      <c r="L213" s="20"/>
      <c r="M213" s="21" t="str">
        <f t="shared" si="4"/>
        <v/>
      </c>
      <c r="N213" s="20"/>
      <c r="O213" s="20"/>
      <c r="P213" s="20"/>
      <c r="Q213" s="21" t="str">
        <f t="shared" si="5"/>
        <v/>
      </c>
      <c r="R213" s="21" t="str">
        <f t="shared" si="6"/>
        <v/>
      </c>
      <c r="S213" s="22"/>
      <c r="T213" s="22"/>
      <c r="U213" s="23" t="str">
        <f t="shared" si="7"/>
        <v/>
      </c>
      <c r="V213" s="21" t="str">
        <f t="shared" si="8"/>
        <v>#DIV/0!</v>
      </c>
      <c r="W213" s="24" t="str">
        <f t="shared" si="9"/>
        <v>#DIV/0!</v>
      </c>
      <c r="X213" s="24" t="str">
        <f t="shared" si="10"/>
        <v>#DIV/0!</v>
      </c>
      <c r="Y213" s="21" t="str">
        <f>IF(A213="","",SUMIFS('Labor Log'!$I$2:$I$2001,'Labor Log'!$A$2:$A$2001,A213))</f>
        <v/>
      </c>
      <c r="Z213" s="24" t="str">
        <f t="shared" si="11"/>
        <v>#DIV/0!</v>
      </c>
      <c r="AA213" s="21" t="str">
        <f>IF(A213="","",SUMIFS('Inventory &amp; COGS'!$H$2:$H$2001,'Inventory &amp; COGS'!$A$2:$A$2001,A213,'Inventory &amp; COGS'!$B$2:$B$2001,"Food"))</f>
        <v/>
      </c>
      <c r="AB213" s="21" t="str">
        <f>IF(A213="","",SUMIFS('Inventory &amp; COGS'!$H$2:$H$2001,'Inventory &amp; COGS'!$A$2:$A$2001,A213,'Inventory &amp; COGS'!$B$2:$B$2001,"Beverage"))</f>
        <v/>
      </c>
      <c r="AC213" s="21" t="str">
        <f t="shared" si="12"/>
        <v/>
      </c>
      <c r="AD213" s="24" t="str">
        <f t="shared" ref="AD213:AE213" si="228">IF(I213=0,"",AA213/I213)</f>
        <v/>
      </c>
      <c r="AE213" s="24" t="str">
        <f t="shared" si="228"/>
        <v/>
      </c>
      <c r="AF213" s="21" t="str">
        <f t="shared" si="14"/>
        <v/>
      </c>
      <c r="AG213" s="24" t="str">
        <f t="shared" si="15"/>
        <v>#DIV/0!</v>
      </c>
      <c r="AH213" s="25" t="str">
        <f t="shared" si="16"/>
        <v/>
      </c>
      <c r="AI213" s="25" t="str">
        <f t="shared" si="17"/>
        <v/>
      </c>
      <c r="AJ213" s="26" t="str">
        <f t="shared" si="18"/>
        <v/>
      </c>
    </row>
    <row r="214" ht="15.75" customHeight="1">
      <c r="A214" s="3"/>
      <c r="B214" s="18" t="str">
        <f t="shared" si="2"/>
        <v/>
      </c>
      <c r="C214" s="19"/>
      <c r="D214" s="19"/>
      <c r="E214" s="19"/>
      <c r="F214" s="20"/>
      <c r="G214" s="20"/>
      <c r="H214" s="21" t="str">
        <f t="shared" si="3"/>
        <v/>
      </c>
      <c r="I214" s="20"/>
      <c r="J214" s="20"/>
      <c r="K214" s="20"/>
      <c r="L214" s="20"/>
      <c r="M214" s="21" t="str">
        <f t="shared" si="4"/>
        <v/>
      </c>
      <c r="N214" s="20"/>
      <c r="O214" s="20"/>
      <c r="P214" s="20"/>
      <c r="Q214" s="21" t="str">
        <f t="shared" si="5"/>
        <v/>
      </c>
      <c r="R214" s="21" t="str">
        <f t="shared" si="6"/>
        <v/>
      </c>
      <c r="S214" s="22"/>
      <c r="T214" s="22"/>
      <c r="U214" s="23" t="str">
        <f t="shared" si="7"/>
        <v/>
      </c>
      <c r="V214" s="21" t="str">
        <f t="shared" si="8"/>
        <v>#DIV/0!</v>
      </c>
      <c r="W214" s="24" t="str">
        <f t="shared" si="9"/>
        <v>#DIV/0!</v>
      </c>
      <c r="X214" s="24" t="str">
        <f t="shared" si="10"/>
        <v>#DIV/0!</v>
      </c>
      <c r="Y214" s="21" t="str">
        <f>IF(A214="","",SUMIFS('Labor Log'!$I$2:$I$2001,'Labor Log'!$A$2:$A$2001,A214))</f>
        <v/>
      </c>
      <c r="Z214" s="24" t="str">
        <f t="shared" si="11"/>
        <v>#DIV/0!</v>
      </c>
      <c r="AA214" s="21" t="str">
        <f>IF(A214="","",SUMIFS('Inventory &amp; COGS'!$H$2:$H$2001,'Inventory &amp; COGS'!$A$2:$A$2001,A214,'Inventory &amp; COGS'!$B$2:$B$2001,"Food"))</f>
        <v/>
      </c>
      <c r="AB214" s="21" t="str">
        <f>IF(A214="","",SUMIFS('Inventory &amp; COGS'!$H$2:$H$2001,'Inventory &amp; COGS'!$A$2:$A$2001,A214,'Inventory &amp; COGS'!$B$2:$B$2001,"Beverage"))</f>
        <v/>
      </c>
      <c r="AC214" s="21" t="str">
        <f t="shared" si="12"/>
        <v/>
      </c>
      <c r="AD214" s="24" t="str">
        <f t="shared" ref="AD214:AE214" si="229">IF(I214=0,"",AA214/I214)</f>
        <v/>
      </c>
      <c r="AE214" s="24" t="str">
        <f t="shared" si="229"/>
        <v/>
      </c>
      <c r="AF214" s="21" t="str">
        <f t="shared" si="14"/>
        <v/>
      </c>
      <c r="AG214" s="24" t="str">
        <f t="shared" si="15"/>
        <v>#DIV/0!</v>
      </c>
      <c r="AH214" s="25" t="str">
        <f t="shared" si="16"/>
        <v/>
      </c>
      <c r="AI214" s="25" t="str">
        <f t="shared" si="17"/>
        <v/>
      </c>
      <c r="AJ214" s="26" t="str">
        <f t="shared" si="18"/>
        <v/>
      </c>
    </row>
    <row r="215" ht="15.75" customHeight="1">
      <c r="A215" s="3"/>
      <c r="B215" s="18" t="str">
        <f t="shared" si="2"/>
        <v/>
      </c>
      <c r="C215" s="19"/>
      <c r="D215" s="19"/>
      <c r="E215" s="19"/>
      <c r="F215" s="20"/>
      <c r="G215" s="20"/>
      <c r="H215" s="21" t="str">
        <f t="shared" si="3"/>
        <v/>
      </c>
      <c r="I215" s="20"/>
      <c r="J215" s="20"/>
      <c r="K215" s="20"/>
      <c r="L215" s="20"/>
      <c r="M215" s="21" t="str">
        <f t="shared" si="4"/>
        <v/>
      </c>
      <c r="N215" s="20"/>
      <c r="O215" s="20"/>
      <c r="P215" s="20"/>
      <c r="Q215" s="21" t="str">
        <f t="shared" si="5"/>
        <v/>
      </c>
      <c r="R215" s="21" t="str">
        <f t="shared" si="6"/>
        <v/>
      </c>
      <c r="S215" s="22"/>
      <c r="T215" s="22"/>
      <c r="U215" s="23" t="str">
        <f t="shared" si="7"/>
        <v/>
      </c>
      <c r="V215" s="21" t="str">
        <f t="shared" si="8"/>
        <v>#DIV/0!</v>
      </c>
      <c r="W215" s="24" t="str">
        <f t="shared" si="9"/>
        <v>#DIV/0!</v>
      </c>
      <c r="X215" s="24" t="str">
        <f t="shared" si="10"/>
        <v>#DIV/0!</v>
      </c>
      <c r="Y215" s="21" t="str">
        <f>IF(A215="","",SUMIFS('Labor Log'!$I$2:$I$2001,'Labor Log'!$A$2:$A$2001,A215))</f>
        <v/>
      </c>
      <c r="Z215" s="24" t="str">
        <f t="shared" si="11"/>
        <v>#DIV/0!</v>
      </c>
      <c r="AA215" s="21" t="str">
        <f>IF(A215="","",SUMIFS('Inventory &amp; COGS'!$H$2:$H$2001,'Inventory &amp; COGS'!$A$2:$A$2001,A215,'Inventory &amp; COGS'!$B$2:$B$2001,"Food"))</f>
        <v/>
      </c>
      <c r="AB215" s="21" t="str">
        <f>IF(A215="","",SUMIFS('Inventory &amp; COGS'!$H$2:$H$2001,'Inventory &amp; COGS'!$A$2:$A$2001,A215,'Inventory &amp; COGS'!$B$2:$B$2001,"Beverage"))</f>
        <v/>
      </c>
      <c r="AC215" s="21" t="str">
        <f t="shared" si="12"/>
        <v/>
      </c>
      <c r="AD215" s="24" t="str">
        <f t="shared" ref="AD215:AE215" si="230">IF(I215=0,"",AA215/I215)</f>
        <v/>
      </c>
      <c r="AE215" s="24" t="str">
        <f t="shared" si="230"/>
        <v/>
      </c>
      <c r="AF215" s="21" t="str">
        <f t="shared" si="14"/>
        <v/>
      </c>
      <c r="AG215" s="24" t="str">
        <f t="shared" si="15"/>
        <v>#DIV/0!</v>
      </c>
      <c r="AH215" s="25" t="str">
        <f t="shared" si="16"/>
        <v/>
      </c>
      <c r="AI215" s="25" t="str">
        <f t="shared" si="17"/>
        <v/>
      </c>
      <c r="AJ215" s="26" t="str">
        <f t="shared" si="18"/>
        <v/>
      </c>
    </row>
    <row r="216" ht="15.75" customHeight="1">
      <c r="A216" s="3"/>
      <c r="B216" s="18" t="str">
        <f t="shared" si="2"/>
        <v/>
      </c>
      <c r="C216" s="19"/>
      <c r="D216" s="19"/>
      <c r="E216" s="19"/>
      <c r="F216" s="20"/>
      <c r="G216" s="20"/>
      <c r="H216" s="21" t="str">
        <f t="shared" si="3"/>
        <v/>
      </c>
      <c r="I216" s="20"/>
      <c r="J216" s="20"/>
      <c r="K216" s="20"/>
      <c r="L216" s="20"/>
      <c r="M216" s="21" t="str">
        <f t="shared" si="4"/>
        <v/>
      </c>
      <c r="N216" s="20"/>
      <c r="O216" s="20"/>
      <c r="P216" s="20"/>
      <c r="Q216" s="21" t="str">
        <f t="shared" si="5"/>
        <v/>
      </c>
      <c r="R216" s="21" t="str">
        <f t="shared" si="6"/>
        <v/>
      </c>
      <c r="S216" s="22"/>
      <c r="T216" s="22"/>
      <c r="U216" s="23" t="str">
        <f t="shared" si="7"/>
        <v/>
      </c>
      <c r="V216" s="21" t="str">
        <f t="shared" si="8"/>
        <v>#DIV/0!</v>
      </c>
      <c r="W216" s="24" t="str">
        <f t="shared" si="9"/>
        <v>#DIV/0!</v>
      </c>
      <c r="X216" s="24" t="str">
        <f t="shared" si="10"/>
        <v>#DIV/0!</v>
      </c>
      <c r="Y216" s="21" t="str">
        <f>IF(A216="","",SUMIFS('Labor Log'!$I$2:$I$2001,'Labor Log'!$A$2:$A$2001,A216))</f>
        <v/>
      </c>
      <c r="Z216" s="24" t="str">
        <f t="shared" si="11"/>
        <v>#DIV/0!</v>
      </c>
      <c r="AA216" s="21" t="str">
        <f>IF(A216="","",SUMIFS('Inventory &amp; COGS'!$H$2:$H$2001,'Inventory &amp; COGS'!$A$2:$A$2001,A216,'Inventory &amp; COGS'!$B$2:$B$2001,"Food"))</f>
        <v/>
      </c>
      <c r="AB216" s="21" t="str">
        <f>IF(A216="","",SUMIFS('Inventory &amp; COGS'!$H$2:$H$2001,'Inventory &amp; COGS'!$A$2:$A$2001,A216,'Inventory &amp; COGS'!$B$2:$B$2001,"Beverage"))</f>
        <v/>
      </c>
      <c r="AC216" s="21" t="str">
        <f t="shared" si="12"/>
        <v/>
      </c>
      <c r="AD216" s="24" t="str">
        <f t="shared" ref="AD216:AE216" si="231">IF(I216=0,"",AA216/I216)</f>
        <v/>
      </c>
      <c r="AE216" s="24" t="str">
        <f t="shared" si="231"/>
        <v/>
      </c>
      <c r="AF216" s="21" t="str">
        <f t="shared" si="14"/>
        <v/>
      </c>
      <c r="AG216" s="24" t="str">
        <f t="shared" si="15"/>
        <v>#DIV/0!</v>
      </c>
      <c r="AH216" s="25" t="str">
        <f t="shared" si="16"/>
        <v/>
      </c>
      <c r="AI216" s="25" t="str">
        <f t="shared" si="17"/>
        <v/>
      </c>
      <c r="AJ216" s="26" t="str">
        <f t="shared" si="18"/>
        <v/>
      </c>
    </row>
    <row r="217" ht="15.75" customHeight="1">
      <c r="A217" s="3"/>
      <c r="B217" s="18" t="str">
        <f t="shared" si="2"/>
        <v/>
      </c>
      <c r="C217" s="19"/>
      <c r="D217" s="19"/>
      <c r="E217" s="19"/>
      <c r="F217" s="20"/>
      <c r="G217" s="20"/>
      <c r="H217" s="21" t="str">
        <f t="shared" si="3"/>
        <v/>
      </c>
      <c r="I217" s="20"/>
      <c r="J217" s="20"/>
      <c r="K217" s="20"/>
      <c r="L217" s="20"/>
      <c r="M217" s="21" t="str">
        <f t="shared" si="4"/>
        <v/>
      </c>
      <c r="N217" s="20"/>
      <c r="O217" s="20"/>
      <c r="P217" s="20"/>
      <c r="Q217" s="21" t="str">
        <f t="shared" si="5"/>
        <v/>
      </c>
      <c r="R217" s="21" t="str">
        <f t="shared" si="6"/>
        <v/>
      </c>
      <c r="S217" s="22"/>
      <c r="T217" s="22"/>
      <c r="U217" s="23" t="str">
        <f t="shared" si="7"/>
        <v/>
      </c>
      <c r="V217" s="21" t="str">
        <f t="shared" si="8"/>
        <v>#DIV/0!</v>
      </c>
      <c r="W217" s="24" t="str">
        <f t="shared" si="9"/>
        <v>#DIV/0!</v>
      </c>
      <c r="X217" s="24" t="str">
        <f t="shared" si="10"/>
        <v>#DIV/0!</v>
      </c>
      <c r="Y217" s="21" t="str">
        <f>IF(A217="","",SUMIFS('Labor Log'!$I$2:$I$2001,'Labor Log'!$A$2:$A$2001,A217))</f>
        <v/>
      </c>
      <c r="Z217" s="24" t="str">
        <f t="shared" si="11"/>
        <v>#DIV/0!</v>
      </c>
      <c r="AA217" s="21" t="str">
        <f>IF(A217="","",SUMIFS('Inventory &amp; COGS'!$H$2:$H$2001,'Inventory &amp; COGS'!$A$2:$A$2001,A217,'Inventory &amp; COGS'!$B$2:$B$2001,"Food"))</f>
        <v/>
      </c>
      <c r="AB217" s="21" t="str">
        <f>IF(A217="","",SUMIFS('Inventory &amp; COGS'!$H$2:$H$2001,'Inventory &amp; COGS'!$A$2:$A$2001,A217,'Inventory &amp; COGS'!$B$2:$B$2001,"Beverage"))</f>
        <v/>
      </c>
      <c r="AC217" s="21" t="str">
        <f t="shared" si="12"/>
        <v/>
      </c>
      <c r="AD217" s="24" t="str">
        <f t="shared" ref="AD217:AE217" si="232">IF(I217=0,"",AA217/I217)</f>
        <v/>
      </c>
      <c r="AE217" s="24" t="str">
        <f t="shared" si="232"/>
        <v/>
      </c>
      <c r="AF217" s="21" t="str">
        <f t="shared" si="14"/>
        <v/>
      </c>
      <c r="AG217" s="24" t="str">
        <f t="shared" si="15"/>
        <v>#DIV/0!</v>
      </c>
      <c r="AH217" s="25" t="str">
        <f t="shared" si="16"/>
        <v/>
      </c>
      <c r="AI217" s="25" t="str">
        <f t="shared" si="17"/>
        <v/>
      </c>
      <c r="AJ217" s="26" t="str">
        <f t="shared" si="18"/>
        <v/>
      </c>
    </row>
    <row r="218" ht="15.75" customHeight="1">
      <c r="A218" s="3"/>
      <c r="B218" s="18" t="str">
        <f t="shared" si="2"/>
        <v/>
      </c>
      <c r="C218" s="19"/>
      <c r="D218" s="19"/>
      <c r="E218" s="19"/>
      <c r="F218" s="20"/>
      <c r="G218" s="20"/>
      <c r="H218" s="21" t="str">
        <f t="shared" si="3"/>
        <v/>
      </c>
      <c r="I218" s="20"/>
      <c r="J218" s="20"/>
      <c r="K218" s="20"/>
      <c r="L218" s="20"/>
      <c r="M218" s="21" t="str">
        <f t="shared" si="4"/>
        <v/>
      </c>
      <c r="N218" s="20"/>
      <c r="O218" s="20"/>
      <c r="P218" s="20"/>
      <c r="Q218" s="21" t="str">
        <f t="shared" si="5"/>
        <v/>
      </c>
      <c r="R218" s="21" t="str">
        <f t="shared" si="6"/>
        <v/>
      </c>
      <c r="S218" s="22"/>
      <c r="T218" s="22"/>
      <c r="U218" s="23" t="str">
        <f t="shared" si="7"/>
        <v/>
      </c>
      <c r="V218" s="21" t="str">
        <f t="shared" si="8"/>
        <v>#DIV/0!</v>
      </c>
      <c r="W218" s="24" t="str">
        <f t="shared" si="9"/>
        <v>#DIV/0!</v>
      </c>
      <c r="X218" s="24" t="str">
        <f t="shared" si="10"/>
        <v>#DIV/0!</v>
      </c>
      <c r="Y218" s="21" t="str">
        <f>IF(A218="","",SUMIFS('Labor Log'!$I$2:$I$2001,'Labor Log'!$A$2:$A$2001,A218))</f>
        <v/>
      </c>
      <c r="Z218" s="24" t="str">
        <f t="shared" si="11"/>
        <v>#DIV/0!</v>
      </c>
      <c r="AA218" s="21" t="str">
        <f>IF(A218="","",SUMIFS('Inventory &amp; COGS'!$H$2:$H$2001,'Inventory &amp; COGS'!$A$2:$A$2001,A218,'Inventory &amp; COGS'!$B$2:$B$2001,"Food"))</f>
        <v/>
      </c>
      <c r="AB218" s="21" t="str">
        <f>IF(A218="","",SUMIFS('Inventory &amp; COGS'!$H$2:$H$2001,'Inventory &amp; COGS'!$A$2:$A$2001,A218,'Inventory &amp; COGS'!$B$2:$B$2001,"Beverage"))</f>
        <v/>
      </c>
      <c r="AC218" s="21" t="str">
        <f t="shared" si="12"/>
        <v/>
      </c>
      <c r="AD218" s="24" t="str">
        <f t="shared" ref="AD218:AE218" si="233">IF(I218=0,"",AA218/I218)</f>
        <v/>
      </c>
      <c r="AE218" s="24" t="str">
        <f t="shared" si="233"/>
        <v/>
      </c>
      <c r="AF218" s="21" t="str">
        <f t="shared" si="14"/>
        <v/>
      </c>
      <c r="AG218" s="24" t="str">
        <f t="shared" si="15"/>
        <v>#DIV/0!</v>
      </c>
      <c r="AH218" s="25" t="str">
        <f t="shared" si="16"/>
        <v/>
      </c>
      <c r="AI218" s="25" t="str">
        <f t="shared" si="17"/>
        <v/>
      </c>
      <c r="AJ218" s="26" t="str">
        <f t="shared" si="18"/>
        <v/>
      </c>
    </row>
    <row r="219" ht="15.75" customHeight="1">
      <c r="A219" s="3"/>
      <c r="B219" s="18" t="str">
        <f t="shared" si="2"/>
        <v/>
      </c>
      <c r="C219" s="19"/>
      <c r="D219" s="19"/>
      <c r="E219" s="19"/>
      <c r="F219" s="20"/>
      <c r="G219" s="20"/>
      <c r="H219" s="21" t="str">
        <f t="shared" si="3"/>
        <v/>
      </c>
      <c r="I219" s="20"/>
      <c r="J219" s="20"/>
      <c r="K219" s="20"/>
      <c r="L219" s="20"/>
      <c r="M219" s="21" t="str">
        <f t="shared" si="4"/>
        <v/>
      </c>
      <c r="N219" s="20"/>
      <c r="O219" s="20"/>
      <c r="P219" s="20"/>
      <c r="Q219" s="21" t="str">
        <f t="shared" si="5"/>
        <v/>
      </c>
      <c r="R219" s="21" t="str">
        <f t="shared" si="6"/>
        <v/>
      </c>
      <c r="S219" s="22"/>
      <c r="T219" s="22"/>
      <c r="U219" s="23" t="str">
        <f t="shared" si="7"/>
        <v/>
      </c>
      <c r="V219" s="21" t="str">
        <f t="shared" si="8"/>
        <v>#DIV/0!</v>
      </c>
      <c r="W219" s="24" t="str">
        <f t="shared" si="9"/>
        <v>#DIV/0!</v>
      </c>
      <c r="X219" s="24" t="str">
        <f t="shared" si="10"/>
        <v>#DIV/0!</v>
      </c>
      <c r="Y219" s="21" t="str">
        <f>IF(A219="","",SUMIFS('Labor Log'!$I$2:$I$2001,'Labor Log'!$A$2:$A$2001,A219))</f>
        <v/>
      </c>
      <c r="Z219" s="24" t="str">
        <f t="shared" si="11"/>
        <v>#DIV/0!</v>
      </c>
      <c r="AA219" s="21" t="str">
        <f>IF(A219="","",SUMIFS('Inventory &amp; COGS'!$H$2:$H$2001,'Inventory &amp; COGS'!$A$2:$A$2001,A219,'Inventory &amp; COGS'!$B$2:$B$2001,"Food"))</f>
        <v/>
      </c>
      <c r="AB219" s="21" t="str">
        <f>IF(A219="","",SUMIFS('Inventory &amp; COGS'!$H$2:$H$2001,'Inventory &amp; COGS'!$A$2:$A$2001,A219,'Inventory &amp; COGS'!$B$2:$B$2001,"Beverage"))</f>
        <v/>
      </c>
      <c r="AC219" s="21" t="str">
        <f t="shared" si="12"/>
        <v/>
      </c>
      <c r="AD219" s="24" t="str">
        <f t="shared" ref="AD219:AE219" si="234">IF(I219=0,"",AA219/I219)</f>
        <v/>
      </c>
      <c r="AE219" s="24" t="str">
        <f t="shared" si="234"/>
        <v/>
      </c>
      <c r="AF219" s="21" t="str">
        <f t="shared" si="14"/>
        <v/>
      </c>
      <c r="AG219" s="24" t="str">
        <f t="shared" si="15"/>
        <v>#DIV/0!</v>
      </c>
      <c r="AH219" s="25" t="str">
        <f t="shared" si="16"/>
        <v/>
      </c>
      <c r="AI219" s="25" t="str">
        <f t="shared" si="17"/>
        <v/>
      </c>
      <c r="AJ219" s="26" t="str">
        <f t="shared" si="18"/>
        <v/>
      </c>
    </row>
    <row r="220" ht="15.75" customHeight="1">
      <c r="A220" s="3"/>
      <c r="B220" s="18" t="str">
        <f t="shared" si="2"/>
        <v/>
      </c>
      <c r="C220" s="19"/>
      <c r="D220" s="19"/>
      <c r="E220" s="19"/>
      <c r="F220" s="20"/>
      <c r="G220" s="20"/>
      <c r="H220" s="21" t="str">
        <f t="shared" si="3"/>
        <v/>
      </c>
      <c r="I220" s="20"/>
      <c r="J220" s="20"/>
      <c r="K220" s="20"/>
      <c r="L220" s="20"/>
      <c r="M220" s="21" t="str">
        <f t="shared" si="4"/>
        <v/>
      </c>
      <c r="N220" s="20"/>
      <c r="O220" s="20"/>
      <c r="P220" s="20"/>
      <c r="Q220" s="21" t="str">
        <f t="shared" si="5"/>
        <v/>
      </c>
      <c r="R220" s="21" t="str">
        <f t="shared" si="6"/>
        <v/>
      </c>
      <c r="S220" s="22"/>
      <c r="T220" s="22"/>
      <c r="U220" s="23" t="str">
        <f t="shared" si="7"/>
        <v/>
      </c>
      <c r="V220" s="21" t="str">
        <f t="shared" si="8"/>
        <v>#DIV/0!</v>
      </c>
      <c r="W220" s="24" t="str">
        <f t="shared" si="9"/>
        <v>#DIV/0!</v>
      </c>
      <c r="X220" s="24" t="str">
        <f t="shared" si="10"/>
        <v>#DIV/0!</v>
      </c>
      <c r="Y220" s="21" t="str">
        <f>IF(A220="","",SUMIFS('Labor Log'!$I$2:$I$2001,'Labor Log'!$A$2:$A$2001,A220))</f>
        <v/>
      </c>
      <c r="Z220" s="24" t="str">
        <f t="shared" si="11"/>
        <v>#DIV/0!</v>
      </c>
      <c r="AA220" s="21" t="str">
        <f>IF(A220="","",SUMIFS('Inventory &amp; COGS'!$H$2:$H$2001,'Inventory &amp; COGS'!$A$2:$A$2001,A220,'Inventory &amp; COGS'!$B$2:$B$2001,"Food"))</f>
        <v/>
      </c>
      <c r="AB220" s="21" t="str">
        <f>IF(A220="","",SUMIFS('Inventory &amp; COGS'!$H$2:$H$2001,'Inventory &amp; COGS'!$A$2:$A$2001,A220,'Inventory &amp; COGS'!$B$2:$B$2001,"Beverage"))</f>
        <v/>
      </c>
      <c r="AC220" s="21" t="str">
        <f t="shared" si="12"/>
        <v/>
      </c>
      <c r="AD220" s="24" t="str">
        <f t="shared" ref="AD220:AE220" si="235">IF(I220=0,"",AA220/I220)</f>
        <v/>
      </c>
      <c r="AE220" s="24" t="str">
        <f t="shared" si="235"/>
        <v/>
      </c>
      <c r="AF220" s="21" t="str">
        <f t="shared" si="14"/>
        <v/>
      </c>
      <c r="AG220" s="24" t="str">
        <f t="shared" si="15"/>
        <v>#DIV/0!</v>
      </c>
      <c r="AH220" s="25" t="str">
        <f t="shared" si="16"/>
        <v/>
      </c>
      <c r="AI220" s="25" t="str">
        <f t="shared" si="17"/>
        <v/>
      </c>
      <c r="AJ220" s="26" t="str">
        <f t="shared" si="18"/>
        <v/>
      </c>
    </row>
    <row r="221" ht="15.75" customHeight="1">
      <c r="A221" s="3"/>
      <c r="B221" s="18" t="str">
        <f t="shared" si="2"/>
        <v/>
      </c>
      <c r="C221" s="19"/>
      <c r="D221" s="19"/>
      <c r="E221" s="19"/>
      <c r="F221" s="20"/>
      <c r="G221" s="20"/>
      <c r="H221" s="21" t="str">
        <f t="shared" si="3"/>
        <v/>
      </c>
      <c r="I221" s="20"/>
      <c r="J221" s="20"/>
      <c r="K221" s="20"/>
      <c r="L221" s="20"/>
      <c r="M221" s="21" t="str">
        <f t="shared" si="4"/>
        <v/>
      </c>
      <c r="N221" s="20"/>
      <c r="O221" s="20"/>
      <c r="P221" s="20"/>
      <c r="Q221" s="21" t="str">
        <f t="shared" si="5"/>
        <v/>
      </c>
      <c r="R221" s="21" t="str">
        <f t="shared" si="6"/>
        <v/>
      </c>
      <c r="S221" s="22"/>
      <c r="T221" s="22"/>
      <c r="U221" s="23" t="str">
        <f t="shared" si="7"/>
        <v/>
      </c>
      <c r="V221" s="21" t="str">
        <f t="shared" si="8"/>
        <v>#DIV/0!</v>
      </c>
      <c r="W221" s="24" t="str">
        <f t="shared" si="9"/>
        <v>#DIV/0!</v>
      </c>
      <c r="X221" s="24" t="str">
        <f t="shared" si="10"/>
        <v>#DIV/0!</v>
      </c>
      <c r="Y221" s="21" t="str">
        <f>IF(A221="","",SUMIFS('Labor Log'!$I$2:$I$2001,'Labor Log'!$A$2:$A$2001,A221))</f>
        <v/>
      </c>
      <c r="Z221" s="24" t="str">
        <f t="shared" si="11"/>
        <v>#DIV/0!</v>
      </c>
      <c r="AA221" s="21" t="str">
        <f>IF(A221="","",SUMIFS('Inventory &amp; COGS'!$H$2:$H$2001,'Inventory &amp; COGS'!$A$2:$A$2001,A221,'Inventory &amp; COGS'!$B$2:$B$2001,"Food"))</f>
        <v/>
      </c>
      <c r="AB221" s="21" t="str">
        <f>IF(A221="","",SUMIFS('Inventory &amp; COGS'!$H$2:$H$2001,'Inventory &amp; COGS'!$A$2:$A$2001,A221,'Inventory &amp; COGS'!$B$2:$B$2001,"Beverage"))</f>
        <v/>
      </c>
      <c r="AC221" s="21" t="str">
        <f t="shared" si="12"/>
        <v/>
      </c>
      <c r="AD221" s="24" t="str">
        <f t="shared" ref="AD221:AE221" si="236">IF(I221=0,"",AA221/I221)</f>
        <v/>
      </c>
      <c r="AE221" s="24" t="str">
        <f t="shared" si="236"/>
        <v/>
      </c>
      <c r="AF221" s="21" t="str">
        <f t="shared" si="14"/>
        <v/>
      </c>
      <c r="AG221" s="24" t="str">
        <f t="shared" si="15"/>
        <v>#DIV/0!</v>
      </c>
      <c r="AH221" s="25" t="str">
        <f t="shared" si="16"/>
        <v/>
      </c>
      <c r="AI221" s="25" t="str">
        <f t="shared" si="17"/>
        <v/>
      </c>
      <c r="AJ221" s="26" t="str">
        <f t="shared" si="18"/>
        <v/>
      </c>
    </row>
    <row r="222" ht="15.75" customHeight="1">
      <c r="A222" s="3"/>
      <c r="B222" s="18" t="str">
        <f t="shared" si="2"/>
        <v/>
      </c>
      <c r="C222" s="19"/>
      <c r="D222" s="19"/>
      <c r="E222" s="19"/>
      <c r="F222" s="20"/>
      <c r="G222" s="20"/>
      <c r="H222" s="21" t="str">
        <f t="shared" si="3"/>
        <v/>
      </c>
      <c r="I222" s="20"/>
      <c r="J222" s="20"/>
      <c r="K222" s="20"/>
      <c r="L222" s="20"/>
      <c r="M222" s="21" t="str">
        <f t="shared" si="4"/>
        <v/>
      </c>
      <c r="N222" s="20"/>
      <c r="O222" s="20"/>
      <c r="P222" s="20"/>
      <c r="Q222" s="21" t="str">
        <f t="shared" si="5"/>
        <v/>
      </c>
      <c r="R222" s="21" t="str">
        <f t="shared" si="6"/>
        <v/>
      </c>
      <c r="S222" s="22"/>
      <c r="T222" s="22"/>
      <c r="U222" s="23" t="str">
        <f t="shared" si="7"/>
        <v/>
      </c>
      <c r="V222" s="21" t="str">
        <f t="shared" si="8"/>
        <v>#DIV/0!</v>
      </c>
      <c r="W222" s="24" t="str">
        <f t="shared" si="9"/>
        <v>#DIV/0!</v>
      </c>
      <c r="X222" s="24" t="str">
        <f t="shared" si="10"/>
        <v>#DIV/0!</v>
      </c>
      <c r="Y222" s="21" t="str">
        <f>IF(A222="","",SUMIFS('Labor Log'!$I$2:$I$2001,'Labor Log'!$A$2:$A$2001,A222))</f>
        <v/>
      </c>
      <c r="Z222" s="24" t="str">
        <f t="shared" si="11"/>
        <v>#DIV/0!</v>
      </c>
      <c r="AA222" s="21" t="str">
        <f>IF(A222="","",SUMIFS('Inventory &amp; COGS'!$H$2:$H$2001,'Inventory &amp; COGS'!$A$2:$A$2001,A222,'Inventory &amp; COGS'!$B$2:$B$2001,"Food"))</f>
        <v/>
      </c>
      <c r="AB222" s="21" t="str">
        <f>IF(A222="","",SUMIFS('Inventory &amp; COGS'!$H$2:$H$2001,'Inventory &amp; COGS'!$A$2:$A$2001,A222,'Inventory &amp; COGS'!$B$2:$B$2001,"Beverage"))</f>
        <v/>
      </c>
      <c r="AC222" s="21" t="str">
        <f t="shared" si="12"/>
        <v/>
      </c>
      <c r="AD222" s="24" t="str">
        <f t="shared" ref="AD222:AE222" si="237">IF(I222=0,"",AA222/I222)</f>
        <v/>
      </c>
      <c r="AE222" s="24" t="str">
        <f t="shared" si="237"/>
        <v/>
      </c>
      <c r="AF222" s="21" t="str">
        <f t="shared" si="14"/>
        <v/>
      </c>
      <c r="AG222" s="24" t="str">
        <f t="shared" si="15"/>
        <v>#DIV/0!</v>
      </c>
      <c r="AH222" s="25" t="str">
        <f t="shared" si="16"/>
        <v/>
      </c>
      <c r="AI222" s="25" t="str">
        <f t="shared" si="17"/>
        <v/>
      </c>
      <c r="AJ222" s="26" t="str">
        <f t="shared" si="18"/>
        <v/>
      </c>
    </row>
    <row r="223" ht="15.75" customHeight="1">
      <c r="A223" s="3"/>
      <c r="B223" s="18" t="str">
        <f t="shared" si="2"/>
        <v/>
      </c>
      <c r="C223" s="19"/>
      <c r="D223" s="19"/>
      <c r="E223" s="19"/>
      <c r="F223" s="20"/>
      <c r="G223" s="20"/>
      <c r="H223" s="21" t="str">
        <f t="shared" si="3"/>
        <v/>
      </c>
      <c r="I223" s="20"/>
      <c r="J223" s="20"/>
      <c r="K223" s="20"/>
      <c r="L223" s="20"/>
      <c r="M223" s="21" t="str">
        <f t="shared" si="4"/>
        <v/>
      </c>
      <c r="N223" s="20"/>
      <c r="O223" s="20"/>
      <c r="P223" s="20"/>
      <c r="Q223" s="21" t="str">
        <f t="shared" si="5"/>
        <v/>
      </c>
      <c r="R223" s="21" t="str">
        <f t="shared" si="6"/>
        <v/>
      </c>
      <c r="S223" s="22"/>
      <c r="T223" s="22"/>
      <c r="U223" s="23" t="str">
        <f t="shared" si="7"/>
        <v/>
      </c>
      <c r="V223" s="21" t="str">
        <f t="shared" si="8"/>
        <v>#DIV/0!</v>
      </c>
      <c r="W223" s="24" t="str">
        <f t="shared" si="9"/>
        <v>#DIV/0!</v>
      </c>
      <c r="X223" s="24" t="str">
        <f t="shared" si="10"/>
        <v>#DIV/0!</v>
      </c>
      <c r="Y223" s="21" t="str">
        <f>IF(A223="","",SUMIFS('Labor Log'!$I$2:$I$2001,'Labor Log'!$A$2:$A$2001,A223))</f>
        <v/>
      </c>
      <c r="Z223" s="24" t="str">
        <f t="shared" si="11"/>
        <v>#DIV/0!</v>
      </c>
      <c r="AA223" s="21" t="str">
        <f>IF(A223="","",SUMIFS('Inventory &amp; COGS'!$H$2:$H$2001,'Inventory &amp; COGS'!$A$2:$A$2001,A223,'Inventory &amp; COGS'!$B$2:$B$2001,"Food"))</f>
        <v/>
      </c>
      <c r="AB223" s="21" t="str">
        <f>IF(A223="","",SUMIFS('Inventory &amp; COGS'!$H$2:$H$2001,'Inventory &amp; COGS'!$A$2:$A$2001,A223,'Inventory &amp; COGS'!$B$2:$B$2001,"Beverage"))</f>
        <v/>
      </c>
      <c r="AC223" s="21" t="str">
        <f t="shared" si="12"/>
        <v/>
      </c>
      <c r="AD223" s="24" t="str">
        <f t="shared" ref="AD223:AE223" si="238">IF(I223=0,"",AA223/I223)</f>
        <v/>
      </c>
      <c r="AE223" s="24" t="str">
        <f t="shared" si="238"/>
        <v/>
      </c>
      <c r="AF223" s="21" t="str">
        <f t="shared" si="14"/>
        <v/>
      </c>
      <c r="AG223" s="24" t="str">
        <f t="shared" si="15"/>
        <v>#DIV/0!</v>
      </c>
      <c r="AH223" s="25" t="str">
        <f t="shared" si="16"/>
        <v/>
      </c>
      <c r="AI223" s="25" t="str">
        <f t="shared" si="17"/>
        <v/>
      </c>
      <c r="AJ223" s="26" t="str">
        <f t="shared" si="18"/>
        <v/>
      </c>
    </row>
    <row r="224" ht="15.75" customHeight="1">
      <c r="A224" s="3"/>
      <c r="B224" s="18" t="str">
        <f t="shared" si="2"/>
        <v/>
      </c>
      <c r="C224" s="19"/>
      <c r="D224" s="19"/>
      <c r="E224" s="19"/>
      <c r="F224" s="20"/>
      <c r="G224" s="20"/>
      <c r="H224" s="21" t="str">
        <f t="shared" si="3"/>
        <v/>
      </c>
      <c r="I224" s="20"/>
      <c r="J224" s="20"/>
      <c r="K224" s="20"/>
      <c r="L224" s="20"/>
      <c r="M224" s="21" t="str">
        <f t="shared" si="4"/>
        <v/>
      </c>
      <c r="N224" s="20"/>
      <c r="O224" s="20"/>
      <c r="P224" s="20"/>
      <c r="Q224" s="21" t="str">
        <f t="shared" si="5"/>
        <v/>
      </c>
      <c r="R224" s="21" t="str">
        <f t="shared" si="6"/>
        <v/>
      </c>
      <c r="S224" s="22"/>
      <c r="T224" s="22"/>
      <c r="U224" s="23" t="str">
        <f t="shared" si="7"/>
        <v/>
      </c>
      <c r="V224" s="21" t="str">
        <f t="shared" si="8"/>
        <v>#DIV/0!</v>
      </c>
      <c r="W224" s="24" t="str">
        <f t="shared" si="9"/>
        <v>#DIV/0!</v>
      </c>
      <c r="X224" s="24" t="str">
        <f t="shared" si="10"/>
        <v>#DIV/0!</v>
      </c>
      <c r="Y224" s="21" t="str">
        <f>IF(A224="","",SUMIFS('Labor Log'!$I$2:$I$2001,'Labor Log'!$A$2:$A$2001,A224))</f>
        <v/>
      </c>
      <c r="Z224" s="24" t="str">
        <f t="shared" si="11"/>
        <v>#DIV/0!</v>
      </c>
      <c r="AA224" s="21" t="str">
        <f>IF(A224="","",SUMIFS('Inventory &amp; COGS'!$H$2:$H$2001,'Inventory &amp; COGS'!$A$2:$A$2001,A224,'Inventory &amp; COGS'!$B$2:$B$2001,"Food"))</f>
        <v/>
      </c>
      <c r="AB224" s="21" t="str">
        <f>IF(A224="","",SUMIFS('Inventory &amp; COGS'!$H$2:$H$2001,'Inventory &amp; COGS'!$A$2:$A$2001,A224,'Inventory &amp; COGS'!$B$2:$B$2001,"Beverage"))</f>
        <v/>
      </c>
      <c r="AC224" s="21" t="str">
        <f t="shared" si="12"/>
        <v/>
      </c>
      <c r="AD224" s="24" t="str">
        <f t="shared" ref="AD224:AE224" si="239">IF(I224=0,"",AA224/I224)</f>
        <v/>
      </c>
      <c r="AE224" s="24" t="str">
        <f t="shared" si="239"/>
        <v/>
      </c>
      <c r="AF224" s="21" t="str">
        <f t="shared" si="14"/>
        <v/>
      </c>
      <c r="AG224" s="24" t="str">
        <f t="shared" si="15"/>
        <v>#DIV/0!</v>
      </c>
      <c r="AH224" s="25" t="str">
        <f t="shared" si="16"/>
        <v/>
      </c>
      <c r="AI224" s="25" t="str">
        <f t="shared" si="17"/>
        <v/>
      </c>
      <c r="AJ224" s="26" t="str">
        <f t="shared" si="18"/>
        <v/>
      </c>
    </row>
    <row r="225" ht="15.75" customHeight="1">
      <c r="A225" s="3"/>
      <c r="B225" s="18" t="str">
        <f t="shared" si="2"/>
        <v/>
      </c>
      <c r="C225" s="19"/>
      <c r="D225" s="19"/>
      <c r="E225" s="19"/>
      <c r="F225" s="20"/>
      <c r="G225" s="20"/>
      <c r="H225" s="21" t="str">
        <f t="shared" si="3"/>
        <v/>
      </c>
      <c r="I225" s="20"/>
      <c r="J225" s="20"/>
      <c r="K225" s="20"/>
      <c r="L225" s="20"/>
      <c r="M225" s="21" t="str">
        <f t="shared" si="4"/>
        <v/>
      </c>
      <c r="N225" s="20"/>
      <c r="O225" s="20"/>
      <c r="P225" s="20"/>
      <c r="Q225" s="21" t="str">
        <f t="shared" si="5"/>
        <v/>
      </c>
      <c r="R225" s="21" t="str">
        <f t="shared" si="6"/>
        <v/>
      </c>
      <c r="S225" s="22"/>
      <c r="T225" s="22"/>
      <c r="U225" s="23" t="str">
        <f t="shared" si="7"/>
        <v/>
      </c>
      <c r="V225" s="21" t="str">
        <f t="shared" si="8"/>
        <v>#DIV/0!</v>
      </c>
      <c r="W225" s="24" t="str">
        <f t="shared" si="9"/>
        <v>#DIV/0!</v>
      </c>
      <c r="X225" s="24" t="str">
        <f t="shared" si="10"/>
        <v>#DIV/0!</v>
      </c>
      <c r="Y225" s="21" t="str">
        <f>IF(A225="","",SUMIFS('Labor Log'!$I$2:$I$2001,'Labor Log'!$A$2:$A$2001,A225))</f>
        <v/>
      </c>
      <c r="Z225" s="24" t="str">
        <f t="shared" si="11"/>
        <v>#DIV/0!</v>
      </c>
      <c r="AA225" s="21" t="str">
        <f>IF(A225="","",SUMIFS('Inventory &amp; COGS'!$H$2:$H$2001,'Inventory &amp; COGS'!$A$2:$A$2001,A225,'Inventory &amp; COGS'!$B$2:$B$2001,"Food"))</f>
        <v/>
      </c>
      <c r="AB225" s="21" t="str">
        <f>IF(A225="","",SUMIFS('Inventory &amp; COGS'!$H$2:$H$2001,'Inventory &amp; COGS'!$A$2:$A$2001,A225,'Inventory &amp; COGS'!$B$2:$B$2001,"Beverage"))</f>
        <v/>
      </c>
      <c r="AC225" s="21" t="str">
        <f t="shared" si="12"/>
        <v/>
      </c>
      <c r="AD225" s="24" t="str">
        <f t="shared" ref="AD225:AE225" si="240">IF(I225=0,"",AA225/I225)</f>
        <v/>
      </c>
      <c r="AE225" s="24" t="str">
        <f t="shared" si="240"/>
        <v/>
      </c>
      <c r="AF225" s="21" t="str">
        <f t="shared" si="14"/>
        <v/>
      </c>
      <c r="AG225" s="24" t="str">
        <f t="shared" si="15"/>
        <v>#DIV/0!</v>
      </c>
      <c r="AH225" s="25" t="str">
        <f t="shared" si="16"/>
        <v/>
      </c>
      <c r="AI225" s="25" t="str">
        <f t="shared" si="17"/>
        <v/>
      </c>
      <c r="AJ225" s="26" t="str">
        <f t="shared" si="18"/>
        <v/>
      </c>
    </row>
    <row r="226" ht="15.75" customHeight="1">
      <c r="A226" s="3"/>
      <c r="B226" s="18" t="str">
        <f t="shared" si="2"/>
        <v/>
      </c>
      <c r="C226" s="19"/>
      <c r="D226" s="19"/>
      <c r="E226" s="19"/>
      <c r="F226" s="20"/>
      <c r="G226" s="20"/>
      <c r="H226" s="21" t="str">
        <f t="shared" si="3"/>
        <v/>
      </c>
      <c r="I226" s="20"/>
      <c r="J226" s="20"/>
      <c r="K226" s="20"/>
      <c r="L226" s="20"/>
      <c r="M226" s="21" t="str">
        <f t="shared" si="4"/>
        <v/>
      </c>
      <c r="N226" s="20"/>
      <c r="O226" s="20"/>
      <c r="P226" s="20"/>
      <c r="Q226" s="21" t="str">
        <f t="shared" si="5"/>
        <v/>
      </c>
      <c r="R226" s="21" t="str">
        <f t="shared" si="6"/>
        <v/>
      </c>
      <c r="S226" s="22"/>
      <c r="T226" s="22"/>
      <c r="U226" s="23" t="str">
        <f t="shared" si="7"/>
        <v/>
      </c>
      <c r="V226" s="21" t="str">
        <f t="shared" si="8"/>
        <v>#DIV/0!</v>
      </c>
      <c r="W226" s="24" t="str">
        <f t="shared" si="9"/>
        <v>#DIV/0!</v>
      </c>
      <c r="X226" s="24" t="str">
        <f t="shared" si="10"/>
        <v>#DIV/0!</v>
      </c>
      <c r="Y226" s="21" t="str">
        <f>IF(A226="","",SUMIFS('Labor Log'!$I$2:$I$2001,'Labor Log'!$A$2:$A$2001,A226))</f>
        <v/>
      </c>
      <c r="Z226" s="24" t="str">
        <f t="shared" si="11"/>
        <v>#DIV/0!</v>
      </c>
      <c r="AA226" s="21" t="str">
        <f>IF(A226="","",SUMIFS('Inventory &amp; COGS'!$H$2:$H$2001,'Inventory &amp; COGS'!$A$2:$A$2001,A226,'Inventory &amp; COGS'!$B$2:$B$2001,"Food"))</f>
        <v/>
      </c>
      <c r="AB226" s="21" t="str">
        <f>IF(A226="","",SUMIFS('Inventory &amp; COGS'!$H$2:$H$2001,'Inventory &amp; COGS'!$A$2:$A$2001,A226,'Inventory &amp; COGS'!$B$2:$B$2001,"Beverage"))</f>
        <v/>
      </c>
      <c r="AC226" s="21" t="str">
        <f t="shared" si="12"/>
        <v/>
      </c>
      <c r="AD226" s="24" t="str">
        <f t="shared" ref="AD226:AE226" si="241">IF(I226=0,"",AA226/I226)</f>
        <v/>
      </c>
      <c r="AE226" s="24" t="str">
        <f t="shared" si="241"/>
        <v/>
      </c>
      <c r="AF226" s="21" t="str">
        <f t="shared" si="14"/>
        <v/>
      </c>
      <c r="AG226" s="24" t="str">
        <f t="shared" si="15"/>
        <v>#DIV/0!</v>
      </c>
      <c r="AH226" s="25" t="str">
        <f t="shared" si="16"/>
        <v/>
      </c>
      <c r="AI226" s="25" t="str">
        <f t="shared" si="17"/>
        <v/>
      </c>
      <c r="AJ226" s="26" t="str">
        <f t="shared" si="18"/>
        <v/>
      </c>
    </row>
    <row r="227" ht="15.75" customHeight="1">
      <c r="A227" s="3"/>
      <c r="B227" s="18" t="str">
        <f t="shared" si="2"/>
        <v/>
      </c>
      <c r="C227" s="19"/>
      <c r="D227" s="19"/>
      <c r="E227" s="19"/>
      <c r="F227" s="20"/>
      <c r="G227" s="20"/>
      <c r="H227" s="21" t="str">
        <f t="shared" si="3"/>
        <v/>
      </c>
      <c r="I227" s="20"/>
      <c r="J227" s="20"/>
      <c r="K227" s="20"/>
      <c r="L227" s="20"/>
      <c r="M227" s="21" t="str">
        <f t="shared" si="4"/>
        <v/>
      </c>
      <c r="N227" s="20"/>
      <c r="O227" s="20"/>
      <c r="P227" s="20"/>
      <c r="Q227" s="21" t="str">
        <f t="shared" si="5"/>
        <v/>
      </c>
      <c r="R227" s="21" t="str">
        <f t="shared" si="6"/>
        <v/>
      </c>
      <c r="S227" s="22"/>
      <c r="T227" s="22"/>
      <c r="U227" s="23" t="str">
        <f t="shared" si="7"/>
        <v/>
      </c>
      <c r="V227" s="21" t="str">
        <f t="shared" si="8"/>
        <v>#DIV/0!</v>
      </c>
      <c r="W227" s="24" t="str">
        <f t="shared" si="9"/>
        <v>#DIV/0!</v>
      </c>
      <c r="X227" s="24" t="str">
        <f t="shared" si="10"/>
        <v>#DIV/0!</v>
      </c>
      <c r="Y227" s="21" t="str">
        <f>IF(A227="","",SUMIFS('Labor Log'!$I$2:$I$2001,'Labor Log'!$A$2:$A$2001,A227))</f>
        <v/>
      </c>
      <c r="Z227" s="24" t="str">
        <f t="shared" si="11"/>
        <v>#DIV/0!</v>
      </c>
      <c r="AA227" s="21" t="str">
        <f>IF(A227="","",SUMIFS('Inventory &amp; COGS'!$H$2:$H$2001,'Inventory &amp; COGS'!$A$2:$A$2001,A227,'Inventory &amp; COGS'!$B$2:$B$2001,"Food"))</f>
        <v/>
      </c>
      <c r="AB227" s="21" t="str">
        <f>IF(A227="","",SUMIFS('Inventory &amp; COGS'!$H$2:$H$2001,'Inventory &amp; COGS'!$A$2:$A$2001,A227,'Inventory &amp; COGS'!$B$2:$B$2001,"Beverage"))</f>
        <v/>
      </c>
      <c r="AC227" s="21" t="str">
        <f t="shared" si="12"/>
        <v/>
      </c>
      <c r="AD227" s="24" t="str">
        <f t="shared" ref="AD227:AE227" si="242">IF(I227=0,"",AA227/I227)</f>
        <v/>
      </c>
      <c r="AE227" s="24" t="str">
        <f t="shared" si="242"/>
        <v/>
      </c>
      <c r="AF227" s="21" t="str">
        <f t="shared" si="14"/>
        <v/>
      </c>
      <c r="AG227" s="24" t="str">
        <f t="shared" si="15"/>
        <v>#DIV/0!</v>
      </c>
      <c r="AH227" s="25" t="str">
        <f t="shared" si="16"/>
        <v/>
      </c>
      <c r="AI227" s="25" t="str">
        <f t="shared" si="17"/>
        <v/>
      </c>
      <c r="AJ227" s="26" t="str">
        <f t="shared" si="18"/>
        <v/>
      </c>
    </row>
    <row r="228" ht="15.75" customHeight="1">
      <c r="A228" s="3"/>
      <c r="B228" s="18" t="str">
        <f t="shared" si="2"/>
        <v/>
      </c>
      <c r="C228" s="19"/>
      <c r="D228" s="19"/>
      <c r="E228" s="19"/>
      <c r="F228" s="20"/>
      <c r="G228" s="20"/>
      <c r="H228" s="21" t="str">
        <f t="shared" si="3"/>
        <v/>
      </c>
      <c r="I228" s="20"/>
      <c r="J228" s="20"/>
      <c r="K228" s="20"/>
      <c r="L228" s="20"/>
      <c r="M228" s="21" t="str">
        <f t="shared" si="4"/>
        <v/>
      </c>
      <c r="N228" s="20"/>
      <c r="O228" s="20"/>
      <c r="P228" s="20"/>
      <c r="Q228" s="21" t="str">
        <f t="shared" si="5"/>
        <v/>
      </c>
      <c r="R228" s="21" t="str">
        <f t="shared" si="6"/>
        <v/>
      </c>
      <c r="S228" s="22"/>
      <c r="T228" s="22"/>
      <c r="U228" s="23" t="str">
        <f t="shared" si="7"/>
        <v/>
      </c>
      <c r="V228" s="21" t="str">
        <f t="shared" si="8"/>
        <v>#DIV/0!</v>
      </c>
      <c r="W228" s="24" t="str">
        <f t="shared" si="9"/>
        <v>#DIV/0!</v>
      </c>
      <c r="X228" s="24" t="str">
        <f t="shared" si="10"/>
        <v>#DIV/0!</v>
      </c>
      <c r="Y228" s="21" t="str">
        <f>IF(A228="","",SUMIFS('Labor Log'!$I$2:$I$2001,'Labor Log'!$A$2:$A$2001,A228))</f>
        <v/>
      </c>
      <c r="Z228" s="24" t="str">
        <f t="shared" si="11"/>
        <v>#DIV/0!</v>
      </c>
      <c r="AA228" s="21" t="str">
        <f>IF(A228="","",SUMIFS('Inventory &amp; COGS'!$H$2:$H$2001,'Inventory &amp; COGS'!$A$2:$A$2001,A228,'Inventory &amp; COGS'!$B$2:$B$2001,"Food"))</f>
        <v/>
      </c>
      <c r="AB228" s="21" t="str">
        <f>IF(A228="","",SUMIFS('Inventory &amp; COGS'!$H$2:$H$2001,'Inventory &amp; COGS'!$A$2:$A$2001,A228,'Inventory &amp; COGS'!$B$2:$B$2001,"Beverage"))</f>
        <v/>
      </c>
      <c r="AC228" s="21" t="str">
        <f t="shared" si="12"/>
        <v/>
      </c>
      <c r="AD228" s="24" t="str">
        <f t="shared" ref="AD228:AE228" si="243">IF(I228=0,"",AA228/I228)</f>
        <v/>
      </c>
      <c r="AE228" s="24" t="str">
        <f t="shared" si="243"/>
        <v/>
      </c>
      <c r="AF228" s="21" t="str">
        <f t="shared" si="14"/>
        <v/>
      </c>
      <c r="AG228" s="24" t="str">
        <f t="shared" si="15"/>
        <v>#DIV/0!</v>
      </c>
      <c r="AH228" s="25" t="str">
        <f t="shared" si="16"/>
        <v/>
      </c>
      <c r="AI228" s="25" t="str">
        <f t="shared" si="17"/>
        <v/>
      </c>
      <c r="AJ228" s="26" t="str">
        <f t="shared" si="18"/>
        <v/>
      </c>
    </row>
    <row r="229" ht="15.75" customHeight="1">
      <c r="A229" s="3"/>
      <c r="B229" s="18" t="str">
        <f t="shared" si="2"/>
        <v/>
      </c>
      <c r="C229" s="19"/>
      <c r="D229" s="19"/>
      <c r="E229" s="19"/>
      <c r="F229" s="20"/>
      <c r="G229" s="20"/>
      <c r="H229" s="21" t="str">
        <f t="shared" si="3"/>
        <v/>
      </c>
      <c r="I229" s="20"/>
      <c r="J229" s="20"/>
      <c r="K229" s="20"/>
      <c r="L229" s="20"/>
      <c r="M229" s="21" t="str">
        <f t="shared" si="4"/>
        <v/>
      </c>
      <c r="N229" s="20"/>
      <c r="O229" s="20"/>
      <c r="P229" s="20"/>
      <c r="Q229" s="21" t="str">
        <f t="shared" si="5"/>
        <v/>
      </c>
      <c r="R229" s="21" t="str">
        <f t="shared" si="6"/>
        <v/>
      </c>
      <c r="S229" s="22"/>
      <c r="T229" s="22"/>
      <c r="U229" s="23" t="str">
        <f t="shared" si="7"/>
        <v/>
      </c>
      <c r="V229" s="21" t="str">
        <f t="shared" si="8"/>
        <v>#DIV/0!</v>
      </c>
      <c r="W229" s="24" t="str">
        <f t="shared" si="9"/>
        <v>#DIV/0!</v>
      </c>
      <c r="X229" s="24" t="str">
        <f t="shared" si="10"/>
        <v>#DIV/0!</v>
      </c>
      <c r="Y229" s="21" t="str">
        <f>IF(A229="","",SUMIFS('Labor Log'!$I$2:$I$2001,'Labor Log'!$A$2:$A$2001,A229))</f>
        <v/>
      </c>
      <c r="Z229" s="24" t="str">
        <f t="shared" si="11"/>
        <v>#DIV/0!</v>
      </c>
      <c r="AA229" s="21" t="str">
        <f>IF(A229="","",SUMIFS('Inventory &amp; COGS'!$H$2:$H$2001,'Inventory &amp; COGS'!$A$2:$A$2001,A229,'Inventory &amp; COGS'!$B$2:$B$2001,"Food"))</f>
        <v/>
      </c>
      <c r="AB229" s="21" t="str">
        <f>IF(A229="","",SUMIFS('Inventory &amp; COGS'!$H$2:$H$2001,'Inventory &amp; COGS'!$A$2:$A$2001,A229,'Inventory &amp; COGS'!$B$2:$B$2001,"Beverage"))</f>
        <v/>
      </c>
      <c r="AC229" s="21" t="str">
        <f t="shared" si="12"/>
        <v/>
      </c>
      <c r="AD229" s="24" t="str">
        <f t="shared" ref="AD229:AE229" si="244">IF(I229=0,"",AA229/I229)</f>
        <v/>
      </c>
      <c r="AE229" s="24" t="str">
        <f t="shared" si="244"/>
        <v/>
      </c>
      <c r="AF229" s="21" t="str">
        <f t="shared" si="14"/>
        <v/>
      </c>
      <c r="AG229" s="24" t="str">
        <f t="shared" si="15"/>
        <v>#DIV/0!</v>
      </c>
      <c r="AH229" s="25" t="str">
        <f t="shared" si="16"/>
        <v/>
      </c>
      <c r="AI229" s="25" t="str">
        <f t="shared" si="17"/>
        <v/>
      </c>
      <c r="AJ229" s="26" t="str">
        <f t="shared" si="18"/>
        <v/>
      </c>
    </row>
    <row r="230" ht="15.75" customHeight="1">
      <c r="A230" s="3"/>
      <c r="B230" s="18" t="str">
        <f t="shared" si="2"/>
        <v/>
      </c>
      <c r="C230" s="19"/>
      <c r="D230" s="19"/>
      <c r="E230" s="19"/>
      <c r="F230" s="20"/>
      <c r="G230" s="20"/>
      <c r="H230" s="21" t="str">
        <f t="shared" si="3"/>
        <v/>
      </c>
      <c r="I230" s="20"/>
      <c r="J230" s="20"/>
      <c r="K230" s="20"/>
      <c r="L230" s="20"/>
      <c r="M230" s="21" t="str">
        <f t="shared" si="4"/>
        <v/>
      </c>
      <c r="N230" s="20"/>
      <c r="O230" s="20"/>
      <c r="P230" s="20"/>
      <c r="Q230" s="21" t="str">
        <f t="shared" si="5"/>
        <v/>
      </c>
      <c r="R230" s="21" t="str">
        <f t="shared" si="6"/>
        <v/>
      </c>
      <c r="S230" s="22"/>
      <c r="T230" s="22"/>
      <c r="U230" s="23" t="str">
        <f t="shared" si="7"/>
        <v/>
      </c>
      <c r="V230" s="21" t="str">
        <f t="shared" si="8"/>
        <v>#DIV/0!</v>
      </c>
      <c r="W230" s="24" t="str">
        <f t="shared" si="9"/>
        <v>#DIV/0!</v>
      </c>
      <c r="X230" s="24" t="str">
        <f t="shared" si="10"/>
        <v>#DIV/0!</v>
      </c>
      <c r="Y230" s="21" t="str">
        <f>IF(A230="","",SUMIFS('Labor Log'!$I$2:$I$2001,'Labor Log'!$A$2:$A$2001,A230))</f>
        <v/>
      </c>
      <c r="Z230" s="24" t="str">
        <f t="shared" si="11"/>
        <v>#DIV/0!</v>
      </c>
      <c r="AA230" s="21" t="str">
        <f>IF(A230="","",SUMIFS('Inventory &amp; COGS'!$H$2:$H$2001,'Inventory &amp; COGS'!$A$2:$A$2001,A230,'Inventory &amp; COGS'!$B$2:$B$2001,"Food"))</f>
        <v/>
      </c>
      <c r="AB230" s="21" t="str">
        <f>IF(A230="","",SUMIFS('Inventory &amp; COGS'!$H$2:$H$2001,'Inventory &amp; COGS'!$A$2:$A$2001,A230,'Inventory &amp; COGS'!$B$2:$B$2001,"Beverage"))</f>
        <v/>
      </c>
      <c r="AC230" s="21" t="str">
        <f t="shared" si="12"/>
        <v/>
      </c>
      <c r="AD230" s="24" t="str">
        <f t="shared" ref="AD230:AE230" si="245">IF(I230=0,"",AA230/I230)</f>
        <v/>
      </c>
      <c r="AE230" s="24" t="str">
        <f t="shared" si="245"/>
        <v/>
      </c>
      <c r="AF230" s="21" t="str">
        <f t="shared" si="14"/>
        <v/>
      </c>
      <c r="AG230" s="24" t="str">
        <f t="shared" si="15"/>
        <v>#DIV/0!</v>
      </c>
      <c r="AH230" s="25" t="str">
        <f t="shared" si="16"/>
        <v/>
      </c>
      <c r="AI230" s="25" t="str">
        <f t="shared" si="17"/>
        <v/>
      </c>
      <c r="AJ230" s="26" t="str">
        <f t="shared" si="18"/>
        <v/>
      </c>
    </row>
    <row r="231" ht="15.75" customHeight="1">
      <c r="A231" s="3"/>
      <c r="B231" s="18" t="str">
        <f t="shared" si="2"/>
        <v/>
      </c>
      <c r="C231" s="19"/>
      <c r="D231" s="19"/>
      <c r="E231" s="19"/>
      <c r="F231" s="20"/>
      <c r="G231" s="20"/>
      <c r="H231" s="21" t="str">
        <f t="shared" si="3"/>
        <v/>
      </c>
      <c r="I231" s="20"/>
      <c r="J231" s="20"/>
      <c r="K231" s="20"/>
      <c r="L231" s="20"/>
      <c r="M231" s="21" t="str">
        <f t="shared" si="4"/>
        <v/>
      </c>
      <c r="N231" s="20"/>
      <c r="O231" s="20"/>
      <c r="P231" s="20"/>
      <c r="Q231" s="21" t="str">
        <f t="shared" si="5"/>
        <v/>
      </c>
      <c r="R231" s="21" t="str">
        <f t="shared" si="6"/>
        <v/>
      </c>
      <c r="S231" s="22"/>
      <c r="T231" s="22"/>
      <c r="U231" s="23" t="str">
        <f t="shared" si="7"/>
        <v/>
      </c>
      <c r="V231" s="21" t="str">
        <f t="shared" si="8"/>
        <v>#DIV/0!</v>
      </c>
      <c r="W231" s="24" t="str">
        <f t="shared" si="9"/>
        <v>#DIV/0!</v>
      </c>
      <c r="X231" s="24" t="str">
        <f t="shared" si="10"/>
        <v>#DIV/0!</v>
      </c>
      <c r="Y231" s="21" t="str">
        <f>IF(A231="","",SUMIFS('Labor Log'!$I$2:$I$2001,'Labor Log'!$A$2:$A$2001,A231))</f>
        <v/>
      </c>
      <c r="Z231" s="24" t="str">
        <f t="shared" si="11"/>
        <v>#DIV/0!</v>
      </c>
      <c r="AA231" s="21" t="str">
        <f>IF(A231="","",SUMIFS('Inventory &amp; COGS'!$H$2:$H$2001,'Inventory &amp; COGS'!$A$2:$A$2001,A231,'Inventory &amp; COGS'!$B$2:$B$2001,"Food"))</f>
        <v/>
      </c>
      <c r="AB231" s="21" t="str">
        <f>IF(A231="","",SUMIFS('Inventory &amp; COGS'!$H$2:$H$2001,'Inventory &amp; COGS'!$A$2:$A$2001,A231,'Inventory &amp; COGS'!$B$2:$B$2001,"Beverage"))</f>
        <v/>
      </c>
      <c r="AC231" s="21" t="str">
        <f t="shared" si="12"/>
        <v/>
      </c>
      <c r="AD231" s="24" t="str">
        <f t="shared" ref="AD231:AE231" si="246">IF(I231=0,"",AA231/I231)</f>
        <v/>
      </c>
      <c r="AE231" s="24" t="str">
        <f t="shared" si="246"/>
        <v/>
      </c>
      <c r="AF231" s="21" t="str">
        <f t="shared" si="14"/>
        <v/>
      </c>
      <c r="AG231" s="24" t="str">
        <f t="shared" si="15"/>
        <v>#DIV/0!</v>
      </c>
      <c r="AH231" s="25" t="str">
        <f t="shared" si="16"/>
        <v/>
      </c>
      <c r="AI231" s="25" t="str">
        <f t="shared" si="17"/>
        <v/>
      </c>
      <c r="AJ231" s="26" t="str">
        <f t="shared" si="18"/>
        <v/>
      </c>
    </row>
    <row r="232" ht="15.75" customHeight="1">
      <c r="A232" s="3"/>
      <c r="B232" s="18" t="str">
        <f t="shared" si="2"/>
        <v/>
      </c>
      <c r="C232" s="19"/>
      <c r="D232" s="19"/>
      <c r="E232" s="19"/>
      <c r="F232" s="20"/>
      <c r="G232" s="20"/>
      <c r="H232" s="21" t="str">
        <f t="shared" si="3"/>
        <v/>
      </c>
      <c r="I232" s="20"/>
      <c r="J232" s="20"/>
      <c r="K232" s="20"/>
      <c r="L232" s="20"/>
      <c r="M232" s="21" t="str">
        <f t="shared" si="4"/>
        <v/>
      </c>
      <c r="N232" s="20"/>
      <c r="O232" s="20"/>
      <c r="P232" s="20"/>
      <c r="Q232" s="21" t="str">
        <f t="shared" si="5"/>
        <v/>
      </c>
      <c r="R232" s="21" t="str">
        <f t="shared" si="6"/>
        <v/>
      </c>
      <c r="S232" s="22"/>
      <c r="T232" s="22"/>
      <c r="U232" s="23" t="str">
        <f t="shared" si="7"/>
        <v/>
      </c>
      <c r="V232" s="21" t="str">
        <f t="shared" si="8"/>
        <v>#DIV/0!</v>
      </c>
      <c r="W232" s="24" t="str">
        <f t="shared" si="9"/>
        <v>#DIV/0!</v>
      </c>
      <c r="X232" s="24" t="str">
        <f t="shared" si="10"/>
        <v>#DIV/0!</v>
      </c>
      <c r="Y232" s="21" t="str">
        <f>IF(A232="","",SUMIFS('Labor Log'!$I$2:$I$2001,'Labor Log'!$A$2:$A$2001,A232))</f>
        <v/>
      </c>
      <c r="Z232" s="24" t="str">
        <f t="shared" si="11"/>
        <v>#DIV/0!</v>
      </c>
      <c r="AA232" s="21" t="str">
        <f>IF(A232="","",SUMIFS('Inventory &amp; COGS'!$H$2:$H$2001,'Inventory &amp; COGS'!$A$2:$A$2001,A232,'Inventory &amp; COGS'!$B$2:$B$2001,"Food"))</f>
        <v/>
      </c>
      <c r="AB232" s="21" t="str">
        <f>IF(A232="","",SUMIFS('Inventory &amp; COGS'!$H$2:$H$2001,'Inventory &amp; COGS'!$A$2:$A$2001,A232,'Inventory &amp; COGS'!$B$2:$B$2001,"Beverage"))</f>
        <v/>
      </c>
      <c r="AC232" s="21" t="str">
        <f t="shared" si="12"/>
        <v/>
      </c>
      <c r="AD232" s="24" t="str">
        <f t="shared" ref="AD232:AE232" si="247">IF(I232=0,"",AA232/I232)</f>
        <v/>
      </c>
      <c r="AE232" s="24" t="str">
        <f t="shared" si="247"/>
        <v/>
      </c>
      <c r="AF232" s="21" t="str">
        <f t="shared" si="14"/>
        <v/>
      </c>
      <c r="AG232" s="24" t="str">
        <f t="shared" si="15"/>
        <v>#DIV/0!</v>
      </c>
      <c r="AH232" s="25" t="str">
        <f t="shared" si="16"/>
        <v/>
      </c>
      <c r="AI232" s="25" t="str">
        <f t="shared" si="17"/>
        <v/>
      </c>
      <c r="AJ232" s="26" t="str">
        <f t="shared" si="18"/>
        <v/>
      </c>
    </row>
    <row r="233" ht="15.75" customHeight="1">
      <c r="A233" s="3"/>
      <c r="B233" s="18" t="str">
        <f t="shared" si="2"/>
        <v/>
      </c>
      <c r="C233" s="19"/>
      <c r="D233" s="19"/>
      <c r="E233" s="19"/>
      <c r="F233" s="20"/>
      <c r="G233" s="20"/>
      <c r="H233" s="21" t="str">
        <f t="shared" si="3"/>
        <v/>
      </c>
      <c r="I233" s="20"/>
      <c r="J233" s="20"/>
      <c r="K233" s="20"/>
      <c r="L233" s="20"/>
      <c r="M233" s="21" t="str">
        <f t="shared" si="4"/>
        <v/>
      </c>
      <c r="N233" s="20"/>
      <c r="O233" s="20"/>
      <c r="P233" s="20"/>
      <c r="Q233" s="21" t="str">
        <f t="shared" si="5"/>
        <v/>
      </c>
      <c r="R233" s="21" t="str">
        <f t="shared" si="6"/>
        <v/>
      </c>
      <c r="S233" s="22"/>
      <c r="T233" s="22"/>
      <c r="U233" s="23" t="str">
        <f t="shared" si="7"/>
        <v/>
      </c>
      <c r="V233" s="21" t="str">
        <f t="shared" si="8"/>
        <v>#DIV/0!</v>
      </c>
      <c r="W233" s="24" t="str">
        <f t="shared" si="9"/>
        <v>#DIV/0!</v>
      </c>
      <c r="X233" s="24" t="str">
        <f t="shared" si="10"/>
        <v>#DIV/0!</v>
      </c>
      <c r="Y233" s="21" t="str">
        <f>IF(A233="","",SUMIFS('Labor Log'!$I$2:$I$2001,'Labor Log'!$A$2:$A$2001,A233))</f>
        <v/>
      </c>
      <c r="Z233" s="24" t="str">
        <f t="shared" si="11"/>
        <v>#DIV/0!</v>
      </c>
      <c r="AA233" s="21" t="str">
        <f>IF(A233="","",SUMIFS('Inventory &amp; COGS'!$H$2:$H$2001,'Inventory &amp; COGS'!$A$2:$A$2001,A233,'Inventory &amp; COGS'!$B$2:$B$2001,"Food"))</f>
        <v/>
      </c>
      <c r="AB233" s="21" t="str">
        <f>IF(A233="","",SUMIFS('Inventory &amp; COGS'!$H$2:$H$2001,'Inventory &amp; COGS'!$A$2:$A$2001,A233,'Inventory &amp; COGS'!$B$2:$B$2001,"Beverage"))</f>
        <v/>
      </c>
      <c r="AC233" s="21" t="str">
        <f t="shared" si="12"/>
        <v/>
      </c>
      <c r="AD233" s="24" t="str">
        <f t="shared" ref="AD233:AE233" si="248">IF(I233=0,"",AA233/I233)</f>
        <v/>
      </c>
      <c r="AE233" s="24" t="str">
        <f t="shared" si="248"/>
        <v/>
      </c>
      <c r="AF233" s="21" t="str">
        <f t="shared" si="14"/>
        <v/>
      </c>
      <c r="AG233" s="24" t="str">
        <f t="shared" si="15"/>
        <v>#DIV/0!</v>
      </c>
      <c r="AH233" s="25" t="str">
        <f t="shared" si="16"/>
        <v/>
      </c>
      <c r="AI233" s="25" t="str">
        <f t="shared" si="17"/>
        <v/>
      </c>
      <c r="AJ233" s="26" t="str">
        <f t="shared" si="18"/>
        <v/>
      </c>
    </row>
    <row r="234" ht="15.75" customHeight="1">
      <c r="A234" s="3"/>
      <c r="B234" s="18" t="str">
        <f t="shared" si="2"/>
        <v/>
      </c>
      <c r="C234" s="19"/>
      <c r="D234" s="19"/>
      <c r="E234" s="19"/>
      <c r="F234" s="20"/>
      <c r="G234" s="20"/>
      <c r="H234" s="21" t="str">
        <f t="shared" si="3"/>
        <v/>
      </c>
      <c r="I234" s="20"/>
      <c r="J234" s="20"/>
      <c r="K234" s="20"/>
      <c r="L234" s="20"/>
      <c r="M234" s="21" t="str">
        <f t="shared" si="4"/>
        <v/>
      </c>
      <c r="N234" s="20"/>
      <c r="O234" s="20"/>
      <c r="P234" s="20"/>
      <c r="Q234" s="21" t="str">
        <f t="shared" si="5"/>
        <v/>
      </c>
      <c r="R234" s="21" t="str">
        <f t="shared" si="6"/>
        <v/>
      </c>
      <c r="S234" s="22"/>
      <c r="T234" s="22"/>
      <c r="U234" s="23" t="str">
        <f t="shared" si="7"/>
        <v/>
      </c>
      <c r="V234" s="21" t="str">
        <f t="shared" si="8"/>
        <v>#DIV/0!</v>
      </c>
      <c r="W234" s="24" t="str">
        <f t="shared" si="9"/>
        <v>#DIV/0!</v>
      </c>
      <c r="X234" s="24" t="str">
        <f t="shared" si="10"/>
        <v>#DIV/0!</v>
      </c>
      <c r="Y234" s="21" t="str">
        <f>IF(A234="","",SUMIFS('Labor Log'!$I$2:$I$2001,'Labor Log'!$A$2:$A$2001,A234))</f>
        <v/>
      </c>
      <c r="Z234" s="24" t="str">
        <f t="shared" si="11"/>
        <v>#DIV/0!</v>
      </c>
      <c r="AA234" s="21" t="str">
        <f>IF(A234="","",SUMIFS('Inventory &amp; COGS'!$H$2:$H$2001,'Inventory &amp; COGS'!$A$2:$A$2001,A234,'Inventory &amp; COGS'!$B$2:$B$2001,"Food"))</f>
        <v/>
      </c>
      <c r="AB234" s="21" t="str">
        <f>IF(A234="","",SUMIFS('Inventory &amp; COGS'!$H$2:$H$2001,'Inventory &amp; COGS'!$A$2:$A$2001,A234,'Inventory &amp; COGS'!$B$2:$B$2001,"Beverage"))</f>
        <v/>
      </c>
      <c r="AC234" s="21" t="str">
        <f t="shared" si="12"/>
        <v/>
      </c>
      <c r="AD234" s="24" t="str">
        <f t="shared" ref="AD234:AE234" si="249">IF(I234=0,"",AA234/I234)</f>
        <v/>
      </c>
      <c r="AE234" s="24" t="str">
        <f t="shared" si="249"/>
        <v/>
      </c>
      <c r="AF234" s="21" t="str">
        <f t="shared" si="14"/>
        <v/>
      </c>
      <c r="AG234" s="24" t="str">
        <f t="shared" si="15"/>
        <v>#DIV/0!</v>
      </c>
      <c r="AH234" s="25" t="str">
        <f t="shared" si="16"/>
        <v/>
      </c>
      <c r="AI234" s="25" t="str">
        <f t="shared" si="17"/>
        <v/>
      </c>
      <c r="AJ234" s="26" t="str">
        <f t="shared" si="18"/>
        <v/>
      </c>
    </row>
    <row r="235" ht="15.75" customHeight="1">
      <c r="A235" s="3"/>
      <c r="B235" s="18" t="str">
        <f t="shared" si="2"/>
        <v/>
      </c>
      <c r="C235" s="19"/>
      <c r="D235" s="19"/>
      <c r="E235" s="19"/>
      <c r="F235" s="20"/>
      <c r="G235" s="20"/>
      <c r="H235" s="21" t="str">
        <f t="shared" si="3"/>
        <v/>
      </c>
      <c r="I235" s="20"/>
      <c r="J235" s="20"/>
      <c r="K235" s="20"/>
      <c r="L235" s="20"/>
      <c r="M235" s="21" t="str">
        <f t="shared" si="4"/>
        <v/>
      </c>
      <c r="N235" s="20"/>
      <c r="O235" s="20"/>
      <c r="P235" s="20"/>
      <c r="Q235" s="21" t="str">
        <f t="shared" si="5"/>
        <v/>
      </c>
      <c r="R235" s="21" t="str">
        <f t="shared" si="6"/>
        <v/>
      </c>
      <c r="S235" s="22"/>
      <c r="T235" s="22"/>
      <c r="U235" s="23" t="str">
        <f t="shared" si="7"/>
        <v/>
      </c>
      <c r="V235" s="21" t="str">
        <f t="shared" si="8"/>
        <v>#DIV/0!</v>
      </c>
      <c r="W235" s="24" t="str">
        <f t="shared" si="9"/>
        <v>#DIV/0!</v>
      </c>
      <c r="X235" s="24" t="str">
        <f t="shared" si="10"/>
        <v>#DIV/0!</v>
      </c>
      <c r="Y235" s="21" t="str">
        <f>IF(A235="","",SUMIFS('Labor Log'!$I$2:$I$2001,'Labor Log'!$A$2:$A$2001,A235))</f>
        <v/>
      </c>
      <c r="Z235" s="24" t="str">
        <f t="shared" si="11"/>
        <v>#DIV/0!</v>
      </c>
      <c r="AA235" s="21" t="str">
        <f>IF(A235="","",SUMIFS('Inventory &amp; COGS'!$H$2:$H$2001,'Inventory &amp; COGS'!$A$2:$A$2001,A235,'Inventory &amp; COGS'!$B$2:$B$2001,"Food"))</f>
        <v/>
      </c>
      <c r="AB235" s="21" t="str">
        <f>IF(A235="","",SUMIFS('Inventory &amp; COGS'!$H$2:$H$2001,'Inventory &amp; COGS'!$A$2:$A$2001,A235,'Inventory &amp; COGS'!$B$2:$B$2001,"Beverage"))</f>
        <v/>
      </c>
      <c r="AC235" s="21" t="str">
        <f t="shared" si="12"/>
        <v/>
      </c>
      <c r="AD235" s="24" t="str">
        <f t="shared" ref="AD235:AE235" si="250">IF(I235=0,"",AA235/I235)</f>
        <v/>
      </c>
      <c r="AE235" s="24" t="str">
        <f t="shared" si="250"/>
        <v/>
      </c>
      <c r="AF235" s="21" t="str">
        <f t="shared" si="14"/>
        <v/>
      </c>
      <c r="AG235" s="24" t="str">
        <f t="shared" si="15"/>
        <v>#DIV/0!</v>
      </c>
      <c r="AH235" s="25" t="str">
        <f t="shared" si="16"/>
        <v/>
      </c>
      <c r="AI235" s="25" t="str">
        <f t="shared" si="17"/>
        <v/>
      </c>
      <c r="AJ235" s="26" t="str">
        <f t="shared" si="18"/>
        <v/>
      </c>
    </row>
    <row r="236" ht="15.75" customHeight="1">
      <c r="A236" s="3"/>
      <c r="B236" s="18" t="str">
        <f t="shared" si="2"/>
        <v/>
      </c>
      <c r="C236" s="19"/>
      <c r="D236" s="19"/>
      <c r="E236" s="19"/>
      <c r="F236" s="20"/>
      <c r="G236" s="20"/>
      <c r="H236" s="21" t="str">
        <f t="shared" si="3"/>
        <v/>
      </c>
      <c r="I236" s="20"/>
      <c r="J236" s="20"/>
      <c r="K236" s="20"/>
      <c r="L236" s="20"/>
      <c r="M236" s="21" t="str">
        <f t="shared" si="4"/>
        <v/>
      </c>
      <c r="N236" s="20"/>
      <c r="O236" s="20"/>
      <c r="P236" s="20"/>
      <c r="Q236" s="21" t="str">
        <f t="shared" si="5"/>
        <v/>
      </c>
      <c r="R236" s="21" t="str">
        <f t="shared" si="6"/>
        <v/>
      </c>
      <c r="S236" s="22"/>
      <c r="T236" s="22"/>
      <c r="U236" s="23" t="str">
        <f t="shared" si="7"/>
        <v/>
      </c>
      <c r="V236" s="21" t="str">
        <f t="shared" si="8"/>
        <v>#DIV/0!</v>
      </c>
      <c r="W236" s="24" t="str">
        <f t="shared" si="9"/>
        <v>#DIV/0!</v>
      </c>
      <c r="X236" s="24" t="str">
        <f t="shared" si="10"/>
        <v>#DIV/0!</v>
      </c>
      <c r="Y236" s="21" t="str">
        <f>IF(A236="","",SUMIFS('Labor Log'!$I$2:$I$2001,'Labor Log'!$A$2:$A$2001,A236))</f>
        <v/>
      </c>
      <c r="Z236" s="24" t="str">
        <f t="shared" si="11"/>
        <v>#DIV/0!</v>
      </c>
      <c r="AA236" s="21" t="str">
        <f>IF(A236="","",SUMIFS('Inventory &amp; COGS'!$H$2:$H$2001,'Inventory &amp; COGS'!$A$2:$A$2001,A236,'Inventory &amp; COGS'!$B$2:$B$2001,"Food"))</f>
        <v/>
      </c>
      <c r="AB236" s="21" t="str">
        <f>IF(A236="","",SUMIFS('Inventory &amp; COGS'!$H$2:$H$2001,'Inventory &amp; COGS'!$A$2:$A$2001,A236,'Inventory &amp; COGS'!$B$2:$B$2001,"Beverage"))</f>
        <v/>
      </c>
      <c r="AC236" s="21" t="str">
        <f t="shared" si="12"/>
        <v/>
      </c>
      <c r="AD236" s="24" t="str">
        <f t="shared" ref="AD236:AE236" si="251">IF(I236=0,"",AA236/I236)</f>
        <v/>
      </c>
      <c r="AE236" s="24" t="str">
        <f t="shared" si="251"/>
        <v/>
      </c>
      <c r="AF236" s="21" t="str">
        <f t="shared" si="14"/>
        <v/>
      </c>
      <c r="AG236" s="24" t="str">
        <f t="shared" si="15"/>
        <v>#DIV/0!</v>
      </c>
      <c r="AH236" s="25" t="str">
        <f t="shared" si="16"/>
        <v/>
      </c>
      <c r="AI236" s="25" t="str">
        <f t="shared" si="17"/>
        <v/>
      </c>
      <c r="AJ236" s="26" t="str">
        <f t="shared" si="18"/>
        <v/>
      </c>
    </row>
    <row r="237" ht="15.75" customHeight="1">
      <c r="A237" s="3"/>
      <c r="B237" s="18" t="str">
        <f t="shared" si="2"/>
        <v/>
      </c>
      <c r="C237" s="19"/>
      <c r="D237" s="19"/>
      <c r="E237" s="19"/>
      <c r="F237" s="20"/>
      <c r="G237" s="20"/>
      <c r="H237" s="21" t="str">
        <f t="shared" si="3"/>
        <v/>
      </c>
      <c r="I237" s="20"/>
      <c r="J237" s="20"/>
      <c r="K237" s="20"/>
      <c r="L237" s="20"/>
      <c r="M237" s="21" t="str">
        <f t="shared" si="4"/>
        <v/>
      </c>
      <c r="N237" s="20"/>
      <c r="O237" s="20"/>
      <c r="P237" s="20"/>
      <c r="Q237" s="21" t="str">
        <f t="shared" si="5"/>
        <v/>
      </c>
      <c r="R237" s="21" t="str">
        <f t="shared" si="6"/>
        <v/>
      </c>
      <c r="S237" s="22"/>
      <c r="T237" s="22"/>
      <c r="U237" s="23" t="str">
        <f t="shared" si="7"/>
        <v/>
      </c>
      <c r="V237" s="21" t="str">
        <f t="shared" si="8"/>
        <v>#DIV/0!</v>
      </c>
      <c r="W237" s="24" t="str">
        <f t="shared" si="9"/>
        <v>#DIV/0!</v>
      </c>
      <c r="X237" s="24" t="str">
        <f t="shared" si="10"/>
        <v>#DIV/0!</v>
      </c>
      <c r="Y237" s="21" t="str">
        <f>IF(A237="","",SUMIFS('Labor Log'!$I$2:$I$2001,'Labor Log'!$A$2:$A$2001,A237))</f>
        <v/>
      </c>
      <c r="Z237" s="24" t="str">
        <f t="shared" si="11"/>
        <v>#DIV/0!</v>
      </c>
      <c r="AA237" s="21" t="str">
        <f>IF(A237="","",SUMIFS('Inventory &amp; COGS'!$H$2:$H$2001,'Inventory &amp; COGS'!$A$2:$A$2001,A237,'Inventory &amp; COGS'!$B$2:$B$2001,"Food"))</f>
        <v/>
      </c>
      <c r="AB237" s="21" t="str">
        <f>IF(A237="","",SUMIFS('Inventory &amp; COGS'!$H$2:$H$2001,'Inventory &amp; COGS'!$A$2:$A$2001,A237,'Inventory &amp; COGS'!$B$2:$B$2001,"Beverage"))</f>
        <v/>
      </c>
      <c r="AC237" s="21" t="str">
        <f t="shared" si="12"/>
        <v/>
      </c>
      <c r="AD237" s="24" t="str">
        <f t="shared" ref="AD237:AE237" si="252">IF(I237=0,"",AA237/I237)</f>
        <v/>
      </c>
      <c r="AE237" s="24" t="str">
        <f t="shared" si="252"/>
        <v/>
      </c>
      <c r="AF237" s="21" t="str">
        <f t="shared" si="14"/>
        <v/>
      </c>
      <c r="AG237" s="24" t="str">
        <f t="shared" si="15"/>
        <v>#DIV/0!</v>
      </c>
      <c r="AH237" s="25" t="str">
        <f t="shared" si="16"/>
        <v/>
      </c>
      <c r="AI237" s="25" t="str">
        <f t="shared" si="17"/>
        <v/>
      </c>
      <c r="AJ237" s="26" t="str">
        <f t="shared" si="18"/>
        <v/>
      </c>
    </row>
    <row r="238" ht="15.75" customHeight="1">
      <c r="A238" s="3"/>
      <c r="B238" s="18" t="str">
        <f t="shared" si="2"/>
        <v/>
      </c>
      <c r="C238" s="19"/>
      <c r="D238" s="19"/>
      <c r="E238" s="19"/>
      <c r="F238" s="20"/>
      <c r="G238" s="20"/>
      <c r="H238" s="21" t="str">
        <f t="shared" si="3"/>
        <v/>
      </c>
      <c r="I238" s="20"/>
      <c r="J238" s="20"/>
      <c r="K238" s="20"/>
      <c r="L238" s="20"/>
      <c r="M238" s="21" t="str">
        <f t="shared" si="4"/>
        <v/>
      </c>
      <c r="N238" s="20"/>
      <c r="O238" s="20"/>
      <c r="P238" s="20"/>
      <c r="Q238" s="21" t="str">
        <f t="shared" si="5"/>
        <v/>
      </c>
      <c r="R238" s="21" t="str">
        <f t="shared" si="6"/>
        <v/>
      </c>
      <c r="S238" s="22"/>
      <c r="T238" s="22"/>
      <c r="U238" s="23" t="str">
        <f t="shared" si="7"/>
        <v/>
      </c>
      <c r="V238" s="21" t="str">
        <f t="shared" si="8"/>
        <v>#DIV/0!</v>
      </c>
      <c r="W238" s="24" t="str">
        <f t="shared" si="9"/>
        <v>#DIV/0!</v>
      </c>
      <c r="X238" s="24" t="str">
        <f t="shared" si="10"/>
        <v>#DIV/0!</v>
      </c>
      <c r="Y238" s="21" t="str">
        <f>IF(A238="","",SUMIFS('Labor Log'!$I$2:$I$2001,'Labor Log'!$A$2:$A$2001,A238))</f>
        <v/>
      </c>
      <c r="Z238" s="24" t="str">
        <f t="shared" si="11"/>
        <v>#DIV/0!</v>
      </c>
      <c r="AA238" s="21" t="str">
        <f>IF(A238="","",SUMIFS('Inventory &amp; COGS'!$H$2:$H$2001,'Inventory &amp; COGS'!$A$2:$A$2001,A238,'Inventory &amp; COGS'!$B$2:$B$2001,"Food"))</f>
        <v/>
      </c>
      <c r="AB238" s="21" t="str">
        <f>IF(A238="","",SUMIFS('Inventory &amp; COGS'!$H$2:$H$2001,'Inventory &amp; COGS'!$A$2:$A$2001,A238,'Inventory &amp; COGS'!$B$2:$B$2001,"Beverage"))</f>
        <v/>
      </c>
      <c r="AC238" s="21" t="str">
        <f t="shared" si="12"/>
        <v/>
      </c>
      <c r="AD238" s="24" t="str">
        <f t="shared" ref="AD238:AE238" si="253">IF(I238=0,"",AA238/I238)</f>
        <v/>
      </c>
      <c r="AE238" s="24" t="str">
        <f t="shared" si="253"/>
        <v/>
      </c>
      <c r="AF238" s="21" t="str">
        <f t="shared" si="14"/>
        <v/>
      </c>
      <c r="AG238" s="24" t="str">
        <f t="shared" si="15"/>
        <v>#DIV/0!</v>
      </c>
      <c r="AH238" s="25" t="str">
        <f t="shared" si="16"/>
        <v/>
      </c>
      <c r="AI238" s="25" t="str">
        <f t="shared" si="17"/>
        <v/>
      </c>
      <c r="AJ238" s="26" t="str">
        <f t="shared" si="18"/>
        <v/>
      </c>
    </row>
    <row r="239" ht="15.75" customHeight="1">
      <c r="A239" s="3"/>
      <c r="B239" s="18" t="str">
        <f t="shared" si="2"/>
        <v/>
      </c>
      <c r="C239" s="19"/>
      <c r="D239" s="19"/>
      <c r="E239" s="19"/>
      <c r="F239" s="20"/>
      <c r="G239" s="20"/>
      <c r="H239" s="21" t="str">
        <f t="shared" si="3"/>
        <v/>
      </c>
      <c r="I239" s="20"/>
      <c r="J239" s="20"/>
      <c r="K239" s="20"/>
      <c r="L239" s="20"/>
      <c r="M239" s="21" t="str">
        <f t="shared" si="4"/>
        <v/>
      </c>
      <c r="N239" s="20"/>
      <c r="O239" s="20"/>
      <c r="P239" s="20"/>
      <c r="Q239" s="21" t="str">
        <f t="shared" si="5"/>
        <v/>
      </c>
      <c r="R239" s="21" t="str">
        <f t="shared" si="6"/>
        <v/>
      </c>
      <c r="S239" s="22"/>
      <c r="T239" s="22"/>
      <c r="U239" s="23" t="str">
        <f t="shared" si="7"/>
        <v/>
      </c>
      <c r="V239" s="21" t="str">
        <f t="shared" si="8"/>
        <v>#DIV/0!</v>
      </c>
      <c r="W239" s="24" t="str">
        <f t="shared" si="9"/>
        <v>#DIV/0!</v>
      </c>
      <c r="X239" s="24" t="str">
        <f t="shared" si="10"/>
        <v>#DIV/0!</v>
      </c>
      <c r="Y239" s="21" t="str">
        <f>IF(A239="","",SUMIFS('Labor Log'!$I$2:$I$2001,'Labor Log'!$A$2:$A$2001,A239))</f>
        <v/>
      </c>
      <c r="Z239" s="24" t="str">
        <f t="shared" si="11"/>
        <v>#DIV/0!</v>
      </c>
      <c r="AA239" s="21" t="str">
        <f>IF(A239="","",SUMIFS('Inventory &amp; COGS'!$H$2:$H$2001,'Inventory &amp; COGS'!$A$2:$A$2001,A239,'Inventory &amp; COGS'!$B$2:$B$2001,"Food"))</f>
        <v/>
      </c>
      <c r="AB239" s="21" t="str">
        <f>IF(A239="","",SUMIFS('Inventory &amp; COGS'!$H$2:$H$2001,'Inventory &amp; COGS'!$A$2:$A$2001,A239,'Inventory &amp; COGS'!$B$2:$B$2001,"Beverage"))</f>
        <v/>
      </c>
      <c r="AC239" s="21" t="str">
        <f t="shared" si="12"/>
        <v/>
      </c>
      <c r="AD239" s="24" t="str">
        <f t="shared" ref="AD239:AE239" si="254">IF(I239=0,"",AA239/I239)</f>
        <v/>
      </c>
      <c r="AE239" s="24" t="str">
        <f t="shared" si="254"/>
        <v/>
      </c>
      <c r="AF239" s="21" t="str">
        <f t="shared" si="14"/>
        <v/>
      </c>
      <c r="AG239" s="24" t="str">
        <f t="shared" si="15"/>
        <v>#DIV/0!</v>
      </c>
      <c r="AH239" s="25" t="str">
        <f t="shared" si="16"/>
        <v/>
      </c>
      <c r="AI239" s="25" t="str">
        <f t="shared" si="17"/>
        <v/>
      </c>
      <c r="AJ239" s="26" t="str">
        <f t="shared" si="18"/>
        <v/>
      </c>
    </row>
    <row r="240" ht="15.75" customHeight="1">
      <c r="A240" s="3"/>
      <c r="B240" s="18" t="str">
        <f t="shared" si="2"/>
        <v/>
      </c>
      <c r="C240" s="19"/>
      <c r="D240" s="19"/>
      <c r="E240" s="19"/>
      <c r="F240" s="20"/>
      <c r="G240" s="20"/>
      <c r="H240" s="21" t="str">
        <f t="shared" si="3"/>
        <v/>
      </c>
      <c r="I240" s="20"/>
      <c r="J240" s="20"/>
      <c r="K240" s="20"/>
      <c r="L240" s="20"/>
      <c r="M240" s="21" t="str">
        <f t="shared" si="4"/>
        <v/>
      </c>
      <c r="N240" s="20"/>
      <c r="O240" s="20"/>
      <c r="P240" s="20"/>
      <c r="Q240" s="21" t="str">
        <f t="shared" si="5"/>
        <v/>
      </c>
      <c r="R240" s="21" t="str">
        <f t="shared" si="6"/>
        <v/>
      </c>
      <c r="S240" s="22"/>
      <c r="T240" s="22"/>
      <c r="U240" s="23" t="str">
        <f t="shared" si="7"/>
        <v/>
      </c>
      <c r="V240" s="21" t="str">
        <f t="shared" si="8"/>
        <v>#DIV/0!</v>
      </c>
      <c r="W240" s="24" t="str">
        <f t="shared" si="9"/>
        <v>#DIV/0!</v>
      </c>
      <c r="X240" s="24" t="str">
        <f t="shared" si="10"/>
        <v>#DIV/0!</v>
      </c>
      <c r="Y240" s="21" t="str">
        <f>IF(A240="","",SUMIFS('Labor Log'!$I$2:$I$2001,'Labor Log'!$A$2:$A$2001,A240))</f>
        <v/>
      </c>
      <c r="Z240" s="24" t="str">
        <f t="shared" si="11"/>
        <v>#DIV/0!</v>
      </c>
      <c r="AA240" s="21" t="str">
        <f>IF(A240="","",SUMIFS('Inventory &amp; COGS'!$H$2:$H$2001,'Inventory &amp; COGS'!$A$2:$A$2001,A240,'Inventory &amp; COGS'!$B$2:$B$2001,"Food"))</f>
        <v/>
      </c>
      <c r="AB240" s="21" t="str">
        <f>IF(A240="","",SUMIFS('Inventory &amp; COGS'!$H$2:$H$2001,'Inventory &amp; COGS'!$A$2:$A$2001,A240,'Inventory &amp; COGS'!$B$2:$B$2001,"Beverage"))</f>
        <v/>
      </c>
      <c r="AC240" s="21" t="str">
        <f t="shared" si="12"/>
        <v/>
      </c>
      <c r="AD240" s="24" t="str">
        <f t="shared" ref="AD240:AE240" si="255">IF(I240=0,"",AA240/I240)</f>
        <v/>
      </c>
      <c r="AE240" s="24" t="str">
        <f t="shared" si="255"/>
        <v/>
      </c>
      <c r="AF240" s="21" t="str">
        <f t="shared" si="14"/>
        <v/>
      </c>
      <c r="AG240" s="24" t="str">
        <f t="shared" si="15"/>
        <v>#DIV/0!</v>
      </c>
      <c r="AH240" s="25" t="str">
        <f t="shared" si="16"/>
        <v/>
      </c>
      <c r="AI240" s="25" t="str">
        <f t="shared" si="17"/>
        <v/>
      </c>
      <c r="AJ240" s="26" t="str">
        <f t="shared" si="18"/>
        <v/>
      </c>
    </row>
    <row r="241" ht="15.75" customHeight="1">
      <c r="A241" s="3"/>
      <c r="B241" s="18" t="str">
        <f t="shared" si="2"/>
        <v/>
      </c>
      <c r="C241" s="19"/>
      <c r="D241" s="19"/>
      <c r="E241" s="19"/>
      <c r="F241" s="20"/>
      <c r="G241" s="20"/>
      <c r="H241" s="21" t="str">
        <f t="shared" si="3"/>
        <v/>
      </c>
      <c r="I241" s="20"/>
      <c r="J241" s="20"/>
      <c r="K241" s="20"/>
      <c r="L241" s="20"/>
      <c r="M241" s="21" t="str">
        <f t="shared" si="4"/>
        <v/>
      </c>
      <c r="N241" s="20"/>
      <c r="O241" s="20"/>
      <c r="P241" s="20"/>
      <c r="Q241" s="21" t="str">
        <f t="shared" si="5"/>
        <v/>
      </c>
      <c r="R241" s="21" t="str">
        <f t="shared" si="6"/>
        <v/>
      </c>
      <c r="S241" s="22"/>
      <c r="T241" s="22"/>
      <c r="U241" s="23" t="str">
        <f t="shared" si="7"/>
        <v/>
      </c>
      <c r="V241" s="21" t="str">
        <f t="shared" si="8"/>
        <v>#DIV/0!</v>
      </c>
      <c r="W241" s="24" t="str">
        <f t="shared" si="9"/>
        <v>#DIV/0!</v>
      </c>
      <c r="X241" s="24" t="str">
        <f t="shared" si="10"/>
        <v>#DIV/0!</v>
      </c>
      <c r="Y241" s="21" t="str">
        <f>IF(A241="","",SUMIFS('Labor Log'!$I$2:$I$2001,'Labor Log'!$A$2:$A$2001,A241))</f>
        <v/>
      </c>
      <c r="Z241" s="24" t="str">
        <f t="shared" si="11"/>
        <v>#DIV/0!</v>
      </c>
      <c r="AA241" s="21" t="str">
        <f>IF(A241="","",SUMIFS('Inventory &amp; COGS'!$H$2:$H$2001,'Inventory &amp; COGS'!$A$2:$A$2001,A241,'Inventory &amp; COGS'!$B$2:$B$2001,"Food"))</f>
        <v/>
      </c>
      <c r="AB241" s="21" t="str">
        <f>IF(A241="","",SUMIFS('Inventory &amp; COGS'!$H$2:$H$2001,'Inventory &amp; COGS'!$A$2:$A$2001,A241,'Inventory &amp; COGS'!$B$2:$B$2001,"Beverage"))</f>
        <v/>
      </c>
      <c r="AC241" s="21" t="str">
        <f t="shared" si="12"/>
        <v/>
      </c>
      <c r="AD241" s="24" t="str">
        <f t="shared" ref="AD241:AE241" si="256">IF(I241=0,"",AA241/I241)</f>
        <v/>
      </c>
      <c r="AE241" s="24" t="str">
        <f t="shared" si="256"/>
        <v/>
      </c>
      <c r="AF241" s="21" t="str">
        <f t="shared" si="14"/>
        <v/>
      </c>
      <c r="AG241" s="24" t="str">
        <f t="shared" si="15"/>
        <v>#DIV/0!</v>
      </c>
      <c r="AH241" s="25" t="str">
        <f t="shared" si="16"/>
        <v/>
      </c>
      <c r="AI241" s="25" t="str">
        <f t="shared" si="17"/>
        <v/>
      </c>
      <c r="AJ241" s="26" t="str">
        <f t="shared" si="18"/>
        <v/>
      </c>
    </row>
    <row r="242" ht="15.75" customHeight="1">
      <c r="A242" s="3"/>
      <c r="B242" s="18" t="str">
        <f t="shared" si="2"/>
        <v/>
      </c>
      <c r="C242" s="19"/>
      <c r="D242" s="19"/>
      <c r="E242" s="19"/>
      <c r="F242" s="20"/>
      <c r="G242" s="20"/>
      <c r="H242" s="21" t="str">
        <f t="shared" si="3"/>
        <v/>
      </c>
      <c r="I242" s="20"/>
      <c r="J242" s="20"/>
      <c r="K242" s="20"/>
      <c r="L242" s="20"/>
      <c r="M242" s="21" t="str">
        <f t="shared" si="4"/>
        <v/>
      </c>
      <c r="N242" s="20"/>
      <c r="O242" s="20"/>
      <c r="P242" s="20"/>
      <c r="Q242" s="21" t="str">
        <f t="shared" si="5"/>
        <v/>
      </c>
      <c r="R242" s="21" t="str">
        <f t="shared" si="6"/>
        <v/>
      </c>
      <c r="S242" s="22"/>
      <c r="T242" s="22"/>
      <c r="U242" s="23" t="str">
        <f t="shared" si="7"/>
        <v/>
      </c>
      <c r="V242" s="21" t="str">
        <f t="shared" si="8"/>
        <v>#DIV/0!</v>
      </c>
      <c r="W242" s="24" t="str">
        <f t="shared" si="9"/>
        <v>#DIV/0!</v>
      </c>
      <c r="X242" s="24" t="str">
        <f t="shared" si="10"/>
        <v>#DIV/0!</v>
      </c>
      <c r="Y242" s="21" t="str">
        <f>IF(A242="","",SUMIFS('Labor Log'!$I$2:$I$2001,'Labor Log'!$A$2:$A$2001,A242))</f>
        <v/>
      </c>
      <c r="Z242" s="24" t="str">
        <f t="shared" si="11"/>
        <v>#DIV/0!</v>
      </c>
      <c r="AA242" s="21" t="str">
        <f>IF(A242="","",SUMIFS('Inventory &amp; COGS'!$H$2:$H$2001,'Inventory &amp; COGS'!$A$2:$A$2001,A242,'Inventory &amp; COGS'!$B$2:$B$2001,"Food"))</f>
        <v/>
      </c>
      <c r="AB242" s="21" t="str">
        <f>IF(A242="","",SUMIFS('Inventory &amp; COGS'!$H$2:$H$2001,'Inventory &amp; COGS'!$A$2:$A$2001,A242,'Inventory &amp; COGS'!$B$2:$B$2001,"Beverage"))</f>
        <v/>
      </c>
      <c r="AC242" s="21" t="str">
        <f t="shared" si="12"/>
        <v/>
      </c>
      <c r="AD242" s="24" t="str">
        <f t="shared" ref="AD242:AE242" si="257">IF(I242=0,"",AA242/I242)</f>
        <v/>
      </c>
      <c r="AE242" s="24" t="str">
        <f t="shared" si="257"/>
        <v/>
      </c>
      <c r="AF242" s="21" t="str">
        <f t="shared" si="14"/>
        <v/>
      </c>
      <c r="AG242" s="24" t="str">
        <f t="shared" si="15"/>
        <v>#DIV/0!</v>
      </c>
      <c r="AH242" s="25" t="str">
        <f t="shared" si="16"/>
        <v/>
      </c>
      <c r="AI242" s="25" t="str">
        <f t="shared" si="17"/>
        <v/>
      </c>
      <c r="AJ242" s="26" t="str">
        <f t="shared" si="18"/>
        <v/>
      </c>
    </row>
    <row r="243" ht="15.75" customHeight="1">
      <c r="A243" s="3"/>
      <c r="B243" s="18" t="str">
        <f t="shared" si="2"/>
        <v/>
      </c>
      <c r="C243" s="19"/>
      <c r="D243" s="19"/>
      <c r="E243" s="19"/>
      <c r="F243" s="20"/>
      <c r="G243" s="20"/>
      <c r="H243" s="21" t="str">
        <f t="shared" si="3"/>
        <v/>
      </c>
      <c r="I243" s="20"/>
      <c r="J243" s="20"/>
      <c r="K243" s="20"/>
      <c r="L243" s="20"/>
      <c r="M243" s="21" t="str">
        <f t="shared" si="4"/>
        <v/>
      </c>
      <c r="N243" s="20"/>
      <c r="O243" s="20"/>
      <c r="P243" s="20"/>
      <c r="Q243" s="21" t="str">
        <f t="shared" si="5"/>
        <v/>
      </c>
      <c r="R243" s="21" t="str">
        <f t="shared" si="6"/>
        <v/>
      </c>
      <c r="S243" s="22"/>
      <c r="T243" s="22"/>
      <c r="U243" s="23" t="str">
        <f t="shared" si="7"/>
        <v/>
      </c>
      <c r="V243" s="21" t="str">
        <f t="shared" si="8"/>
        <v>#DIV/0!</v>
      </c>
      <c r="W243" s="24" t="str">
        <f t="shared" si="9"/>
        <v>#DIV/0!</v>
      </c>
      <c r="X243" s="24" t="str">
        <f t="shared" si="10"/>
        <v>#DIV/0!</v>
      </c>
      <c r="Y243" s="21" t="str">
        <f>IF(A243="","",SUMIFS('Labor Log'!$I$2:$I$2001,'Labor Log'!$A$2:$A$2001,A243))</f>
        <v/>
      </c>
      <c r="Z243" s="24" t="str">
        <f t="shared" si="11"/>
        <v>#DIV/0!</v>
      </c>
      <c r="AA243" s="21" t="str">
        <f>IF(A243="","",SUMIFS('Inventory &amp; COGS'!$H$2:$H$2001,'Inventory &amp; COGS'!$A$2:$A$2001,A243,'Inventory &amp; COGS'!$B$2:$B$2001,"Food"))</f>
        <v/>
      </c>
      <c r="AB243" s="21" t="str">
        <f>IF(A243="","",SUMIFS('Inventory &amp; COGS'!$H$2:$H$2001,'Inventory &amp; COGS'!$A$2:$A$2001,A243,'Inventory &amp; COGS'!$B$2:$B$2001,"Beverage"))</f>
        <v/>
      </c>
      <c r="AC243" s="21" t="str">
        <f t="shared" si="12"/>
        <v/>
      </c>
      <c r="AD243" s="24" t="str">
        <f t="shared" ref="AD243:AE243" si="258">IF(I243=0,"",AA243/I243)</f>
        <v/>
      </c>
      <c r="AE243" s="24" t="str">
        <f t="shared" si="258"/>
        <v/>
      </c>
      <c r="AF243" s="21" t="str">
        <f t="shared" si="14"/>
        <v/>
      </c>
      <c r="AG243" s="24" t="str">
        <f t="shared" si="15"/>
        <v>#DIV/0!</v>
      </c>
      <c r="AH243" s="25" t="str">
        <f t="shared" si="16"/>
        <v/>
      </c>
      <c r="AI243" s="25" t="str">
        <f t="shared" si="17"/>
        <v/>
      </c>
      <c r="AJ243" s="26" t="str">
        <f t="shared" si="18"/>
        <v/>
      </c>
    </row>
    <row r="244" ht="15.75" customHeight="1">
      <c r="A244" s="3"/>
      <c r="B244" s="18" t="str">
        <f t="shared" si="2"/>
        <v/>
      </c>
      <c r="C244" s="19"/>
      <c r="D244" s="19"/>
      <c r="E244" s="19"/>
      <c r="F244" s="20"/>
      <c r="G244" s="20"/>
      <c r="H244" s="21" t="str">
        <f t="shared" si="3"/>
        <v/>
      </c>
      <c r="I244" s="20"/>
      <c r="J244" s="20"/>
      <c r="K244" s="20"/>
      <c r="L244" s="20"/>
      <c r="M244" s="21" t="str">
        <f t="shared" si="4"/>
        <v/>
      </c>
      <c r="N244" s="20"/>
      <c r="O244" s="20"/>
      <c r="P244" s="20"/>
      <c r="Q244" s="21" t="str">
        <f t="shared" si="5"/>
        <v/>
      </c>
      <c r="R244" s="21" t="str">
        <f t="shared" si="6"/>
        <v/>
      </c>
      <c r="S244" s="22"/>
      <c r="T244" s="22"/>
      <c r="U244" s="23" t="str">
        <f t="shared" si="7"/>
        <v/>
      </c>
      <c r="V244" s="21" t="str">
        <f t="shared" si="8"/>
        <v>#DIV/0!</v>
      </c>
      <c r="W244" s="24" t="str">
        <f t="shared" si="9"/>
        <v>#DIV/0!</v>
      </c>
      <c r="X244" s="24" t="str">
        <f t="shared" si="10"/>
        <v>#DIV/0!</v>
      </c>
      <c r="Y244" s="21" t="str">
        <f>IF(A244="","",SUMIFS('Labor Log'!$I$2:$I$2001,'Labor Log'!$A$2:$A$2001,A244))</f>
        <v/>
      </c>
      <c r="Z244" s="24" t="str">
        <f t="shared" si="11"/>
        <v>#DIV/0!</v>
      </c>
      <c r="AA244" s="21" t="str">
        <f>IF(A244="","",SUMIFS('Inventory &amp; COGS'!$H$2:$H$2001,'Inventory &amp; COGS'!$A$2:$A$2001,A244,'Inventory &amp; COGS'!$B$2:$B$2001,"Food"))</f>
        <v/>
      </c>
      <c r="AB244" s="21" t="str">
        <f>IF(A244="","",SUMIFS('Inventory &amp; COGS'!$H$2:$H$2001,'Inventory &amp; COGS'!$A$2:$A$2001,A244,'Inventory &amp; COGS'!$B$2:$B$2001,"Beverage"))</f>
        <v/>
      </c>
      <c r="AC244" s="21" t="str">
        <f t="shared" si="12"/>
        <v/>
      </c>
      <c r="AD244" s="24" t="str">
        <f t="shared" ref="AD244:AE244" si="259">IF(I244=0,"",AA244/I244)</f>
        <v/>
      </c>
      <c r="AE244" s="24" t="str">
        <f t="shared" si="259"/>
        <v/>
      </c>
      <c r="AF244" s="21" t="str">
        <f t="shared" si="14"/>
        <v/>
      </c>
      <c r="AG244" s="24" t="str">
        <f t="shared" si="15"/>
        <v>#DIV/0!</v>
      </c>
      <c r="AH244" s="25" t="str">
        <f t="shared" si="16"/>
        <v/>
      </c>
      <c r="AI244" s="25" t="str">
        <f t="shared" si="17"/>
        <v/>
      </c>
      <c r="AJ244" s="26" t="str">
        <f t="shared" si="18"/>
        <v/>
      </c>
    </row>
    <row r="245" ht="15.75" customHeight="1">
      <c r="A245" s="3"/>
      <c r="B245" s="18" t="str">
        <f t="shared" si="2"/>
        <v/>
      </c>
      <c r="C245" s="19"/>
      <c r="D245" s="19"/>
      <c r="E245" s="19"/>
      <c r="F245" s="20"/>
      <c r="G245" s="20"/>
      <c r="H245" s="21" t="str">
        <f t="shared" si="3"/>
        <v/>
      </c>
      <c r="I245" s="20"/>
      <c r="J245" s="20"/>
      <c r="K245" s="20"/>
      <c r="L245" s="20"/>
      <c r="M245" s="21" t="str">
        <f t="shared" si="4"/>
        <v/>
      </c>
      <c r="N245" s="20"/>
      <c r="O245" s="20"/>
      <c r="P245" s="20"/>
      <c r="Q245" s="21" t="str">
        <f t="shared" si="5"/>
        <v/>
      </c>
      <c r="R245" s="21" t="str">
        <f t="shared" si="6"/>
        <v/>
      </c>
      <c r="S245" s="22"/>
      <c r="T245" s="22"/>
      <c r="U245" s="23" t="str">
        <f t="shared" si="7"/>
        <v/>
      </c>
      <c r="V245" s="21" t="str">
        <f t="shared" si="8"/>
        <v>#DIV/0!</v>
      </c>
      <c r="W245" s="24" t="str">
        <f t="shared" si="9"/>
        <v>#DIV/0!</v>
      </c>
      <c r="X245" s="24" t="str">
        <f t="shared" si="10"/>
        <v>#DIV/0!</v>
      </c>
      <c r="Y245" s="21" t="str">
        <f>IF(A245="","",SUMIFS('Labor Log'!$I$2:$I$2001,'Labor Log'!$A$2:$A$2001,A245))</f>
        <v/>
      </c>
      <c r="Z245" s="24" t="str">
        <f t="shared" si="11"/>
        <v>#DIV/0!</v>
      </c>
      <c r="AA245" s="21" t="str">
        <f>IF(A245="","",SUMIFS('Inventory &amp; COGS'!$H$2:$H$2001,'Inventory &amp; COGS'!$A$2:$A$2001,A245,'Inventory &amp; COGS'!$B$2:$B$2001,"Food"))</f>
        <v/>
      </c>
      <c r="AB245" s="21" t="str">
        <f>IF(A245="","",SUMIFS('Inventory &amp; COGS'!$H$2:$H$2001,'Inventory &amp; COGS'!$A$2:$A$2001,A245,'Inventory &amp; COGS'!$B$2:$B$2001,"Beverage"))</f>
        <v/>
      </c>
      <c r="AC245" s="21" t="str">
        <f t="shared" si="12"/>
        <v/>
      </c>
      <c r="AD245" s="24" t="str">
        <f t="shared" ref="AD245:AE245" si="260">IF(I245=0,"",AA245/I245)</f>
        <v/>
      </c>
      <c r="AE245" s="24" t="str">
        <f t="shared" si="260"/>
        <v/>
      </c>
      <c r="AF245" s="21" t="str">
        <f t="shared" si="14"/>
        <v/>
      </c>
      <c r="AG245" s="24" t="str">
        <f t="shared" si="15"/>
        <v>#DIV/0!</v>
      </c>
      <c r="AH245" s="25" t="str">
        <f t="shared" si="16"/>
        <v/>
      </c>
      <c r="AI245" s="25" t="str">
        <f t="shared" si="17"/>
        <v/>
      </c>
      <c r="AJ245" s="26" t="str">
        <f t="shared" si="18"/>
        <v/>
      </c>
    </row>
    <row r="246" ht="15.75" customHeight="1">
      <c r="A246" s="3"/>
      <c r="B246" s="18" t="str">
        <f t="shared" si="2"/>
        <v/>
      </c>
      <c r="C246" s="19"/>
      <c r="D246" s="19"/>
      <c r="E246" s="19"/>
      <c r="F246" s="20"/>
      <c r="G246" s="20"/>
      <c r="H246" s="21" t="str">
        <f t="shared" si="3"/>
        <v/>
      </c>
      <c r="I246" s="20"/>
      <c r="J246" s="20"/>
      <c r="K246" s="20"/>
      <c r="L246" s="20"/>
      <c r="M246" s="21" t="str">
        <f t="shared" si="4"/>
        <v/>
      </c>
      <c r="N246" s="20"/>
      <c r="O246" s="20"/>
      <c r="P246" s="20"/>
      <c r="Q246" s="21" t="str">
        <f t="shared" si="5"/>
        <v/>
      </c>
      <c r="R246" s="21" t="str">
        <f t="shared" si="6"/>
        <v/>
      </c>
      <c r="S246" s="22"/>
      <c r="T246" s="22"/>
      <c r="U246" s="23" t="str">
        <f t="shared" si="7"/>
        <v/>
      </c>
      <c r="V246" s="21" t="str">
        <f t="shared" si="8"/>
        <v>#DIV/0!</v>
      </c>
      <c r="W246" s="24" t="str">
        <f t="shared" si="9"/>
        <v>#DIV/0!</v>
      </c>
      <c r="X246" s="24" t="str">
        <f t="shared" si="10"/>
        <v>#DIV/0!</v>
      </c>
      <c r="Y246" s="21" t="str">
        <f>IF(A246="","",SUMIFS('Labor Log'!$I$2:$I$2001,'Labor Log'!$A$2:$A$2001,A246))</f>
        <v/>
      </c>
      <c r="Z246" s="24" t="str">
        <f t="shared" si="11"/>
        <v>#DIV/0!</v>
      </c>
      <c r="AA246" s="21" t="str">
        <f>IF(A246="","",SUMIFS('Inventory &amp; COGS'!$H$2:$H$2001,'Inventory &amp; COGS'!$A$2:$A$2001,A246,'Inventory &amp; COGS'!$B$2:$B$2001,"Food"))</f>
        <v/>
      </c>
      <c r="AB246" s="21" t="str">
        <f>IF(A246="","",SUMIFS('Inventory &amp; COGS'!$H$2:$H$2001,'Inventory &amp; COGS'!$A$2:$A$2001,A246,'Inventory &amp; COGS'!$B$2:$B$2001,"Beverage"))</f>
        <v/>
      </c>
      <c r="AC246" s="21" t="str">
        <f t="shared" si="12"/>
        <v/>
      </c>
      <c r="AD246" s="24" t="str">
        <f t="shared" ref="AD246:AE246" si="261">IF(I246=0,"",AA246/I246)</f>
        <v/>
      </c>
      <c r="AE246" s="24" t="str">
        <f t="shared" si="261"/>
        <v/>
      </c>
      <c r="AF246" s="21" t="str">
        <f t="shared" si="14"/>
        <v/>
      </c>
      <c r="AG246" s="24" t="str">
        <f t="shared" si="15"/>
        <v>#DIV/0!</v>
      </c>
      <c r="AH246" s="25" t="str">
        <f t="shared" si="16"/>
        <v/>
      </c>
      <c r="AI246" s="25" t="str">
        <f t="shared" si="17"/>
        <v/>
      </c>
      <c r="AJ246" s="26" t="str">
        <f t="shared" si="18"/>
        <v/>
      </c>
    </row>
    <row r="247" ht="15.75" customHeight="1">
      <c r="A247" s="3"/>
      <c r="B247" s="18" t="str">
        <f t="shared" si="2"/>
        <v/>
      </c>
      <c r="C247" s="19"/>
      <c r="D247" s="19"/>
      <c r="E247" s="19"/>
      <c r="F247" s="20"/>
      <c r="G247" s="20"/>
      <c r="H247" s="21" t="str">
        <f t="shared" si="3"/>
        <v/>
      </c>
      <c r="I247" s="20"/>
      <c r="J247" s="20"/>
      <c r="K247" s="20"/>
      <c r="L247" s="20"/>
      <c r="M247" s="21" t="str">
        <f t="shared" si="4"/>
        <v/>
      </c>
      <c r="N247" s="20"/>
      <c r="O247" s="20"/>
      <c r="P247" s="20"/>
      <c r="Q247" s="21" t="str">
        <f t="shared" si="5"/>
        <v/>
      </c>
      <c r="R247" s="21" t="str">
        <f t="shared" si="6"/>
        <v/>
      </c>
      <c r="S247" s="22"/>
      <c r="T247" s="22"/>
      <c r="U247" s="23" t="str">
        <f t="shared" si="7"/>
        <v/>
      </c>
      <c r="V247" s="21" t="str">
        <f t="shared" si="8"/>
        <v>#DIV/0!</v>
      </c>
      <c r="W247" s="24" t="str">
        <f t="shared" si="9"/>
        <v>#DIV/0!</v>
      </c>
      <c r="X247" s="24" t="str">
        <f t="shared" si="10"/>
        <v>#DIV/0!</v>
      </c>
      <c r="Y247" s="21" t="str">
        <f>IF(A247="","",SUMIFS('Labor Log'!$I$2:$I$2001,'Labor Log'!$A$2:$A$2001,A247))</f>
        <v/>
      </c>
      <c r="Z247" s="24" t="str">
        <f t="shared" si="11"/>
        <v>#DIV/0!</v>
      </c>
      <c r="AA247" s="21" t="str">
        <f>IF(A247="","",SUMIFS('Inventory &amp; COGS'!$H$2:$H$2001,'Inventory &amp; COGS'!$A$2:$A$2001,A247,'Inventory &amp; COGS'!$B$2:$B$2001,"Food"))</f>
        <v/>
      </c>
      <c r="AB247" s="21" t="str">
        <f>IF(A247="","",SUMIFS('Inventory &amp; COGS'!$H$2:$H$2001,'Inventory &amp; COGS'!$A$2:$A$2001,A247,'Inventory &amp; COGS'!$B$2:$B$2001,"Beverage"))</f>
        <v/>
      </c>
      <c r="AC247" s="21" t="str">
        <f t="shared" si="12"/>
        <v/>
      </c>
      <c r="AD247" s="24" t="str">
        <f t="shared" ref="AD247:AE247" si="262">IF(I247=0,"",AA247/I247)</f>
        <v/>
      </c>
      <c r="AE247" s="24" t="str">
        <f t="shared" si="262"/>
        <v/>
      </c>
      <c r="AF247" s="21" t="str">
        <f t="shared" si="14"/>
        <v/>
      </c>
      <c r="AG247" s="24" t="str">
        <f t="shared" si="15"/>
        <v>#DIV/0!</v>
      </c>
      <c r="AH247" s="25" t="str">
        <f t="shared" si="16"/>
        <v/>
      </c>
      <c r="AI247" s="25" t="str">
        <f t="shared" si="17"/>
        <v/>
      </c>
      <c r="AJ247" s="26" t="str">
        <f t="shared" si="18"/>
        <v/>
      </c>
    </row>
    <row r="248" ht="15.75" customHeight="1">
      <c r="A248" s="3"/>
      <c r="B248" s="18" t="str">
        <f t="shared" si="2"/>
        <v/>
      </c>
      <c r="C248" s="19"/>
      <c r="D248" s="19"/>
      <c r="E248" s="19"/>
      <c r="F248" s="20"/>
      <c r="G248" s="20"/>
      <c r="H248" s="21" t="str">
        <f t="shared" si="3"/>
        <v/>
      </c>
      <c r="I248" s="20"/>
      <c r="J248" s="20"/>
      <c r="K248" s="20"/>
      <c r="L248" s="20"/>
      <c r="M248" s="21" t="str">
        <f t="shared" si="4"/>
        <v/>
      </c>
      <c r="N248" s="20"/>
      <c r="O248" s="20"/>
      <c r="P248" s="20"/>
      <c r="Q248" s="21" t="str">
        <f t="shared" si="5"/>
        <v/>
      </c>
      <c r="R248" s="21" t="str">
        <f t="shared" si="6"/>
        <v/>
      </c>
      <c r="S248" s="22"/>
      <c r="T248" s="22"/>
      <c r="U248" s="23" t="str">
        <f t="shared" si="7"/>
        <v/>
      </c>
      <c r="V248" s="21" t="str">
        <f t="shared" si="8"/>
        <v>#DIV/0!</v>
      </c>
      <c r="W248" s="24" t="str">
        <f t="shared" si="9"/>
        <v>#DIV/0!</v>
      </c>
      <c r="X248" s="24" t="str">
        <f t="shared" si="10"/>
        <v>#DIV/0!</v>
      </c>
      <c r="Y248" s="21" t="str">
        <f>IF(A248="","",SUMIFS('Labor Log'!$I$2:$I$2001,'Labor Log'!$A$2:$A$2001,A248))</f>
        <v/>
      </c>
      <c r="Z248" s="24" t="str">
        <f t="shared" si="11"/>
        <v>#DIV/0!</v>
      </c>
      <c r="AA248" s="21" t="str">
        <f>IF(A248="","",SUMIFS('Inventory &amp; COGS'!$H$2:$H$2001,'Inventory &amp; COGS'!$A$2:$A$2001,A248,'Inventory &amp; COGS'!$B$2:$B$2001,"Food"))</f>
        <v/>
      </c>
      <c r="AB248" s="21" t="str">
        <f>IF(A248="","",SUMIFS('Inventory &amp; COGS'!$H$2:$H$2001,'Inventory &amp; COGS'!$A$2:$A$2001,A248,'Inventory &amp; COGS'!$B$2:$B$2001,"Beverage"))</f>
        <v/>
      </c>
      <c r="AC248" s="21" t="str">
        <f t="shared" si="12"/>
        <v/>
      </c>
      <c r="AD248" s="24" t="str">
        <f t="shared" ref="AD248:AE248" si="263">IF(I248=0,"",AA248/I248)</f>
        <v/>
      </c>
      <c r="AE248" s="24" t="str">
        <f t="shared" si="263"/>
        <v/>
      </c>
      <c r="AF248" s="21" t="str">
        <f t="shared" si="14"/>
        <v/>
      </c>
      <c r="AG248" s="24" t="str">
        <f t="shared" si="15"/>
        <v>#DIV/0!</v>
      </c>
      <c r="AH248" s="25" t="str">
        <f t="shared" si="16"/>
        <v/>
      </c>
      <c r="AI248" s="25" t="str">
        <f t="shared" si="17"/>
        <v/>
      </c>
      <c r="AJ248" s="26" t="str">
        <f t="shared" si="18"/>
        <v/>
      </c>
    </row>
    <row r="249" ht="15.75" customHeight="1">
      <c r="A249" s="3"/>
      <c r="B249" s="18" t="str">
        <f t="shared" si="2"/>
        <v/>
      </c>
      <c r="C249" s="19"/>
      <c r="D249" s="19"/>
      <c r="E249" s="19"/>
      <c r="F249" s="20"/>
      <c r="G249" s="20"/>
      <c r="H249" s="21" t="str">
        <f t="shared" si="3"/>
        <v/>
      </c>
      <c r="I249" s="20"/>
      <c r="J249" s="20"/>
      <c r="K249" s="20"/>
      <c r="L249" s="20"/>
      <c r="M249" s="21" t="str">
        <f t="shared" si="4"/>
        <v/>
      </c>
      <c r="N249" s="20"/>
      <c r="O249" s="20"/>
      <c r="P249" s="20"/>
      <c r="Q249" s="21" t="str">
        <f t="shared" si="5"/>
        <v/>
      </c>
      <c r="R249" s="21" t="str">
        <f t="shared" si="6"/>
        <v/>
      </c>
      <c r="S249" s="22"/>
      <c r="T249" s="22"/>
      <c r="U249" s="23" t="str">
        <f t="shared" si="7"/>
        <v/>
      </c>
      <c r="V249" s="21" t="str">
        <f t="shared" si="8"/>
        <v>#DIV/0!</v>
      </c>
      <c r="W249" s="24" t="str">
        <f t="shared" si="9"/>
        <v>#DIV/0!</v>
      </c>
      <c r="X249" s="24" t="str">
        <f t="shared" si="10"/>
        <v>#DIV/0!</v>
      </c>
      <c r="Y249" s="21" t="str">
        <f>IF(A249="","",SUMIFS('Labor Log'!$I$2:$I$2001,'Labor Log'!$A$2:$A$2001,A249))</f>
        <v/>
      </c>
      <c r="Z249" s="24" t="str">
        <f t="shared" si="11"/>
        <v>#DIV/0!</v>
      </c>
      <c r="AA249" s="21" t="str">
        <f>IF(A249="","",SUMIFS('Inventory &amp; COGS'!$H$2:$H$2001,'Inventory &amp; COGS'!$A$2:$A$2001,A249,'Inventory &amp; COGS'!$B$2:$B$2001,"Food"))</f>
        <v/>
      </c>
      <c r="AB249" s="21" t="str">
        <f>IF(A249="","",SUMIFS('Inventory &amp; COGS'!$H$2:$H$2001,'Inventory &amp; COGS'!$A$2:$A$2001,A249,'Inventory &amp; COGS'!$B$2:$B$2001,"Beverage"))</f>
        <v/>
      </c>
      <c r="AC249" s="21" t="str">
        <f t="shared" si="12"/>
        <v/>
      </c>
      <c r="AD249" s="24" t="str">
        <f t="shared" ref="AD249:AE249" si="264">IF(I249=0,"",AA249/I249)</f>
        <v/>
      </c>
      <c r="AE249" s="24" t="str">
        <f t="shared" si="264"/>
        <v/>
      </c>
      <c r="AF249" s="21" t="str">
        <f t="shared" si="14"/>
        <v/>
      </c>
      <c r="AG249" s="24" t="str">
        <f t="shared" si="15"/>
        <v>#DIV/0!</v>
      </c>
      <c r="AH249" s="25" t="str">
        <f t="shared" si="16"/>
        <v/>
      </c>
      <c r="AI249" s="25" t="str">
        <f t="shared" si="17"/>
        <v/>
      </c>
      <c r="AJ249" s="26" t="str">
        <f t="shared" si="18"/>
        <v/>
      </c>
    </row>
    <row r="250" ht="15.75" customHeight="1">
      <c r="A250" s="3"/>
      <c r="B250" s="18" t="str">
        <f t="shared" si="2"/>
        <v/>
      </c>
      <c r="C250" s="19"/>
      <c r="D250" s="19"/>
      <c r="E250" s="19"/>
      <c r="F250" s="20"/>
      <c r="G250" s="20"/>
      <c r="H250" s="21" t="str">
        <f t="shared" si="3"/>
        <v/>
      </c>
      <c r="I250" s="20"/>
      <c r="J250" s="20"/>
      <c r="K250" s="20"/>
      <c r="L250" s="20"/>
      <c r="M250" s="21" t="str">
        <f t="shared" si="4"/>
        <v/>
      </c>
      <c r="N250" s="20"/>
      <c r="O250" s="20"/>
      <c r="P250" s="20"/>
      <c r="Q250" s="21" t="str">
        <f t="shared" si="5"/>
        <v/>
      </c>
      <c r="R250" s="21" t="str">
        <f t="shared" si="6"/>
        <v/>
      </c>
      <c r="S250" s="22"/>
      <c r="T250" s="22"/>
      <c r="U250" s="23" t="str">
        <f t="shared" si="7"/>
        <v/>
      </c>
      <c r="V250" s="21" t="str">
        <f t="shared" si="8"/>
        <v>#DIV/0!</v>
      </c>
      <c r="W250" s="24" t="str">
        <f t="shared" si="9"/>
        <v>#DIV/0!</v>
      </c>
      <c r="X250" s="24" t="str">
        <f t="shared" si="10"/>
        <v>#DIV/0!</v>
      </c>
      <c r="Y250" s="21" t="str">
        <f>IF(A250="","",SUMIFS('Labor Log'!$I$2:$I$2001,'Labor Log'!$A$2:$A$2001,A250))</f>
        <v/>
      </c>
      <c r="Z250" s="24" t="str">
        <f t="shared" si="11"/>
        <v>#DIV/0!</v>
      </c>
      <c r="AA250" s="21" t="str">
        <f>IF(A250="","",SUMIFS('Inventory &amp; COGS'!$H$2:$H$2001,'Inventory &amp; COGS'!$A$2:$A$2001,A250,'Inventory &amp; COGS'!$B$2:$B$2001,"Food"))</f>
        <v/>
      </c>
      <c r="AB250" s="21" t="str">
        <f>IF(A250="","",SUMIFS('Inventory &amp; COGS'!$H$2:$H$2001,'Inventory &amp; COGS'!$A$2:$A$2001,A250,'Inventory &amp; COGS'!$B$2:$B$2001,"Beverage"))</f>
        <v/>
      </c>
      <c r="AC250" s="21" t="str">
        <f t="shared" si="12"/>
        <v/>
      </c>
      <c r="AD250" s="24" t="str">
        <f t="shared" ref="AD250:AE250" si="265">IF(I250=0,"",AA250/I250)</f>
        <v/>
      </c>
      <c r="AE250" s="24" t="str">
        <f t="shared" si="265"/>
        <v/>
      </c>
      <c r="AF250" s="21" t="str">
        <f t="shared" si="14"/>
        <v/>
      </c>
      <c r="AG250" s="24" t="str">
        <f t="shared" si="15"/>
        <v>#DIV/0!</v>
      </c>
      <c r="AH250" s="25" t="str">
        <f t="shared" si="16"/>
        <v/>
      </c>
      <c r="AI250" s="25" t="str">
        <f t="shared" si="17"/>
        <v/>
      </c>
      <c r="AJ250" s="26" t="str">
        <f t="shared" si="18"/>
        <v/>
      </c>
    </row>
    <row r="251" ht="15.75" customHeight="1">
      <c r="A251" s="3"/>
      <c r="B251" s="18" t="str">
        <f t="shared" si="2"/>
        <v/>
      </c>
      <c r="C251" s="19"/>
      <c r="D251" s="19"/>
      <c r="E251" s="19"/>
      <c r="F251" s="20"/>
      <c r="G251" s="20"/>
      <c r="H251" s="21" t="str">
        <f t="shared" si="3"/>
        <v/>
      </c>
      <c r="I251" s="20"/>
      <c r="J251" s="20"/>
      <c r="K251" s="20"/>
      <c r="L251" s="20"/>
      <c r="M251" s="21" t="str">
        <f t="shared" si="4"/>
        <v/>
      </c>
      <c r="N251" s="20"/>
      <c r="O251" s="20"/>
      <c r="P251" s="20"/>
      <c r="Q251" s="21" t="str">
        <f t="shared" si="5"/>
        <v/>
      </c>
      <c r="R251" s="21" t="str">
        <f t="shared" si="6"/>
        <v/>
      </c>
      <c r="S251" s="22"/>
      <c r="T251" s="22"/>
      <c r="U251" s="23" t="str">
        <f t="shared" si="7"/>
        <v/>
      </c>
      <c r="V251" s="21" t="str">
        <f t="shared" si="8"/>
        <v>#DIV/0!</v>
      </c>
      <c r="W251" s="24" t="str">
        <f t="shared" si="9"/>
        <v>#DIV/0!</v>
      </c>
      <c r="X251" s="24" t="str">
        <f t="shared" si="10"/>
        <v>#DIV/0!</v>
      </c>
      <c r="Y251" s="21" t="str">
        <f>IF(A251="","",SUMIFS('Labor Log'!$I$2:$I$2001,'Labor Log'!$A$2:$A$2001,A251))</f>
        <v/>
      </c>
      <c r="Z251" s="24" t="str">
        <f t="shared" si="11"/>
        <v>#DIV/0!</v>
      </c>
      <c r="AA251" s="21" t="str">
        <f>IF(A251="","",SUMIFS('Inventory &amp; COGS'!$H$2:$H$2001,'Inventory &amp; COGS'!$A$2:$A$2001,A251,'Inventory &amp; COGS'!$B$2:$B$2001,"Food"))</f>
        <v/>
      </c>
      <c r="AB251" s="21" t="str">
        <f>IF(A251="","",SUMIFS('Inventory &amp; COGS'!$H$2:$H$2001,'Inventory &amp; COGS'!$A$2:$A$2001,A251,'Inventory &amp; COGS'!$B$2:$B$2001,"Beverage"))</f>
        <v/>
      </c>
      <c r="AC251" s="21" t="str">
        <f t="shared" si="12"/>
        <v/>
      </c>
      <c r="AD251" s="24" t="str">
        <f t="shared" ref="AD251:AE251" si="266">IF(I251=0,"",AA251/I251)</f>
        <v/>
      </c>
      <c r="AE251" s="24" t="str">
        <f t="shared" si="266"/>
        <v/>
      </c>
      <c r="AF251" s="21" t="str">
        <f t="shared" si="14"/>
        <v/>
      </c>
      <c r="AG251" s="24" t="str">
        <f t="shared" si="15"/>
        <v>#DIV/0!</v>
      </c>
      <c r="AH251" s="25" t="str">
        <f t="shared" si="16"/>
        <v/>
      </c>
      <c r="AI251" s="25" t="str">
        <f t="shared" si="17"/>
        <v/>
      </c>
      <c r="AJ251" s="26" t="str">
        <f t="shared" si="18"/>
        <v/>
      </c>
    </row>
    <row r="252" ht="15.75" customHeight="1">
      <c r="A252" s="3"/>
      <c r="B252" s="18" t="str">
        <f t="shared" si="2"/>
        <v/>
      </c>
      <c r="C252" s="19"/>
      <c r="D252" s="19"/>
      <c r="E252" s="19"/>
      <c r="F252" s="20"/>
      <c r="G252" s="20"/>
      <c r="H252" s="21" t="str">
        <f t="shared" si="3"/>
        <v/>
      </c>
      <c r="I252" s="20"/>
      <c r="J252" s="20"/>
      <c r="K252" s="20"/>
      <c r="L252" s="20"/>
      <c r="M252" s="21" t="str">
        <f t="shared" si="4"/>
        <v/>
      </c>
      <c r="N252" s="20"/>
      <c r="O252" s="20"/>
      <c r="P252" s="20"/>
      <c r="Q252" s="21" t="str">
        <f t="shared" si="5"/>
        <v/>
      </c>
      <c r="R252" s="21" t="str">
        <f t="shared" si="6"/>
        <v/>
      </c>
      <c r="S252" s="22"/>
      <c r="T252" s="22"/>
      <c r="U252" s="23" t="str">
        <f t="shared" si="7"/>
        <v/>
      </c>
      <c r="V252" s="21" t="str">
        <f t="shared" si="8"/>
        <v>#DIV/0!</v>
      </c>
      <c r="W252" s="24" t="str">
        <f t="shared" si="9"/>
        <v>#DIV/0!</v>
      </c>
      <c r="X252" s="24" t="str">
        <f t="shared" si="10"/>
        <v>#DIV/0!</v>
      </c>
      <c r="Y252" s="21" t="str">
        <f>IF(A252="","",SUMIFS('Labor Log'!$I$2:$I$2001,'Labor Log'!$A$2:$A$2001,A252))</f>
        <v/>
      </c>
      <c r="Z252" s="24" t="str">
        <f t="shared" si="11"/>
        <v>#DIV/0!</v>
      </c>
      <c r="AA252" s="21" t="str">
        <f>IF(A252="","",SUMIFS('Inventory &amp; COGS'!$H$2:$H$2001,'Inventory &amp; COGS'!$A$2:$A$2001,A252,'Inventory &amp; COGS'!$B$2:$B$2001,"Food"))</f>
        <v/>
      </c>
      <c r="AB252" s="21" t="str">
        <f>IF(A252="","",SUMIFS('Inventory &amp; COGS'!$H$2:$H$2001,'Inventory &amp; COGS'!$A$2:$A$2001,A252,'Inventory &amp; COGS'!$B$2:$B$2001,"Beverage"))</f>
        <v/>
      </c>
      <c r="AC252" s="21" t="str">
        <f t="shared" si="12"/>
        <v/>
      </c>
      <c r="AD252" s="24" t="str">
        <f t="shared" ref="AD252:AE252" si="267">IF(I252=0,"",AA252/I252)</f>
        <v/>
      </c>
      <c r="AE252" s="24" t="str">
        <f t="shared" si="267"/>
        <v/>
      </c>
      <c r="AF252" s="21" t="str">
        <f t="shared" si="14"/>
        <v/>
      </c>
      <c r="AG252" s="24" t="str">
        <f t="shared" si="15"/>
        <v>#DIV/0!</v>
      </c>
      <c r="AH252" s="25" t="str">
        <f t="shared" si="16"/>
        <v/>
      </c>
      <c r="AI252" s="25" t="str">
        <f t="shared" si="17"/>
        <v/>
      </c>
      <c r="AJ252" s="26" t="str">
        <f t="shared" si="18"/>
        <v/>
      </c>
    </row>
    <row r="253" ht="15.75" customHeight="1">
      <c r="A253" s="3"/>
      <c r="B253" s="18" t="str">
        <f t="shared" si="2"/>
        <v/>
      </c>
      <c r="C253" s="19"/>
      <c r="D253" s="19"/>
      <c r="E253" s="19"/>
      <c r="F253" s="20"/>
      <c r="G253" s="20"/>
      <c r="H253" s="21" t="str">
        <f t="shared" si="3"/>
        <v/>
      </c>
      <c r="I253" s="20"/>
      <c r="J253" s="20"/>
      <c r="K253" s="20"/>
      <c r="L253" s="20"/>
      <c r="M253" s="21" t="str">
        <f t="shared" si="4"/>
        <v/>
      </c>
      <c r="N253" s="20"/>
      <c r="O253" s="20"/>
      <c r="P253" s="20"/>
      <c r="Q253" s="21" t="str">
        <f t="shared" si="5"/>
        <v/>
      </c>
      <c r="R253" s="21" t="str">
        <f t="shared" si="6"/>
        <v/>
      </c>
      <c r="S253" s="22"/>
      <c r="T253" s="22"/>
      <c r="U253" s="23" t="str">
        <f t="shared" si="7"/>
        <v/>
      </c>
      <c r="V253" s="21" t="str">
        <f t="shared" si="8"/>
        <v>#DIV/0!</v>
      </c>
      <c r="W253" s="24" t="str">
        <f t="shared" si="9"/>
        <v>#DIV/0!</v>
      </c>
      <c r="X253" s="24" t="str">
        <f t="shared" si="10"/>
        <v>#DIV/0!</v>
      </c>
      <c r="Y253" s="21" t="str">
        <f>IF(A253="","",SUMIFS('Labor Log'!$I$2:$I$2001,'Labor Log'!$A$2:$A$2001,A253))</f>
        <v/>
      </c>
      <c r="Z253" s="24" t="str">
        <f t="shared" si="11"/>
        <v>#DIV/0!</v>
      </c>
      <c r="AA253" s="21" t="str">
        <f>IF(A253="","",SUMIFS('Inventory &amp; COGS'!$H$2:$H$2001,'Inventory &amp; COGS'!$A$2:$A$2001,A253,'Inventory &amp; COGS'!$B$2:$B$2001,"Food"))</f>
        <v/>
      </c>
      <c r="AB253" s="21" t="str">
        <f>IF(A253="","",SUMIFS('Inventory &amp; COGS'!$H$2:$H$2001,'Inventory &amp; COGS'!$A$2:$A$2001,A253,'Inventory &amp; COGS'!$B$2:$B$2001,"Beverage"))</f>
        <v/>
      </c>
      <c r="AC253" s="21" t="str">
        <f t="shared" si="12"/>
        <v/>
      </c>
      <c r="AD253" s="24" t="str">
        <f t="shared" ref="AD253:AE253" si="268">IF(I253=0,"",AA253/I253)</f>
        <v/>
      </c>
      <c r="AE253" s="24" t="str">
        <f t="shared" si="268"/>
        <v/>
      </c>
      <c r="AF253" s="21" t="str">
        <f t="shared" si="14"/>
        <v/>
      </c>
      <c r="AG253" s="24" t="str">
        <f t="shared" si="15"/>
        <v>#DIV/0!</v>
      </c>
      <c r="AH253" s="25" t="str">
        <f t="shared" si="16"/>
        <v/>
      </c>
      <c r="AI253" s="25" t="str">
        <f t="shared" si="17"/>
        <v/>
      </c>
      <c r="AJ253" s="26" t="str">
        <f t="shared" si="18"/>
        <v/>
      </c>
    </row>
    <row r="254" ht="15.75" customHeight="1">
      <c r="A254" s="3"/>
      <c r="B254" s="18" t="str">
        <f t="shared" si="2"/>
        <v/>
      </c>
      <c r="C254" s="19"/>
      <c r="D254" s="19"/>
      <c r="E254" s="19"/>
      <c r="F254" s="20"/>
      <c r="G254" s="20"/>
      <c r="H254" s="21" t="str">
        <f t="shared" si="3"/>
        <v/>
      </c>
      <c r="I254" s="20"/>
      <c r="J254" s="20"/>
      <c r="K254" s="20"/>
      <c r="L254" s="20"/>
      <c r="M254" s="21" t="str">
        <f t="shared" si="4"/>
        <v/>
      </c>
      <c r="N254" s="20"/>
      <c r="O254" s="20"/>
      <c r="P254" s="20"/>
      <c r="Q254" s="21" t="str">
        <f t="shared" si="5"/>
        <v/>
      </c>
      <c r="R254" s="21" t="str">
        <f t="shared" si="6"/>
        <v/>
      </c>
      <c r="S254" s="22"/>
      <c r="T254" s="22"/>
      <c r="U254" s="23" t="str">
        <f t="shared" si="7"/>
        <v/>
      </c>
      <c r="V254" s="21" t="str">
        <f t="shared" si="8"/>
        <v>#DIV/0!</v>
      </c>
      <c r="W254" s="24" t="str">
        <f t="shared" si="9"/>
        <v>#DIV/0!</v>
      </c>
      <c r="X254" s="24" t="str">
        <f t="shared" si="10"/>
        <v>#DIV/0!</v>
      </c>
      <c r="Y254" s="21" t="str">
        <f>IF(A254="","",SUMIFS('Labor Log'!$I$2:$I$2001,'Labor Log'!$A$2:$A$2001,A254))</f>
        <v/>
      </c>
      <c r="Z254" s="24" t="str">
        <f t="shared" si="11"/>
        <v>#DIV/0!</v>
      </c>
      <c r="AA254" s="21" t="str">
        <f>IF(A254="","",SUMIFS('Inventory &amp; COGS'!$H$2:$H$2001,'Inventory &amp; COGS'!$A$2:$A$2001,A254,'Inventory &amp; COGS'!$B$2:$B$2001,"Food"))</f>
        <v/>
      </c>
      <c r="AB254" s="21" t="str">
        <f>IF(A254="","",SUMIFS('Inventory &amp; COGS'!$H$2:$H$2001,'Inventory &amp; COGS'!$A$2:$A$2001,A254,'Inventory &amp; COGS'!$B$2:$B$2001,"Beverage"))</f>
        <v/>
      </c>
      <c r="AC254" s="21" t="str">
        <f t="shared" si="12"/>
        <v/>
      </c>
      <c r="AD254" s="24" t="str">
        <f t="shared" ref="AD254:AE254" si="269">IF(I254=0,"",AA254/I254)</f>
        <v/>
      </c>
      <c r="AE254" s="24" t="str">
        <f t="shared" si="269"/>
        <v/>
      </c>
      <c r="AF254" s="21" t="str">
        <f t="shared" si="14"/>
        <v/>
      </c>
      <c r="AG254" s="24" t="str">
        <f t="shared" si="15"/>
        <v>#DIV/0!</v>
      </c>
      <c r="AH254" s="25" t="str">
        <f t="shared" si="16"/>
        <v/>
      </c>
      <c r="AI254" s="25" t="str">
        <f t="shared" si="17"/>
        <v/>
      </c>
      <c r="AJ254" s="26" t="str">
        <f t="shared" si="18"/>
        <v/>
      </c>
    </row>
    <row r="255" ht="15.75" customHeight="1">
      <c r="A255" s="3"/>
      <c r="B255" s="18" t="str">
        <f t="shared" si="2"/>
        <v/>
      </c>
      <c r="C255" s="19"/>
      <c r="D255" s="19"/>
      <c r="E255" s="19"/>
      <c r="F255" s="20"/>
      <c r="G255" s="20"/>
      <c r="H255" s="21" t="str">
        <f t="shared" si="3"/>
        <v/>
      </c>
      <c r="I255" s="20"/>
      <c r="J255" s="20"/>
      <c r="K255" s="20"/>
      <c r="L255" s="20"/>
      <c r="M255" s="21" t="str">
        <f t="shared" si="4"/>
        <v/>
      </c>
      <c r="N255" s="20"/>
      <c r="O255" s="20"/>
      <c r="P255" s="20"/>
      <c r="Q255" s="21" t="str">
        <f t="shared" si="5"/>
        <v/>
      </c>
      <c r="R255" s="21" t="str">
        <f t="shared" si="6"/>
        <v/>
      </c>
      <c r="S255" s="22"/>
      <c r="T255" s="22"/>
      <c r="U255" s="23" t="str">
        <f t="shared" si="7"/>
        <v/>
      </c>
      <c r="V255" s="21" t="str">
        <f t="shared" si="8"/>
        <v>#DIV/0!</v>
      </c>
      <c r="W255" s="24" t="str">
        <f t="shared" si="9"/>
        <v>#DIV/0!</v>
      </c>
      <c r="X255" s="24" t="str">
        <f t="shared" si="10"/>
        <v>#DIV/0!</v>
      </c>
      <c r="Y255" s="21" t="str">
        <f>IF(A255="","",SUMIFS('Labor Log'!$I$2:$I$2001,'Labor Log'!$A$2:$A$2001,A255))</f>
        <v/>
      </c>
      <c r="Z255" s="24" t="str">
        <f t="shared" si="11"/>
        <v>#DIV/0!</v>
      </c>
      <c r="AA255" s="21" t="str">
        <f>IF(A255="","",SUMIFS('Inventory &amp; COGS'!$H$2:$H$2001,'Inventory &amp; COGS'!$A$2:$A$2001,A255,'Inventory &amp; COGS'!$B$2:$B$2001,"Food"))</f>
        <v/>
      </c>
      <c r="AB255" s="21" t="str">
        <f>IF(A255="","",SUMIFS('Inventory &amp; COGS'!$H$2:$H$2001,'Inventory &amp; COGS'!$A$2:$A$2001,A255,'Inventory &amp; COGS'!$B$2:$B$2001,"Beverage"))</f>
        <v/>
      </c>
      <c r="AC255" s="21" t="str">
        <f t="shared" si="12"/>
        <v/>
      </c>
      <c r="AD255" s="24" t="str">
        <f t="shared" ref="AD255:AE255" si="270">IF(I255=0,"",AA255/I255)</f>
        <v/>
      </c>
      <c r="AE255" s="24" t="str">
        <f t="shared" si="270"/>
        <v/>
      </c>
      <c r="AF255" s="21" t="str">
        <f t="shared" si="14"/>
        <v/>
      </c>
      <c r="AG255" s="24" t="str">
        <f t="shared" si="15"/>
        <v>#DIV/0!</v>
      </c>
      <c r="AH255" s="25" t="str">
        <f t="shared" si="16"/>
        <v/>
      </c>
      <c r="AI255" s="25" t="str">
        <f t="shared" si="17"/>
        <v/>
      </c>
      <c r="AJ255" s="26" t="str">
        <f t="shared" si="18"/>
        <v/>
      </c>
    </row>
    <row r="256" ht="15.75" customHeight="1">
      <c r="A256" s="3"/>
      <c r="B256" s="18" t="str">
        <f t="shared" si="2"/>
        <v/>
      </c>
      <c r="C256" s="19"/>
      <c r="D256" s="19"/>
      <c r="E256" s="19"/>
      <c r="F256" s="20"/>
      <c r="G256" s="20"/>
      <c r="H256" s="21" t="str">
        <f t="shared" si="3"/>
        <v/>
      </c>
      <c r="I256" s="20"/>
      <c r="J256" s="20"/>
      <c r="K256" s="20"/>
      <c r="L256" s="20"/>
      <c r="M256" s="21" t="str">
        <f t="shared" si="4"/>
        <v/>
      </c>
      <c r="N256" s="20"/>
      <c r="O256" s="20"/>
      <c r="P256" s="20"/>
      <c r="Q256" s="21" t="str">
        <f t="shared" si="5"/>
        <v/>
      </c>
      <c r="R256" s="21" t="str">
        <f t="shared" si="6"/>
        <v/>
      </c>
      <c r="S256" s="22"/>
      <c r="T256" s="22"/>
      <c r="U256" s="23" t="str">
        <f t="shared" si="7"/>
        <v/>
      </c>
      <c r="V256" s="21" t="str">
        <f t="shared" si="8"/>
        <v>#DIV/0!</v>
      </c>
      <c r="W256" s="24" t="str">
        <f t="shared" si="9"/>
        <v>#DIV/0!</v>
      </c>
      <c r="X256" s="24" t="str">
        <f t="shared" si="10"/>
        <v>#DIV/0!</v>
      </c>
      <c r="Y256" s="21" t="str">
        <f>IF(A256="","",SUMIFS('Labor Log'!$I$2:$I$2001,'Labor Log'!$A$2:$A$2001,A256))</f>
        <v/>
      </c>
      <c r="Z256" s="24" t="str">
        <f t="shared" si="11"/>
        <v>#DIV/0!</v>
      </c>
      <c r="AA256" s="21" t="str">
        <f>IF(A256="","",SUMIFS('Inventory &amp; COGS'!$H$2:$H$2001,'Inventory &amp; COGS'!$A$2:$A$2001,A256,'Inventory &amp; COGS'!$B$2:$B$2001,"Food"))</f>
        <v/>
      </c>
      <c r="AB256" s="21" t="str">
        <f>IF(A256="","",SUMIFS('Inventory &amp; COGS'!$H$2:$H$2001,'Inventory &amp; COGS'!$A$2:$A$2001,A256,'Inventory &amp; COGS'!$B$2:$B$2001,"Beverage"))</f>
        <v/>
      </c>
      <c r="AC256" s="21" t="str">
        <f t="shared" si="12"/>
        <v/>
      </c>
      <c r="AD256" s="24" t="str">
        <f t="shared" ref="AD256:AE256" si="271">IF(I256=0,"",AA256/I256)</f>
        <v/>
      </c>
      <c r="AE256" s="24" t="str">
        <f t="shared" si="271"/>
        <v/>
      </c>
      <c r="AF256" s="21" t="str">
        <f t="shared" si="14"/>
        <v/>
      </c>
      <c r="AG256" s="24" t="str">
        <f t="shared" si="15"/>
        <v>#DIV/0!</v>
      </c>
      <c r="AH256" s="25" t="str">
        <f t="shared" si="16"/>
        <v/>
      </c>
      <c r="AI256" s="25" t="str">
        <f t="shared" si="17"/>
        <v/>
      </c>
      <c r="AJ256" s="26" t="str">
        <f t="shared" si="18"/>
        <v/>
      </c>
    </row>
    <row r="257" ht="15.75" customHeight="1">
      <c r="A257" s="3"/>
      <c r="B257" s="18" t="str">
        <f t="shared" si="2"/>
        <v/>
      </c>
      <c r="C257" s="19"/>
      <c r="D257" s="19"/>
      <c r="E257" s="19"/>
      <c r="F257" s="20"/>
      <c r="G257" s="20"/>
      <c r="H257" s="21" t="str">
        <f t="shared" si="3"/>
        <v/>
      </c>
      <c r="I257" s="20"/>
      <c r="J257" s="20"/>
      <c r="K257" s="20"/>
      <c r="L257" s="20"/>
      <c r="M257" s="21" t="str">
        <f t="shared" si="4"/>
        <v/>
      </c>
      <c r="N257" s="20"/>
      <c r="O257" s="20"/>
      <c r="P257" s="20"/>
      <c r="Q257" s="21" t="str">
        <f t="shared" si="5"/>
        <v/>
      </c>
      <c r="R257" s="21" t="str">
        <f t="shared" si="6"/>
        <v/>
      </c>
      <c r="S257" s="22"/>
      <c r="T257" s="22"/>
      <c r="U257" s="23" t="str">
        <f t="shared" si="7"/>
        <v/>
      </c>
      <c r="V257" s="21" t="str">
        <f t="shared" si="8"/>
        <v>#DIV/0!</v>
      </c>
      <c r="W257" s="24" t="str">
        <f t="shared" si="9"/>
        <v>#DIV/0!</v>
      </c>
      <c r="X257" s="24" t="str">
        <f t="shared" si="10"/>
        <v>#DIV/0!</v>
      </c>
      <c r="Y257" s="21" t="str">
        <f>IF(A257="","",SUMIFS('Labor Log'!$I$2:$I$2001,'Labor Log'!$A$2:$A$2001,A257))</f>
        <v/>
      </c>
      <c r="Z257" s="24" t="str">
        <f t="shared" si="11"/>
        <v>#DIV/0!</v>
      </c>
      <c r="AA257" s="21" t="str">
        <f>IF(A257="","",SUMIFS('Inventory &amp; COGS'!$H$2:$H$2001,'Inventory &amp; COGS'!$A$2:$A$2001,A257,'Inventory &amp; COGS'!$B$2:$B$2001,"Food"))</f>
        <v/>
      </c>
      <c r="AB257" s="21" t="str">
        <f>IF(A257="","",SUMIFS('Inventory &amp; COGS'!$H$2:$H$2001,'Inventory &amp; COGS'!$A$2:$A$2001,A257,'Inventory &amp; COGS'!$B$2:$B$2001,"Beverage"))</f>
        <v/>
      </c>
      <c r="AC257" s="21" t="str">
        <f t="shared" si="12"/>
        <v/>
      </c>
      <c r="AD257" s="24" t="str">
        <f t="shared" ref="AD257:AE257" si="272">IF(I257=0,"",AA257/I257)</f>
        <v/>
      </c>
      <c r="AE257" s="24" t="str">
        <f t="shared" si="272"/>
        <v/>
      </c>
      <c r="AF257" s="21" t="str">
        <f t="shared" si="14"/>
        <v/>
      </c>
      <c r="AG257" s="24" t="str">
        <f t="shared" si="15"/>
        <v>#DIV/0!</v>
      </c>
      <c r="AH257" s="25" t="str">
        <f t="shared" si="16"/>
        <v/>
      </c>
      <c r="AI257" s="25" t="str">
        <f t="shared" si="17"/>
        <v/>
      </c>
      <c r="AJ257" s="26" t="str">
        <f t="shared" si="18"/>
        <v/>
      </c>
    </row>
    <row r="258" ht="15.75" customHeight="1">
      <c r="A258" s="3"/>
      <c r="B258" s="18" t="str">
        <f t="shared" si="2"/>
        <v/>
      </c>
      <c r="C258" s="19"/>
      <c r="D258" s="19"/>
      <c r="E258" s="19"/>
      <c r="F258" s="20"/>
      <c r="G258" s="20"/>
      <c r="H258" s="21" t="str">
        <f t="shared" si="3"/>
        <v/>
      </c>
      <c r="I258" s="20"/>
      <c r="J258" s="20"/>
      <c r="K258" s="20"/>
      <c r="L258" s="20"/>
      <c r="M258" s="21" t="str">
        <f t="shared" si="4"/>
        <v/>
      </c>
      <c r="N258" s="20"/>
      <c r="O258" s="20"/>
      <c r="P258" s="20"/>
      <c r="Q258" s="21" t="str">
        <f t="shared" si="5"/>
        <v/>
      </c>
      <c r="R258" s="21" t="str">
        <f t="shared" si="6"/>
        <v/>
      </c>
      <c r="S258" s="22"/>
      <c r="T258" s="22"/>
      <c r="U258" s="23" t="str">
        <f t="shared" si="7"/>
        <v/>
      </c>
      <c r="V258" s="21" t="str">
        <f t="shared" si="8"/>
        <v>#DIV/0!</v>
      </c>
      <c r="W258" s="24" t="str">
        <f t="shared" si="9"/>
        <v>#DIV/0!</v>
      </c>
      <c r="X258" s="24" t="str">
        <f t="shared" si="10"/>
        <v>#DIV/0!</v>
      </c>
      <c r="Y258" s="21" t="str">
        <f>IF(A258="","",SUMIFS('Labor Log'!$I$2:$I$2001,'Labor Log'!$A$2:$A$2001,A258))</f>
        <v/>
      </c>
      <c r="Z258" s="24" t="str">
        <f t="shared" si="11"/>
        <v>#DIV/0!</v>
      </c>
      <c r="AA258" s="21" t="str">
        <f>IF(A258="","",SUMIFS('Inventory &amp; COGS'!$H$2:$H$2001,'Inventory &amp; COGS'!$A$2:$A$2001,A258,'Inventory &amp; COGS'!$B$2:$B$2001,"Food"))</f>
        <v/>
      </c>
      <c r="AB258" s="21" t="str">
        <f>IF(A258="","",SUMIFS('Inventory &amp; COGS'!$H$2:$H$2001,'Inventory &amp; COGS'!$A$2:$A$2001,A258,'Inventory &amp; COGS'!$B$2:$B$2001,"Beverage"))</f>
        <v/>
      </c>
      <c r="AC258" s="21" t="str">
        <f t="shared" si="12"/>
        <v/>
      </c>
      <c r="AD258" s="24" t="str">
        <f t="shared" ref="AD258:AE258" si="273">IF(I258=0,"",AA258/I258)</f>
        <v/>
      </c>
      <c r="AE258" s="24" t="str">
        <f t="shared" si="273"/>
        <v/>
      </c>
      <c r="AF258" s="21" t="str">
        <f t="shared" si="14"/>
        <v/>
      </c>
      <c r="AG258" s="24" t="str">
        <f t="shared" si="15"/>
        <v>#DIV/0!</v>
      </c>
      <c r="AH258" s="25" t="str">
        <f t="shared" si="16"/>
        <v/>
      </c>
      <c r="AI258" s="25" t="str">
        <f t="shared" si="17"/>
        <v/>
      </c>
      <c r="AJ258" s="26" t="str">
        <f t="shared" si="18"/>
        <v/>
      </c>
    </row>
    <row r="259" ht="15.75" customHeight="1">
      <c r="A259" s="3"/>
      <c r="B259" s="18" t="str">
        <f t="shared" si="2"/>
        <v/>
      </c>
      <c r="C259" s="19"/>
      <c r="D259" s="19"/>
      <c r="E259" s="19"/>
      <c r="F259" s="20"/>
      <c r="G259" s="20"/>
      <c r="H259" s="21" t="str">
        <f t="shared" si="3"/>
        <v/>
      </c>
      <c r="I259" s="20"/>
      <c r="J259" s="20"/>
      <c r="K259" s="20"/>
      <c r="L259" s="20"/>
      <c r="M259" s="21" t="str">
        <f t="shared" si="4"/>
        <v/>
      </c>
      <c r="N259" s="20"/>
      <c r="O259" s="20"/>
      <c r="P259" s="20"/>
      <c r="Q259" s="21" t="str">
        <f t="shared" si="5"/>
        <v/>
      </c>
      <c r="R259" s="21" t="str">
        <f t="shared" si="6"/>
        <v/>
      </c>
      <c r="S259" s="22"/>
      <c r="T259" s="22"/>
      <c r="U259" s="23" t="str">
        <f t="shared" si="7"/>
        <v/>
      </c>
      <c r="V259" s="21" t="str">
        <f t="shared" si="8"/>
        <v>#DIV/0!</v>
      </c>
      <c r="W259" s="24" t="str">
        <f t="shared" si="9"/>
        <v>#DIV/0!</v>
      </c>
      <c r="X259" s="24" t="str">
        <f t="shared" si="10"/>
        <v>#DIV/0!</v>
      </c>
      <c r="Y259" s="21" t="str">
        <f>IF(A259="","",SUMIFS('Labor Log'!$I$2:$I$2001,'Labor Log'!$A$2:$A$2001,A259))</f>
        <v/>
      </c>
      <c r="Z259" s="24" t="str">
        <f t="shared" si="11"/>
        <v>#DIV/0!</v>
      </c>
      <c r="AA259" s="21" t="str">
        <f>IF(A259="","",SUMIFS('Inventory &amp; COGS'!$H$2:$H$2001,'Inventory &amp; COGS'!$A$2:$A$2001,A259,'Inventory &amp; COGS'!$B$2:$B$2001,"Food"))</f>
        <v/>
      </c>
      <c r="AB259" s="21" t="str">
        <f>IF(A259="","",SUMIFS('Inventory &amp; COGS'!$H$2:$H$2001,'Inventory &amp; COGS'!$A$2:$A$2001,A259,'Inventory &amp; COGS'!$B$2:$B$2001,"Beverage"))</f>
        <v/>
      </c>
      <c r="AC259" s="21" t="str">
        <f t="shared" si="12"/>
        <v/>
      </c>
      <c r="AD259" s="24" t="str">
        <f t="shared" ref="AD259:AE259" si="274">IF(I259=0,"",AA259/I259)</f>
        <v/>
      </c>
      <c r="AE259" s="24" t="str">
        <f t="shared" si="274"/>
        <v/>
      </c>
      <c r="AF259" s="21" t="str">
        <f t="shared" si="14"/>
        <v/>
      </c>
      <c r="AG259" s="24" t="str">
        <f t="shared" si="15"/>
        <v>#DIV/0!</v>
      </c>
      <c r="AH259" s="25" t="str">
        <f t="shared" si="16"/>
        <v/>
      </c>
      <c r="AI259" s="25" t="str">
        <f t="shared" si="17"/>
        <v/>
      </c>
      <c r="AJ259" s="26" t="str">
        <f t="shared" si="18"/>
        <v/>
      </c>
    </row>
    <row r="260" ht="15.75" customHeight="1">
      <c r="A260" s="3"/>
      <c r="B260" s="18" t="str">
        <f t="shared" si="2"/>
        <v/>
      </c>
      <c r="C260" s="19"/>
      <c r="D260" s="19"/>
      <c r="E260" s="19"/>
      <c r="F260" s="20"/>
      <c r="G260" s="20"/>
      <c r="H260" s="21" t="str">
        <f t="shared" si="3"/>
        <v/>
      </c>
      <c r="I260" s="20"/>
      <c r="J260" s="20"/>
      <c r="K260" s="20"/>
      <c r="L260" s="20"/>
      <c r="M260" s="21" t="str">
        <f t="shared" si="4"/>
        <v/>
      </c>
      <c r="N260" s="20"/>
      <c r="O260" s="20"/>
      <c r="P260" s="20"/>
      <c r="Q260" s="21" t="str">
        <f t="shared" si="5"/>
        <v/>
      </c>
      <c r="R260" s="21" t="str">
        <f t="shared" si="6"/>
        <v/>
      </c>
      <c r="S260" s="22"/>
      <c r="T260" s="22"/>
      <c r="U260" s="23" t="str">
        <f t="shared" si="7"/>
        <v/>
      </c>
      <c r="V260" s="21" t="str">
        <f t="shared" si="8"/>
        <v>#DIV/0!</v>
      </c>
      <c r="W260" s="24" t="str">
        <f t="shared" si="9"/>
        <v>#DIV/0!</v>
      </c>
      <c r="X260" s="24" t="str">
        <f t="shared" si="10"/>
        <v>#DIV/0!</v>
      </c>
      <c r="Y260" s="21" t="str">
        <f>IF(A260="","",SUMIFS('Labor Log'!$I$2:$I$2001,'Labor Log'!$A$2:$A$2001,A260))</f>
        <v/>
      </c>
      <c r="Z260" s="24" t="str">
        <f t="shared" si="11"/>
        <v>#DIV/0!</v>
      </c>
      <c r="AA260" s="21" t="str">
        <f>IF(A260="","",SUMIFS('Inventory &amp; COGS'!$H$2:$H$2001,'Inventory &amp; COGS'!$A$2:$A$2001,A260,'Inventory &amp; COGS'!$B$2:$B$2001,"Food"))</f>
        <v/>
      </c>
      <c r="AB260" s="21" t="str">
        <f>IF(A260="","",SUMIFS('Inventory &amp; COGS'!$H$2:$H$2001,'Inventory &amp; COGS'!$A$2:$A$2001,A260,'Inventory &amp; COGS'!$B$2:$B$2001,"Beverage"))</f>
        <v/>
      </c>
      <c r="AC260" s="21" t="str">
        <f t="shared" si="12"/>
        <v/>
      </c>
      <c r="AD260" s="24" t="str">
        <f t="shared" ref="AD260:AE260" si="275">IF(I260=0,"",AA260/I260)</f>
        <v/>
      </c>
      <c r="AE260" s="24" t="str">
        <f t="shared" si="275"/>
        <v/>
      </c>
      <c r="AF260" s="21" t="str">
        <f t="shared" si="14"/>
        <v/>
      </c>
      <c r="AG260" s="24" t="str">
        <f t="shared" si="15"/>
        <v>#DIV/0!</v>
      </c>
      <c r="AH260" s="25" t="str">
        <f t="shared" si="16"/>
        <v/>
      </c>
      <c r="AI260" s="25" t="str">
        <f t="shared" si="17"/>
        <v/>
      </c>
      <c r="AJ260" s="26" t="str">
        <f t="shared" si="18"/>
        <v/>
      </c>
    </row>
    <row r="261" ht="15.75" customHeight="1">
      <c r="A261" s="3"/>
      <c r="B261" s="18" t="str">
        <f t="shared" si="2"/>
        <v/>
      </c>
      <c r="C261" s="19"/>
      <c r="D261" s="19"/>
      <c r="E261" s="19"/>
      <c r="F261" s="20"/>
      <c r="G261" s="20"/>
      <c r="H261" s="21" t="str">
        <f t="shared" si="3"/>
        <v/>
      </c>
      <c r="I261" s="20"/>
      <c r="J261" s="20"/>
      <c r="K261" s="20"/>
      <c r="L261" s="20"/>
      <c r="M261" s="21" t="str">
        <f t="shared" si="4"/>
        <v/>
      </c>
      <c r="N261" s="20"/>
      <c r="O261" s="20"/>
      <c r="P261" s="20"/>
      <c r="Q261" s="21" t="str">
        <f t="shared" si="5"/>
        <v/>
      </c>
      <c r="R261" s="21" t="str">
        <f t="shared" si="6"/>
        <v/>
      </c>
      <c r="S261" s="22"/>
      <c r="T261" s="22"/>
      <c r="U261" s="23" t="str">
        <f t="shared" si="7"/>
        <v/>
      </c>
      <c r="V261" s="21" t="str">
        <f t="shared" si="8"/>
        <v>#DIV/0!</v>
      </c>
      <c r="W261" s="24" t="str">
        <f t="shared" si="9"/>
        <v>#DIV/0!</v>
      </c>
      <c r="X261" s="24" t="str">
        <f t="shared" si="10"/>
        <v>#DIV/0!</v>
      </c>
      <c r="Y261" s="21" t="str">
        <f>IF(A261="","",SUMIFS('Labor Log'!$I$2:$I$2001,'Labor Log'!$A$2:$A$2001,A261))</f>
        <v/>
      </c>
      <c r="Z261" s="24" t="str">
        <f t="shared" si="11"/>
        <v>#DIV/0!</v>
      </c>
      <c r="AA261" s="21" t="str">
        <f>IF(A261="","",SUMIFS('Inventory &amp; COGS'!$H$2:$H$2001,'Inventory &amp; COGS'!$A$2:$A$2001,A261,'Inventory &amp; COGS'!$B$2:$B$2001,"Food"))</f>
        <v/>
      </c>
      <c r="AB261" s="21" t="str">
        <f>IF(A261="","",SUMIFS('Inventory &amp; COGS'!$H$2:$H$2001,'Inventory &amp; COGS'!$A$2:$A$2001,A261,'Inventory &amp; COGS'!$B$2:$B$2001,"Beverage"))</f>
        <v/>
      </c>
      <c r="AC261" s="21" t="str">
        <f t="shared" si="12"/>
        <v/>
      </c>
      <c r="AD261" s="24" t="str">
        <f t="shared" ref="AD261:AE261" si="276">IF(I261=0,"",AA261/I261)</f>
        <v/>
      </c>
      <c r="AE261" s="24" t="str">
        <f t="shared" si="276"/>
        <v/>
      </c>
      <c r="AF261" s="21" t="str">
        <f t="shared" si="14"/>
        <v/>
      </c>
      <c r="AG261" s="24" t="str">
        <f t="shared" si="15"/>
        <v>#DIV/0!</v>
      </c>
      <c r="AH261" s="25" t="str">
        <f t="shared" si="16"/>
        <v/>
      </c>
      <c r="AI261" s="25" t="str">
        <f t="shared" si="17"/>
        <v/>
      </c>
      <c r="AJ261" s="26" t="str">
        <f t="shared" si="18"/>
        <v/>
      </c>
    </row>
    <row r="262" ht="15.75" customHeight="1">
      <c r="A262" s="3"/>
      <c r="B262" s="18" t="str">
        <f t="shared" si="2"/>
        <v/>
      </c>
      <c r="C262" s="19"/>
      <c r="D262" s="19"/>
      <c r="E262" s="19"/>
      <c r="F262" s="20"/>
      <c r="G262" s="20"/>
      <c r="H262" s="21" t="str">
        <f t="shared" si="3"/>
        <v/>
      </c>
      <c r="I262" s="20"/>
      <c r="J262" s="20"/>
      <c r="K262" s="20"/>
      <c r="L262" s="20"/>
      <c r="M262" s="21" t="str">
        <f t="shared" si="4"/>
        <v/>
      </c>
      <c r="N262" s="20"/>
      <c r="O262" s="20"/>
      <c r="P262" s="20"/>
      <c r="Q262" s="21" t="str">
        <f t="shared" si="5"/>
        <v/>
      </c>
      <c r="R262" s="21" t="str">
        <f t="shared" si="6"/>
        <v/>
      </c>
      <c r="S262" s="22"/>
      <c r="T262" s="22"/>
      <c r="U262" s="23" t="str">
        <f t="shared" si="7"/>
        <v/>
      </c>
      <c r="V262" s="21" t="str">
        <f t="shared" si="8"/>
        <v>#DIV/0!</v>
      </c>
      <c r="W262" s="24" t="str">
        <f t="shared" si="9"/>
        <v>#DIV/0!</v>
      </c>
      <c r="X262" s="24" t="str">
        <f t="shared" si="10"/>
        <v>#DIV/0!</v>
      </c>
      <c r="Y262" s="21" t="str">
        <f>IF(A262="","",SUMIFS('Labor Log'!$I$2:$I$2001,'Labor Log'!$A$2:$A$2001,A262))</f>
        <v/>
      </c>
      <c r="Z262" s="24" t="str">
        <f t="shared" si="11"/>
        <v>#DIV/0!</v>
      </c>
      <c r="AA262" s="21" t="str">
        <f>IF(A262="","",SUMIFS('Inventory &amp; COGS'!$H$2:$H$2001,'Inventory &amp; COGS'!$A$2:$A$2001,A262,'Inventory &amp; COGS'!$B$2:$B$2001,"Food"))</f>
        <v/>
      </c>
      <c r="AB262" s="21" t="str">
        <f>IF(A262="","",SUMIFS('Inventory &amp; COGS'!$H$2:$H$2001,'Inventory &amp; COGS'!$A$2:$A$2001,A262,'Inventory &amp; COGS'!$B$2:$B$2001,"Beverage"))</f>
        <v/>
      </c>
      <c r="AC262" s="21" t="str">
        <f t="shared" si="12"/>
        <v/>
      </c>
      <c r="AD262" s="24" t="str">
        <f t="shared" ref="AD262:AE262" si="277">IF(I262=0,"",AA262/I262)</f>
        <v/>
      </c>
      <c r="AE262" s="24" t="str">
        <f t="shared" si="277"/>
        <v/>
      </c>
      <c r="AF262" s="21" t="str">
        <f t="shared" si="14"/>
        <v/>
      </c>
      <c r="AG262" s="24" t="str">
        <f t="shared" si="15"/>
        <v>#DIV/0!</v>
      </c>
      <c r="AH262" s="25" t="str">
        <f t="shared" si="16"/>
        <v/>
      </c>
      <c r="AI262" s="25" t="str">
        <f t="shared" si="17"/>
        <v/>
      </c>
      <c r="AJ262" s="26" t="str">
        <f t="shared" si="18"/>
        <v/>
      </c>
    </row>
    <row r="263" ht="15.75" customHeight="1">
      <c r="A263" s="3"/>
      <c r="B263" s="18" t="str">
        <f t="shared" si="2"/>
        <v/>
      </c>
      <c r="C263" s="19"/>
      <c r="D263" s="19"/>
      <c r="E263" s="19"/>
      <c r="F263" s="20"/>
      <c r="G263" s="20"/>
      <c r="H263" s="21" t="str">
        <f t="shared" si="3"/>
        <v/>
      </c>
      <c r="I263" s="20"/>
      <c r="J263" s="20"/>
      <c r="K263" s="20"/>
      <c r="L263" s="20"/>
      <c r="M263" s="21" t="str">
        <f t="shared" si="4"/>
        <v/>
      </c>
      <c r="N263" s="20"/>
      <c r="O263" s="20"/>
      <c r="P263" s="20"/>
      <c r="Q263" s="21" t="str">
        <f t="shared" si="5"/>
        <v/>
      </c>
      <c r="R263" s="21" t="str">
        <f t="shared" si="6"/>
        <v/>
      </c>
      <c r="S263" s="22"/>
      <c r="T263" s="22"/>
      <c r="U263" s="23" t="str">
        <f t="shared" si="7"/>
        <v/>
      </c>
      <c r="V263" s="21" t="str">
        <f t="shared" si="8"/>
        <v>#DIV/0!</v>
      </c>
      <c r="W263" s="24" t="str">
        <f t="shared" si="9"/>
        <v>#DIV/0!</v>
      </c>
      <c r="X263" s="24" t="str">
        <f t="shared" si="10"/>
        <v>#DIV/0!</v>
      </c>
      <c r="Y263" s="21" t="str">
        <f>IF(A263="","",SUMIFS('Labor Log'!$I$2:$I$2001,'Labor Log'!$A$2:$A$2001,A263))</f>
        <v/>
      </c>
      <c r="Z263" s="24" t="str">
        <f t="shared" si="11"/>
        <v>#DIV/0!</v>
      </c>
      <c r="AA263" s="21" t="str">
        <f>IF(A263="","",SUMIFS('Inventory &amp; COGS'!$H$2:$H$2001,'Inventory &amp; COGS'!$A$2:$A$2001,A263,'Inventory &amp; COGS'!$B$2:$B$2001,"Food"))</f>
        <v/>
      </c>
      <c r="AB263" s="21" t="str">
        <f>IF(A263="","",SUMIFS('Inventory &amp; COGS'!$H$2:$H$2001,'Inventory &amp; COGS'!$A$2:$A$2001,A263,'Inventory &amp; COGS'!$B$2:$B$2001,"Beverage"))</f>
        <v/>
      </c>
      <c r="AC263" s="21" t="str">
        <f t="shared" si="12"/>
        <v/>
      </c>
      <c r="AD263" s="24" t="str">
        <f t="shared" ref="AD263:AE263" si="278">IF(I263=0,"",AA263/I263)</f>
        <v/>
      </c>
      <c r="AE263" s="24" t="str">
        <f t="shared" si="278"/>
        <v/>
      </c>
      <c r="AF263" s="21" t="str">
        <f t="shared" si="14"/>
        <v/>
      </c>
      <c r="AG263" s="24" t="str">
        <f t="shared" si="15"/>
        <v>#DIV/0!</v>
      </c>
      <c r="AH263" s="25" t="str">
        <f t="shared" si="16"/>
        <v/>
      </c>
      <c r="AI263" s="25" t="str">
        <f t="shared" si="17"/>
        <v/>
      </c>
      <c r="AJ263" s="26" t="str">
        <f t="shared" si="18"/>
        <v/>
      </c>
    </row>
    <row r="264" ht="15.75" customHeight="1">
      <c r="A264" s="3"/>
      <c r="B264" s="18" t="str">
        <f t="shared" si="2"/>
        <v/>
      </c>
      <c r="C264" s="19"/>
      <c r="D264" s="19"/>
      <c r="E264" s="19"/>
      <c r="F264" s="20"/>
      <c r="G264" s="20"/>
      <c r="H264" s="21" t="str">
        <f t="shared" si="3"/>
        <v/>
      </c>
      <c r="I264" s="20"/>
      <c r="J264" s="20"/>
      <c r="K264" s="20"/>
      <c r="L264" s="20"/>
      <c r="M264" s="21" t="str">
        <f t="shared" si="4"/>
        <v/>
      </c>
      <c r="N264" s="20"/>
      <c r="O264" s="20"/>
      <c r="P264" s="20"/>
      <c r="Q264" s="21" t="str">
        <f t="shared" si="5"/>
        <v/>
      </c>
      <c r="R264" s="21" t="str">
        <f t="shared" si="6"/>
        <v/>
      </c>
      <c r="S264" s="22"/>
      <c r="T264" s="22"/>
      <c r="U264" s="23" t="str">
        <f t="shared" si="7"/>
        <v/>
      </c>
      <c r="V264" s="21" t="str">
        <f t="shared" si="8"/>
        <v>#DIV/0!</v>
      </c>
      <c r="W264" s="24" t="str">
        <f t="shared" si="9"/>
        <v>#DIV/0!</v>
      </c>
      <c r="X264" s="24" t="str">
        <f t="shared" si="10"/>
        <v>#DIV/0!</v>
      </c>
      <c r="Y264" s="21" t="str">
        <f>IF(A264="","",SUMIFS('Labor Log'!$I$2:$I$2001,'Labor Log'!$A$2:$A$2001,A264))</f>
        <v/>
      </c>
      <c r="Z264" s="24" t="str">
        <f t="shared" si="11"/>
        <v>#DIV/0!</v>
      </c>
      <c r="AA264" s="21" t="str">
        <f>IF(A264="","",SUMIFS('Inventory &amp; COGS'!$H$2:$H$2001,'Inventory &amp; COGS'!$A$2:$A$2001,A264,'Inventory &amp; COGS'!$B$2:$B$2001,"Food"))</f>
        <v/>
      </c>
      <c r="AB264" s="21" t="str">
        <f>IF(A264="","",SUMIFS('Inventory &amp; COGS'!$H$2:$H$2001,'Inventory &amp; COGS'!$A$2:$A$2001,A264,'Inventory &amp; COGS'!$B$2:$B$2001,"Beverage"))</f>
        <v/>
      </c>
      <c r="AC264" s="21" t="str">
        <f t="shared" si="12"/>
        <v/>
      </c>
      <c r="AD264" s="24" t="str">
        <f t="shared" ref="AD264:AE264" si="279">IF(I264=0,"",AA264/I264)</f>
        <v/>
      </c>
      <c r="AE264" s="24" t="str">
        <f t="shared" si="279"/>
        <v/>
      </c>
      <c r="AF264" s="21" t="str">
        <f t="shared" si="14"/>
        <v/>
      </c>
      <c r="AG264" s="24" t="str">
        <f t="shared" si="15"/>
        <v>#DIV/0!</v>
      </c>
      <c r="AH264" s="25" t="str">
        <f t="shared" si="16"/>
        <v/>
      </c>
      <c r="AI264" s="25" t="str">
        <f t="shared" si="17"/>
        <v/>
      </c>
      <c r="AJ264" s="26" t="str">
        <f t="shared" si="18"/>
        <v/>
      </c>
    </row>
    <row r="265" ht="15.75" customHeight="1">
      <c r="A265" s="3"/>
      <c r="B265" s="18" t="str">
        <f t="shared" si="2"/>
        <v/>
      </c>
      <c r="C265" s="19"/>
      <c r="D265" s="19"/>
      <c r="E265" s="19"/>
      <c r="F265" s="20"/>
      <c r="G265" s="20"/>
      <c r="H265" s="21" t="str">
        <f t="shared" si="3"/>
        <v/>
      </c>
      <c r="I265" s="20"/>
      <c r="J265" s="20"/>
      <c r="K265" s="20"/>
      <c r="L265" s="20"/>
      <c r="M265" s="21" t="str">
        <f t="shared" si="4"/>
        <v/>
      </c>
      <c r="N265" s="20"/>
      <c r="O265" s="20"/>
      <c r="P265" s="20"/>
      <c r="Q265" s="21" t="str">
        <f t="shared" si="5"/>
        <v/>
      </c>
      <c r="R265" s="21" t="str">
        <f t="shared" si="6"/>
        <v/>
      </c>
      <c r="S265" s="22"/>
      <c r="T265" s="22"/>
      <c r="U265" s="23" t="str">
        <f t="shared" si="7"/>
        <v/>
      </c>
      <c r="V265" s="21" t="str">
        <f t="shared" si="8"/>
        <v>#DIV/0!</v>
      </c>
      <c r="W265" s="24" t="str">
        <f t="shared" si="9"/>
        <v>#DIV/0!</v>
      </c>
      <c r="X265" s="24" t="str">
        <f t="shared" si="10"/>
        <v>#DIV/0!</v>
      </c>
      <c r="Y265" s="21" t="str">
        <f>IF(A265="","",SUMIFS('Labor Log'!$I$2:$I$2001,'Labor Log'!$A$2:$A$2001,A265))</f>
        <v/>
      </c>
      <c r="Z265" s="24" t="str">
        <f t="shared" si="11"/>
        <v>#DIV/0!</v>
      </c>
      <c r="AA265" s="21" t="str">
        <f>IF(A265="","",SUMIFS('Inventory &amp; COGS'!$H$2:$H$2001,'Inventory &amp; COGS'!$A$2:$A$2001,A265,'Inventory &amp; COGS'!$B$2:$B$2001,"Food"))</f>
        <v/>
      </c>
      <c r="AB265" s="21" t="str">
        <f>IF(A265="","",SUMIFS('Inventory &amp; COGS'!$H$2:$H$2001,'Inventory &amp; COGS'!$A$2:$A$2001,A265,'Inventory &amp; COGS'!$B$2:$B$2001,"Beverage"))</f>
        <v/>
      </c>
      <c r="AC265" s="21" t="str">
        <f t="shared" si="12"/>
        <v/>
      </c>
      <c r="AD265" s="24" t="str">
        <f t="shared" ref="AD265:AE265" si="280">IF(I265=0,"",AA265/I265)</f>
        <v/>
      </c>
      <c r="AE265" s="24" t="str">
        <f t="shared" si="280"/>
        <v/>
      </c>
      <c r="AF265" s="21" t="str">
        <f t="shared" si="14"/>
        <v/>
      </c>
      <c r="AG265" s="24" t="str">
        <f t="shared" si="15"/>
        <v>#DIV/0!</v>
      </c>
      <c r="AH265" s="25" t="str">
        <f t="shared" si="16"/>
        <v/>
      </c>
      <c r="AI265" s="25" t="str">
        <f t="shared" si="17"/>
        <v/>
      </c>
      <c r="AJ265" s="26" t="str">
        <f t="shared" si="18"/>
        <v/>
      </c>
    </row>
    <row r="266" ht="15.75" customHeight="1">
      <c r="A266" s="3"/>
      <c r="B266" s="18" t="str">
        <f t="shared" si="2"/>
        <v/>
      </c>
      <c r="C266" s="19"/>
      <c r="D266" s="19"/>
      <c r="E266" s="19"/>
      <c r="F266" s="20"/>
      <c r="G266" s="20"/>
      <c r="H266" s="21" t="str">
        <f t="shared" si="3"/>
        <v/>
      </c>
      <c r="I266" s="20"/>
      <c r="J266" s="20"/>
      <c r="K266" s="20"/>
      <c r="L266" s="20"/>
      <c r="M266" s="21" t="str">
        <f t="shared" si="4"/>
        <v/>
      </c>
      <c r="N266" s="20"/>
      <c r="O266" s="20"/>
      <c r="P266" s="20"/>
      <c r="Q266" s="21" t="str">
        <f t="shared" si="5"/>
        <v/>
      </c>
      <c r="R266" s="21" t="str">
        <f t="shared" si="6"/>
        <v/>
      </c>
      <c r="S266" s="22"/>
      <c r="T266" s="22"/>
      <c r="U266" s="23" t="str">
        <f t="shared" si="7"/>
        <v/>
      </c>
      <c r="V266" s="21" t="str">
        <f t="shared" si="8"/>
        <v>#DIV/0!</v>
      </c>
      <c r="W266" s="24" t="str">
        <f t="shared" si="9"/>
        <v>#DIV/0!</v>
      </c>
      <c r="X266" s="24" t="str">
        <f t="shared" si="10"/>
        <v>#DIV/0!</v>
      </c>
      <c r="Y266" s="21" t="str">
        <f>IF(A266="","",SUMIFS('Labor Log'!$I$2:$I$2001,'Labor Log'!$A$2:$A$2001,A266))</f>
        <v/>
      </c>
      <c r="Z266" s="24" t="str">
        <f t="shared" si="11"/>
        <v>#DIV/0!</v>
      </c>
      <c r="AA266" s="21" t="str">
        <f>IF(A266="","",SUMIFS('Inventory &amp; COGS'!$H$2:$H$2001,'Inventory &amp; COGS'!$A$2:$A$2001,A266,'Inventory &amp; COGS'!$B$2:$B$2001,"Food"))</f>
        <v/>
      </c>
      <c r="AB266" s="21" t="str">
        <f>IF(A266="","",SUMIFS('Inventory &amp; COGS'!$H$2:$H$2001,'Inventory &amp; COGS'!$A$2:$A$2001,A266,'Inventory &amp; COGS'!$B$2:$B$2001,"Beverage"))</f>
        <v/>
      </c>
      <c r="AC266" s="21" t="str">
        <f t="shared" si="12"/>
        <v/>
      </c>
      <c r="AD266" s="24" t="str">
        <f t="shared" ref="AD266:AE266" si="281">IF(I266=0,"",AA266/I266)</f>
        <v/>
      </c>
      <c r="AE266" s="24" t="str">
        <f t="shared" si="281"/>
        <v/>
      </c>
      <c r="AF266" s="21" t="str">
        <f t="shared" si="14"/>
        <v/>
      </c>
      <c r="AG266" s="24" t="str">
        <f t="shared" si="15"/>
        <v>#DIV/0!</v>
      </c>
      <c r="AH266" s="25" t="str">
        <f t="shared" si="16"/>
        <v/>
      </c>
      <c r="AI266" s="25" t="str">
        <f t="shared" si="17"/>
        <v/>
      </c>
      <c r="AJ266" s="26" t="str">
        <f t="shared" si="18"/>
        <v/>
      </c>
    </row>
    <row r="267" ht="15.75" customHeight="1">
      <c r="A267" s="3"/>
      <c r="B267" s="18" t="str">
        <f t="shared" si="2"/>
        <v/>
      </c>
      <c r="C267" s="19"/>
      <c r="D267" s="19"/>
      <c r="E267" s="19"/>
      <c r="F267" s="20"/>
      <c r="G267" s="20"/>
      <c r="H267" s="21" t="str">
        <f t="shared" si="3"/>
        <v/>
      </c>
      <c r="I267" s="20"/>
      <c r="J267" s="20"/>
      <c r="K267" s="20"/>
      <c r="L267" s="20"/>
      <c r="M267" s="21" t="str">
        <f t="shared" si="4"/>
        <v/>
      </c>
      <c r="N267" s="20"/>
      <c r="O267" s="20"/>
      <c r="P267" s="20"/>
      <c r="Q267" s="21" t="str">
        <f t="shared" si="5"/>
        <v/>
      </c>
      <c r="R267" s="21" t="str">
        <f t="shared" si="6"/>
        <v/>
      </c>
      <c r="S267" s="22"/>
      <c r="T267" s="22"/>
      <c r="U267" s="23" t="str">
        <f t="shared" si="7"/>
        <v/>
      </c>
      <c r="V267" s="21" t="str">
        <f t="shared" si="8"/>
        <v>#DIV/0!</v>
      </c>
      <c r="W267" s="24" t="str">
        <f t="shared" si="9"/>
        <v>#DIV/0!</v>
      </c>
      <c r="X267" s="24" t="str">
        <f t="shared" si="10"/>
        <v>#DIV/0!</v>
      </c>
      <c r="Y267" s="21" t="str">
        <f>IF(A267="","",SUMIFS('Labor Log'!$I$2:$I$2001,'Labor Log'!$A$2:$A$2001,A267))</f>
        <v/>
      </c>
      <c r="Z267" s="24" t="str">
        <f t="shared" si="11"/>
        <v>#DIV/0!</v>
      </c>
      <c r="AA267" s="21" t="str">
        <f>IF(A267="","",SUMIFS('Inventory &amp; COGS'!$H$2:$H$2001,'Inventory &amp; COGS'!$A$2:$A$2001,A267,'Inventory &amp; COGS'!$B$2:$B$2001,"Food"))</f>
        <v/>
      </c>
      <c r="AB267" s="21" t="str">
        <f>IF(A267="","",SUMIFS('Inventory &amp; COGS'!$H$2:$H$2001,'Inventory &amp; COGS'!$A$2:$A$2001,A267,'Inventory &amp; COGS'!$B$2:$B$2001,"Beverage"))</f>
        <v/>
      </c>
      <c r="AC267" s="21" t="str">
        <f t="shared" si="12"/>
        <v/>
      </c>
      <c r="AD267" s="24" t="str">
        <f t="shared" ref="AD267:AE267" si="282">IF(I267=0,"",AA267/I267)</f>
        <v/>
      </c>
      <c r="AE267" s="24" t="str">
        <f t="shared" si="282"/>
        <v/>
      </c>
      <c r="AF267" s="21" t="str">
        <f t="shared" si="14"/>
        <v/>
      </c>
      <c r="AG267" s="24" t="str">
        <f t="shared" si="15"/>
        <v>#DIV/0!</v>
      </c>
      <c r="AH267" s="25" t="str">
        <f t="shared" si="16"/>
        <v/>
      </c>
      <c r="AI267" s="25" t="str">
        <f t="shared" si="17"/>
        <v/>
      </c>
      <c r="AJ267" s="26" t="str">
        <f t="shared" si="18"/>
        <v/>
      </c>
    </row>
    <row r="268" ht="15.75" customHeight="1">
      <c r="A268" s="3"/>
      <c r="B268" s="18" t="str">
        <f t="shared" si="2"/>
        <v/>
      </c>
      <c r="C268" s="19"/>
      <c r="D268" s="19"/>
      <c r="E268" s="19"/>
      <c r="F268" s="20"/>
      <c r="G268" s="20"/>
      <c r="H268" s="21" t="str">
        <f t="shared" si="3"/>
        <v/>
      </c>
      <c r="I268" s="20"/>
      <c r="J268" s="20"/>
      <c r="K268" s="20"/>
      <c r="L268" s="20"/>
      <c r="M268" s="21" t="str">
        <f t="shared" si="4"/>
        <v/>
      </c>
      <c r="N268" s="20"/>
      <c r="O268" s="20"/>
      <c r="P268" s="20"/>
      <c r="Q268" s="21" t="str">
        <f t="shared" si="5"/>
        <v/>
      </c>
      <c r="R268" s="21" t="str">
        <f t="shared" si="6"/>
        <v/>
      </c>
      <c r="S268" s="22"/>
      <c r="T268" s="22"/>
      <c r="U268" s="23" t="str">
        <f t="shared" si="7"/>
        <v/>
      </c>
      <c r="V268" s="21" t="str">
        <f t="shared" si="8"/>
        <v>#DIV/0!</v>
      </c>
      <c r="W268" s="24" t="str">
        <f t="shared" si="9"/>
        <v>#DIV/0!</v>
      </c>
      <c r="X268" s="24" t="str">
        <f t="shared" si="10"/>
        <v>#DIV/0!</v>
      </c>
      <c r="Y268" s="21" t="str">
        <f>IF(A268="","",SUMIFS('Labor Log'!$I$2:$I$2001,'Labor Log'!$A$2:$A$2001,A268))</f>
        <v/>
      </c>
      <c r="Z268" s="24" t="str">
        <f t="shared" si="11"/>
        <v>#DIV/0!</v>
      </c>
      <c r="AA268" s="21" t="str">
        <f>IF(A268="","",SUMIFS('Inventory &amp; COGS'!$H$2:$H$2001,'Inventory &amp; COGS'!$A$2:$A$2001,A268,'Inventory &amp; COGS'!$B$2:$B$2001,"Food"))</f>
        <v/>
      </c>
      <c r="AB268" s="21" t="str">
        <f>IF(A268="","",SUMIFS('Inventory &amp; COGS'!$H$2:$H$2001,'Inventory &amp; COGS'!$A$2:$A$2001,A268,'Inventory &amp; COGS'!$B$2:$B$2001,"Beverage"))</f>
        <v/>
      </c>
      <c r="AC268" s="21" t="str">
        <f t="shared" si="12"/>
        <v/>
      </c>
      <c r="AD268" s="24" t="str">
        <f t="shared" ref="AD268:AE268" si="283">IF(I268=0,"",AA268/I268)</f>
        <v/>
      </c>
      <c r="AE268" s="24" t="str">
        <f t="shared" si="283"/>
        <v/>
      </c>
      <c r="AF268" s="21" t="str">
        <f t="shared" si="14"/>
        <v/>
      </c>
      <c r="AG268" s="24" t="str">
        <f t="shared" si="15"/>
        <v>#DIV/0!</v>
      </c>
      <c r="AH268" s="25" t="str">
        <f t="shared" si="16"/>
        <v/>
      </c>
      <c r="AI268" s="25" t="str">
        <f t="shared" si="17"/>
        <v/>
      </c>
      <c r="AJ268" s="26" t="str">
        <f t="shared" si="18"/>
        <v/>
      </c>
    </row>
    <row r="269" ht="15.75" customHeight="1">
      <c r="A269" s="3"/>
      <c r="B269" s="18" t="str">
        <f t="shared" si="2"/>
        <v/>
      </c>
      <c r="C269" s="19"/>
      <c r="D269" s="19"/>
      <c r="E269" s="19"/>
      <c r="F269" s="20"/>
      <c r="G269" s="20"/>
      <c r="H269" s="21" t="str">
        <f t="shared" si="3"/>
        <v/>
      </c>
      <c r="I269" s="20"/>
      <c r="J269" s="20"/>
      <c r="K269" s="20"/>
      <c r="L269" s="20"/>
      <c r="M269" s="21" t="str">
        <f t="shared" si="4"/>
        <v/>
      </c>
      <c r="N269" s="20"/>
      <c r="O269" s="20"/>
      <c r="P269" s="20"/>
      <c r="Q269" s="21" t="str">
        <f t="shared" si="5"/>
        <v/>
      </c>
      <c r="R269" s="21" t="str">
        <f t="shared" si="6"/>
        <v/>
      </c>
      <c r="S269" s="22"/>
      <c r="T269" s="22"/>
      <c r="U269" s="23" t="str">
        <f t="shared" si="7"/>
        <v/>
      </c>
      <c r="V269" s="21" t="str">
        <f t="shared" si="8"/>
        <v>#DIV/0!</v>
      </c>
      <c r="W269" s="24" t="str">
        <f t="shared" si="9"/>
        <v>#DIV/0!</v>
      </c>
      <c r="X269" s="24" t="str">
        <f t="shared" si="10"/>
        <v>#DIV/0!</v>
      </c>
      <c r="Y269" s="21" t="str">
        <f>IF(A269="","",SUMIFS('Labor Log'!$I$2:$I$2001,'Labor Log'!$A$2:$A$2001,A269))</f>
        <v/>
      </c>
      <c r="Z269" s="24" t="str">
        <f t="shared" si="11"/>
        <v>#DIV/0!</v>
      </c>
      <c r="AA269" s="21" t="str">
        <f>IF(A269="","",SUMIFS('Inventory &amp; COGS'!$H$2:$H$2001,'Inventory &amp; COGS'!$A$2:$A$2001,A269,'Inventory &amp; COGS'!$B$2:$B$2001,"Food"))</f>
        <v/>
      </c>
      <c r="AB269" s="21" t="str">
        <f>IF(A269="","",SUMIFS('Inventory &amp; COGS'!$H$2:$H$2001,'Inventory &amp; COGS'!$A$2:$A$2001,A269,'Inventory &amp; COGS'!$B$2:$B$2001,"Beverage"))</f>
        <v/>
      </c>
      <c r="AC269" s="21" t="str">
        <f t="shared" si="12"/>
        <v/>
      </c>
      <c r="AD269" s="24" t="str">
        <f t="shared" ref="AD269:AE269" si="284">IF(I269=0,"",AA269/I269)</f>
        <v/>
      </c>
      <c r="AE269" s="24" t="str">
        <f t="shared" si="284"/>
        <v/>
      </c>
      <c r="AF269" s="21" t="str">
        <f t="shared" si="14"/>
        <v/>
      </c>
      <c r="AG269" s="24" t="str">
        <f t="shared" si="15"/>
        <v>#DIV/0!</v>
      </c>
      <c r="AH269" s="25" t="str">
        <f t="shared" si="16"/>
        <v/>
      </c>
      <c r="AI269" s="25" t="str">
        <f t="shared" si="17"/>
        <v/>
      </c>
      <c r="AJ269" s="26" t="str">
        <f t="shared" si="18"/>
        <v/>
      </c>
    </row>
    <row r="270" ht="15.75" customHeight="1">
      <c r="A270" s="3"/>
      <c r="B270" s="18" t="str">
        <f t="shared" si="2"/>
        <v/>
      </c>
      <c r="C270" s="19"/>
      <c r="D270" s="19"/>
      <c r="E270" s="19"/>
      <c r="F270" s="20"/>
      <c r="G270" s="20"/>
      <c r="H270" s="21" t="str">
        <f t="shared" si="3"/>
        <v/>
      </c>
      <c r="I270" s="20"/>
      <c r="J270" s="20"/>
      <c r="K270" s="20"/>
      <c r="L270" s="20"/>
      <c r="M270" s="21" t="str">
        <f t="shared" si="4"/>
        <v/>
      </c>
      <c r="N270" s="20"/>
      <c r="O270" s="20"/>
      <c r="P270" s="20"/>
      <c r="Q270" s="21" t="str">
        <f t="shared" si="5"/>
        <v/>
      </c>
      <c r="R270" s="21" t="str">
        <f t="shared" si="6"/>
        <v/>
      </c>
      <c r="S270" s="22"/>
      <c r="T270" s="22"/>
      <c r="U270" s="23" t="str">
        <f t="shared" si="7"/>
        <v/>
      </c>
      <c r="V270" s="21" t="str">
        <f t="shared" si="8"/>
        <v>#DIV/0!</v>
      </c>
      <c r="W270" s="24" t="str">
        <f t="shared" si="9"/>
        <v>#DIV/0!</v>
      </c>
      <c r="X270" s="24" t="str">
        <f t="shared" si="10"/>
        <v>#DIV/0!</v>
      </c>
      <c r="Y270" s="21" t="str">
        <f>IF(A270="","",SUMIFS('Labor Log'!$I$2:$I$2001,'Labor Log'!$A$2:$A$2001,A270))</f>
        <v/>
      </c>
      <c r="Z270" s="24" t="str">
        <f t="shared" si="11"/>
        <v>#DIV/0!</v>
      </c>
      <c r="AA270" s="21" t="str">
        <f>IF(A270="","",SUMIFS('Inventory &amp; COGS'!$H$2:$H$2001,'Inventory &amp; COGS'!$A$2:$A$2001,A270,'Inventory &amp; COGS'!$B$2:$B$2001,"Food"))</f>
        <v/>
      </c>
      <c r="AB270" s="21" t="str">
        <f>IF(A270="","",SUMIFS('Inventory &amp; COGS'!$H$2:$H$2001,'Inventory &amp; COGS'!$A$2:$A$2001,A270,'Inventory &amp; COGS'!$B$2:$B$2001,"Beverage"))</f>
        <v/>
      </c>
      <c r="AC270" s="21" t="str">
        <f t="shared" si="12"/>
        <v/>
      </c>
      <c r="AD270" s="24" t="str">
        <f t="shared" ref="AD270:AE270" si="285">IF(I270=0,"",AA270/I270)</f>
        <v/>
      </c>
      <c r="AE270" s="24" t="str">
        <f t="shared" si="285"/>
        <v/>
      </c>
      <c r="AF270" s="21" t="str">
        <f t="shared" si="14"/>
        <v/>
      </c>
      <c r="AG270" s="24" t="str">
        <f t="shared" si="15"/>
        <v>#DIV/0!</v>
      </c>
      <c r="AH270" s="25" t="str">
        <f t="shared" si="16"/>
        <v/>
      </c>
      <c r="AI270" s="25" t="str">
        <f t="shared" si="17"/>
        <v/>
      </c>
      <c r="AJ270" s="26" t="str">
        <f t="shared" si="18"/>
        <v/>
      </c>
    </row>
    <row r="271" ht="15.75" customHeight="1">
      <c r="A271" s="3"/>
      <c r="B271" s="18" t="str">
        <f t="shared" si="2"/>
        <v/>
      </c>
      <c r="C271" s="19"/>
      <c r="D271" s="19"/>
      <c r="E271" s="19"/>
      <c r="F271" s="20"/>
      <c r="G271" s="20"/>
      <c r="H271" s="21" t="str">
        <f t="shared" si="3"/>
        <v/>
      </c>
      <c r="I271" s="20"/>
      <c r="J271" s="20"/>
      <c r="K271" s="20"/>
      <c r="L271" s="20"/>
      <c r="M271" s="21" t="str">
        <f t="shared" si="4"/>
        <v/>
      </c>
      <c r="N271" s="20"/>
      <c r="O271" s="20"/>
      <c r="P271" s="20"/>
      <c r="Q271" s="21" t="str">
        <f t="shared" si="5"/>
        <v/>
      </c>
      <c r="R271" s="21" t="str">
        <f t="shared" si="6"/>
        <v/>
      </c>
      <c r="S271" s="22"/>
      <c r="T271" s="22"/>
      <c r="U271" s="23" t="str">
        <f t="shared" si="7"/>
        <v/>
      </c>
      <c r="V271" s="21" t="str">
        <f t="shared" si="8"/>
        <v>#DIV/0!</v>
      </c>
      <c r="W271" s="24" t="str">
        <f t="shared" si="9"/>
        <v>#DIV/0!</v>
      </c>
      <c r="X271" s="24" t="str">
        <f t="shared" si="10"/>
        <v>#DIV/0!</v>
      </c>
      <c r="Y271" s="21" t="str">
        <f>IF(A271="","",SUMIFS('Labor Log'!$I$2:$I$2001,'Labor Log'!$A$2:$A$2001,A271))</f>
        <v/>
      </c>
      <c r="Z271" s="24" t="str">
        <f t="shared" si="11"/>
        <v>#DIV/0!</v>
      </c>
      <c r="AA271" s="21" t="str">
        <f>IF(A271="","",SUMIFS('Inventory &amp; COGS'!$H$2:$H$2001,'Inventory &amp; COGS'!$A$2:$A$2001,A271,'Inventory &amp; COGS'!$B$2:$B$2001,"Food"))</f>
        <v/>
      </c>
      <c r="AB271" s="21" t="str">
        <f>IF(A271="","",SUMIFS('Inventory &amp; COGS'!$H$2:$H$2001,'Inventory &amp; COGS'!$A$2:$A$2001,A271,'Inventory &amp; COGS'!$B$2:$B$2001,"Beverage"))</f>
        <v/>
      </c>
      <c r="AC271" s="21" t="str">
        <f t="shared" si="12"/>
        <v/>
      </c>
      <c r="AD271" s="24" t="str">
        <f t="shared" ref="AD271:AE271" si="286">IF(I271=0,"",AA271/I271)</f>
        <v/>
      </c>
      <c r="AE271" s="24" t="str">
        <f t="shared" si="286"/>
        <v/>
      </c>
      <c r="AF271" s="21" t="str">
        <f t="shared" si="14"/>
        <v/>
      </c>
      <c r="AG271" s="24" t="str">
        <f t="shared" si="15"/>
        <v>#DIV/0!</v>
      </c>
      <c r="AH271" s="25" t="str">
        <f t="shared" si="16"/>
        <v/>
      </c>
      <c r="AI271" s="25" t="str">
        <f t="shared" si="17"/>
        <v/>
      </c>
      <c r="AJ271" s="26" t="str">
        <f t="shared" si="18"/>
        <v/>
      </c>
    </row>
    <row r="272" ht="15.75" customHeight="1">
      <c r="A272" s="3"/>
      <c r="B272" s="18" t="str">
        <f t="shared" si="2"/>
        <v/>
      </c>
      <c r="C272" s="19"/>
      <c r="D272" s="19"/>
      <c r="E272" s="19"/>
      <c r="F272" s="20"/>
      <c r="G272" s="20"/>
      <c r="H272" s="21" t="str">
        <f t="shared" si="3"/>
        <v/>
      </c>
      <c r="I272" s="20"/>
      <c r="J272" s="20"/>
      <c r="K272" s="20"/>
      <c r="L272" s="20"/>
      <c r="M272" s="21" t="str">
        <f t="shared" si="4"/>
        <v/>
      </c>
      <c r="N272" s="20"/>
      <c r="O272" s="20"/>
      <c r="P272" s="20"/>
      <c r="Q272" s="21" t="str">
        <f t="shared" si="5"/>
        <v/>
      </c>
      <c r="R272" s="21" t="str">
        <f t="shared" si="6"/>
        <v/>
      </c>
      <c r="S272" s="22"/>
      <c r="T272" s="22"/>
      <c r="U272" s="23" t="str">
        <f t="shared" si="7"/>
        <v/>
      </c>
      <c r="V272" s="21" t="str">
        <f t="shared" si="8"/>
        <v>#DIV/0!</v>
      </c>
      <c r="W272" s="24" t="str">
        <f t="shared" si="9"/>
        <v>#DIV/0!</v>
      </c>
      <c r="X272" s="24" t="str">
        <f t="shared" si="10"/>
        <v>#DIV/0!</v>
      </c>
      <c r="Y272" s="21" t="str">
        <f>IF(A272="","",SUMIFS('Labor Log'!$I$2:$I$2001,'Labor Log'!$A$2:$A$2001,A272))</f>
        <v/>
      </c>
      <c r="Z272" s="24" t="str">
        <f t="shared" si="11"/>
        <v>#DIV/0!</v>
      </c>
      <c r="AA272" s="21" t="str">
        <f>IF(A272="","",SUMIFS('Inventory &amp; COGS'!$H$2:$H$2001,'Inventory &amp; COGS'!$A$2:$A$2001,A272,'Inventory &amp; COGS'!$B$2:$B$2001,"Food"))</f>
        <v/>
      </c>
      <c r="AB272" s="21" t="str">
        <f>IF(A272="","",SUMIFS('Inventory &amp; COGS'!$H$2:$H$2001,'Inventory &amp; COGS'!$A$2:$A$2001,A272,'Inventory &amp; COGS'!$B$2:$B$2001,"Beverage"))</f>
        <v/>
      </c>
      <c r="AC272" s="21" t="str">
        <f t="shared" si="12"/>
        <v/>
      </c>
      <c r="AD272" s="24" t="str">
        <f t="shared" ref="AD272:AE272" si="287">IF(I272=0,"",AA272/I272)</f>
        <v/>
      </c>
      <c r="AE272" s="24" t="str">
        <f t="shared" si="287"/>
        <v/>
      </c>
      <c r="AF272" s="21" t="str">
        <f t="shared" si="14"/>
        <v/>
      </c>
      <c r="AG272" s="24" t="str">
        <f t="shared" si="15"/>
        <v>#DIV/0!</v>
      </c>
      <c r="AH272" s="25" t="str">
        <f t="shared" si="16"/>
        <v/>
      </c>
      <c r="AI272" s="25" t="str">
        <f t="shared" si="17"/>
        <v/>
      </c>
      <c r="AJ272" s="26" t="str">
        <f t="shared" si="18"/>
        <v/>
      </c>
    </row>
    <row r="273" ht="15.75" customHeight="1">
      <c r="A273" s="3"/>
      <c r="B273" s="18" t="str">
        <f t="shared" si="2"/>
        <v/>
      </c>
      <c r="C273" s="19"/>
      <c r="D273" s="19"/>
      <c r="E273" s="19"/>
      <c r="F273" s="20"/>
      <c r="G273" s="20"/>
      <c r="H273" s="21" t="str">
        <f t="shared" si="3"/>
        <v/>
      </c>
      <c r="I273" s="20"/>
      <c r="J273" s="20"/>
      <c r="K273" s="20"/>
      <c r="L273" s="20"/>
      <c r="M273" s="21" t="str">
        <f t="shared" si="4"/>
        <v/>
      </c>
      <c r="N273" s="20"/>
      <c r="O273" s="20"/>
      <c r="P273" s="20"/>
      <c r="Q273" s="21" t="str">
        <f t="shared" si="5"/>
        <v/>
      </c>
      <c r="R273" s="21" t="str">
        <f t="shared" si="6"/>
        <v/>
      </c>
      <c r="S273" s="22"/>
      <c r="T273" s="22"/>
      <c r="U273" s="23" t="str">
        <f t="shared" si="7"/>
        <v/>
      </c>
      <c r="V273" s="21" t="str">
        <f t="shared" si="8"/>
        <v>#DIV/0!</v>
      </c>
      <c r="W273" s="24" t="str">
        <f t="shared" si="9"/>
        <v>#DIV/0!</v>
      </c>
      <c r="X273" s="24" t="str">
        <f t="shared" si="10"/>
        <v>#DIV/0!</v>
      </c>
      <c r="Y273" s="21" t="str">
        <f>IF(A273="","",SUMIFS('Labor Log'!$I$2:$I$2001,'Labor Log'!$A$2:$A$2001,A273))</f>
        <v/>
      </c>
      <c r="Z273" s="24" t="str">
        <f t="shared" si="11"/>
        <v>#DIV/0!</v>
      </c>
      <c r="AA273" s="21" t="str">
        <f>IF(A273="","",SUMIFS('Inventory &amp; COGS'!$H$2:$H$2001,'Inventory &amp; COGS'!$A$2:$A$2001,A273,'Inventory &amp; COGS'!$B$2:$B$2001,"Food"))</f>
        <v/>
      </c>
      <c r="AB273" s="21" t="str">
        <f>IF(A273="","",SUMIFS('Inventory &amp; COGS'!$H$2:$H$2001,'Inventory &amp; COGS'!$A$2:$A$2001,A273,'Inventory &amp; COGS'!$B$2:$B$2001,"Beverage"))</f>
        <v/>
      </c>
      <c r="AC273" s="21" t="str">
        <f t="shared" si="12"/>
        <v/>
      </c>
      <c r="AD273" s="24" t="str">
        <f t="shared" ref="AD273:AE273" si="288">IF(I273=0,"",AA273/I273)</f>
        <v/>
      </c>
      <c r="AE273" s="24" t="str">
        <f t="shared" si="288"/>
        <v/>
      </c>
      <c r="AF273" s="21" t="str">
        <f t="shared" si="14"/>
        <v/>
      </c>
      <c r="AG273" s="24" t="str">
        <f t="shared" si="15"/>
        <v>#DIV/0!</v>
      </c>
      <c r="AH273" s="25" t="str">
        <f t="shared" si="16"/>
        <v/>
      </c>
      <c r="AI273" s="25" t="str">
        <f t="shared" si="17"/>
        <v/>
      </c>
      <c r="AJ273" s="26" t="str">
        <f t="shared" si="18"/>
        <v/>
      </c>
    </row>
    <row r="274" ht="15.75" customHeight="1">
      <c r="A274" s="3"/>
      <c r="B274" s="18" t="str">
        <f t="shared" si="2"/>
        <v/>
      </c>
      <c r="C274" s="19"/>
      <c r="D274" s="19"/>
      <c r="E274" s="19"/>
      <c r="F274" s="20"/>
      <c r="G274" s="20"/>
      <c r="H274" s="21" t="str">
        <f t="shared" si="3"/>
        <v/>
      </c>
      <c r="I274" s="20"/>
      <c r="J274" s="20"/>
      <c r="K274" s="20"/>
      <c r="L274" s="20"/>
      <c r="M274" s="21" t="str">
        <f t="shared" si="4"/>
        <v/>
      </c>
      <c r="N274" s="20"/>
      <c r="O274" s="20"/>
      <c r="P274" s="20"/>
      <c r="Q274" s="21" t="str">
        <f t="shared" si="5"/>
        <v/>
      </c>
      <c r="R274" s="21" t="str">
        <f t="shared" si="6"/>
        <v/>
      </c>
      <c r="S274" s="22"/>
      <c r="T274" s="22"/>
      <c r="U274" s="23" t="str">
        <f t="shared" si="7"/>
        <v/>
      </c>
      <c r="V274" s="21" t="str">
        <f t="shared" si="8"/>
        <v>#DIV/0!</v>
      </c>
      <c r="W274" s="24" t="str">
        <f t="shared" si="9"/>
        <v>#DIV/0!</v>
      </c>
      <c r="X274" s="24" t="str">
        <f t="shared" si="10"/>
        <v>#DIV/0!</v>
      </c>
      <c r="Y274" s="21" t="str">
        <f>IF(A274="","",SUMIFS('Labor Log'!$I$2:$I$2001,'Labor Log'!$A$2:$A$2001,A274))</f>
        <v/>
      </c>
      <c r="Z274" s="24" t="str">
        <f t="shared" si="11"/>
        <v>#DIV/0!</v>
      </c>
      <c r="AA274" s="21" t="str">
        <f>IF(A274="","",SUMIFS('Inventory &amp; COGS'!$H$2:$H$2001,'Inventory &amp; COGS'!$A$2:$A$2001,A274,'Inventory &amp; COGS'!$B$2:$B$2001,"Food"))</f>
        <v/>
      </c>
      <c r="AB274" s="21" t="str">
        <f>IF(A274="","",SUMIFS('Inventory &amp; COGS'!$H$2:$H$2001,'Inventory &amp; COGS'!$A$2:$A$2001,A274,'Inventory &amp; COGS'!$B$2:$B$2001,"Beverage"))</f>
        <v/>
      </c>
      <c r="AC274" s="21" t="str">
        <f t="shared" si="12"/>
        <v/>
      </c>
      <c r="AD274" s="24" t="str">
        <f t="shared" ref="AD274:AE274" si="289">IF(I274=0,"",AA274/I274)</f>
        <v/>
      </c>
      <c r="AE274" s="24" t="str">
        <f t="shared" si="289"/>
        <v/>
      </c>
      <c r="AF274" s="21" t="str">
        <f t="shared" si="14"/>
        <v/>
      </c>
      <c r="AG274" s="24" t="str">
        <f t="shared" si="15"/>
        <v>#DIV/0!</v>
      </c>
      <c r="AH274" s="25" t="str">
        <f t="shared" si="16"/>
        <v/>
      </c>
      <c r="AI274" s="25" t="str">
        <f t="shared" si="17"/>
        <v/>
      </c>
      <c r="AJ274" s="26" t="str">
        <f t="shared" si="18"/>
        <v/>
      </c>
    </row>
    <row r="275" ht="15.75" customHeight="1">
      <c r="A275" s="3"/>
      <c r="B275" s="18" t="str">
        <f t="shared" si="2"/>
        <v/>
      </c>
      <c r="C275" s="19"/>
      <c r="D275" s="19"/>
      <c r="E275" s="19"/>
      <c r="F275" s="20"/>
      <c r="G275" s="20"/>
      <c r="H275" s="21" t="str">
        <f t="shared" si="3"/>
        <v/>
      </c>
      <c r="I275" s="20"/>
      <c r="J275" s="20"/>
      <c r="K275" s="20"/>
      <c r="L275" s="20"/>
      <c r="M275" s="21" t="str">
        <f t="shared" si="4"/>
        <v/>
      </c>
      <c r="N275" s="20"/>
      <c r="O275" s="20"/>
      <c r="P275" s="20"/>
      <c r="Q275" s="21" t="str">
        <f t="shared" si="5"/>
        <v/>
      </c>
      <c r="R275" s="21" t="str">
        <f t="shared" si="6"/>
        <v/>
      </c>
      <c r="S275" s="22"/>
      <c r="T275" s="22"/>
      <c r="U275" s="23" t="str">
        <f t="shared" si="7"/>
        <v/>
      </c>
      <c r="V275" s="21" t="str">
        <f t="shared" si="8"/>
        <v>#DIV/0!</v>
      </c>
      <c r="W275" s="24" t="str">
        <f t="shared" si="9"/>
        <v>#DIV/0!</v>
      </c>
      <c r="X275" s="24" t="str">
        <f t="shared" si="10"/>
        <v>#DIV/0!</v>
      </c>
      <c r="Y275" s="21" t="str">
        <f>IF(A275="","",SUMIFS('Labor Log'!$I$2:$I$2001,'Labor Log'!$A$2:$A$2001,A275))</f>
        <v/>
      </c>
      <c r="Z275" s="24" t="str">
        <f t="shared" si="11"/>
        <v>#DIV/0!</v>
      </c>
      <c r="AA275" s="21" t="str">
        <f>IF(A275="","",SUMIFS('Inventory &amp; COGS'!$H$2:$H$2001,'Inventory &amp; COGS'!$A$2:$A$2001,A275,'Inventory &amp; COGS'!$B$2:$B$2001,"Food"))</f>
        <v/>
      </c>
      <c r="AB275" s="21" t="str">
        <f>IF(A275="","",SUMIFS('Inventory &amp; COGS'!$H$2:$H$2001,'Inventory &amp; COGS'!$A$2:$A$2001,A275,'Inventory &amp; COGS'!$B$2:$B$2001,"Beverage"))</f>
        <v/>
      </c>
      <c r="AC275" s="21" t="str">
        <f t="shared" si="12"/>
        <v/>
      </c>
      <c r="AD275" s="24" t="str">
        <f t="shared" ref="AD275:AE275" si="290">IF(I275=0,"",AA275/I275)</f>
        <v/>
      </c>
      <c r="AE275" s="24" t="str">
        <f t="shared" si="290"/>
        <v/>
      </c>
      <c r="AF275" s="21" t="str">
        <f t="shared" si="14"/>
        <v/>
      </c>
      <c r="AG275" s="24" t="str">
        <f t="shared" si="15"/>
        <v>#DIV/0!</v>
      </c>
      <c r="AH275" s="25" t="str">
        <f t="shared" si="16"/>
        <v/>
      </c>
      <c r="AI275" s="25" t="str">
        <f t="shared" si="17"/>
        <v/>
      </c>
      <c r="AJ275" s="26" t="str">
        <f t="shared" si="18"/>
        <v/>
      </c>
    </row>
    <row r="276" ht="15.75" customHeight="1">
      <c r="A276" s="3"/>
      <c r="B276" s="18" t="str">
        <f t="shared" si="2"/>
        <v/>
      </c>
      <c r="C276" s="19"/>
      <c r="D276" s="19"/>
      <c r="E276" s="19"/>
      <c r="F276" s="20"/>
      <c r="G276" s="20"/>
      <c r="H276" s="21" t="str">
        <f t="shared" si="3"/>
        <v/>
      </c>
      <c r="I276" s="20"/>
      <c r="J276" s="20"/>
      <c r="K276" s="20"/>
      <c r="L276" s="20"/>
      <c r="M276" s="21" t="str">
        <f t="shared" si="4"/>
        <v/>
      </c>
      <c r="N276" s="20"/>
      <c r="O276" s="20"/>
      <c r="P276" s="20"/>
      <c r="Q276" s="21" t="str">
        <f t="shared" si="5"/>
        <v/>
      </c>
      <c r="R276" s="21" t="str">
        <f t="shared" si="6"/>
        <v/>
      </c>
      <c r="S276" s="22"/>
      <c r="T276" s="22"/>
      <c r="U276" s="23" t="str">
        <f t="shared" si="7"/>
        <v/>
      </c>
      <c r="V276" s="21" t="str">
        <f t="shared" si="8"/>
        <v>#DIV/0!</v>
      </c>
      <c r="W276" s="24" t="str">
        <f t="shared" si="9"/>
        <v>#DIV/0!</v>
      </c>
      <c r="X276" s="24" t="str">
        <f t="shared" si="10"/>
        <v>#DIV/0!</v>
      </c>
      <c r="Y276" s="21" t="str">
        <f>IF(A276="","",SUMIFS('Labor Log'!$I$2:$I$2001,'Labor Log'!$A$2:$A$2001,A276))</f>
        <v/>
      </c>
      <c r="Z276" s="24" t="str">
        <f t="shared" si="11"/>
        <v>#DIV/0!</v>
      </c>
      <c r="AA276" s="21" t="str">
        <f>IF(A276="","",SUMIFS('Inventory &amp; COGS'!$H$2:$H$2001,'Inventory &amp; COGS'!$A$2:$A$2001,A276,'Inventory &amp; COGS'!$B$2:$B$2001,"Food"))</f>
        <v/>
      </c>
      <c r="AB276" s="21" t="str">
        <f>IF(A276="","",SUMIFS('Inventory &amp; COGS'!$H$2:$H$2001,'Inventory &amp; COGS'!$A$2:$A$2001,A276,'Inventory &amp; COGS'!$B$2:$B$2001,"Beverage"))</f>
        <v/>
      </c>
      <c r="AC276" s="21" t="str">
        <f t="shared" si="12"/>
        <v/>
      </c>
      <c r="AD276" s="24" t="str">
        <f t="shared" ref="AD276:AE276" si="291">IF(I276=0,"",AA276/I276)</f>
        <v/>
      </c>
      <c r="AE276" s="24" t="str">
        <f t="shared" si="291"/>
        <v/>
      </c>
      <c r="AF276" s="21" t="str">
        <f t="shared" si="14"/>
        <v/>
      </c>
      <c r="AG276" s="24" t="str">
        <f t="shared" si="15"/>
        <v>#DIV/0!</v>
      </c>
      <c r="AH276" s="25" t="str">
        <f t="shared" si="16"/>
        <v/>
      </c>
      <c r="AI276" s="25" t="str">
        <f t="shared" si="17"/>
        <v/>
      </c>
      <c r="AJ276" s="26" t="str">
        <f t="shared" si="18"/>
        <v/>
      </c>
    </row>
    <row r="277" ht="15.75" customHeight="1">
      <c r="A277" s="3"/>
      <c r="B277" s="18" t="str">
        <f t="shared" si="2"/>
        <v/>
      </c>
      <c r="C277" s="19"/>
      <c r="D277" s="19"/>
      <c r="E277" s="19"/>
      <c r="F277" s="20"/>
      <c r="G277" s="20"/>
      <c r="H277" s="21" t="str">
        <f t="shared" si="3"/>
        <v/>
      </c>
      <c r="I277" s="20"/>
      <c r="J277" s="20"/>
      <c r="K277" s="20"/>
      <c r="L277" s="20"/>
      <c r="M277" s="21" t="str">
        <f t="shared" si="4"/>
        <v/>
      </c>
      <c r="N277" s="20"/>
      <c r="O277" s="20"/>
      <c r="P277" s="20"/>
      <c r="Q277" s="21" t="str">
        <f t="shared" si="5"/>
        <v/>
      </c>
      <c r="R277" s="21" t="str">
        <f t="shared" si="6"/>
        <v/>
      </c>
      <c r="S277" s="22"/>
      <c r="T277" s="22"/>
      <c r="U277" s="23" t="str">
        <f t="shared" si="7"/>
        <v/>
      </c>
      <c r="V277" s="21" t="str">
        <f t="shared" si="8"/>
        <v>#DIV/0!</v>
      </c>
      <c r="W277" s="24" t="str">
        <f t="shared" si="9"/>
        <v>#DIV/0!</v>
      </c>
      <c r="X277" s="24" t="str">
        <f t="shared" si="10"/>
        <v>#DIV/0!</v>
      </c>
      <c r="Y277" s="21" t="str">
        <f>IF(A277="","",SUMIFS('Labor Log'!$I$2:$I$2001,'Labor Log'!$A$2:$A$2001,A277))</f>
        <v/>
      </c>
      <c r="Z277" s="24" t="str">
        <f t="shared" si="11"/>
        <v>#DIV/0!</v>
      </c>
      <c r="AA277" s="21" t="str">
        <f>IF(A277="","",SUMIFS('Inventory &amp; COGS'!$H$2:$H$2001,'Inventory &amp; COGS'!$A$2:$A$2001,A277,'Inventory &amp; COGS'!$B$2:$B$2001,"Food"))</f>
        <v/>
      </c>
      <c r="AB277" s="21" t="str">
        <f>IF(A277="","",SUMIFS('Inventory &amp; COGS'!$H$2:$H$2001,'Inventory &amp; COGS'!$A$2:$A$2001,A277,'Inventory &amp; COGS'!$B$2:$B$2001,"Beverage"))</f>
        <v/>
      </c>
      <c r="AC277" s="21" t="str">
        <f t="shared" si="12"/>
        <v/>
      </c>
      <c r="AD277" s="24" t="str">
        <f t="shared" ref="AD277:AE277" si="292">IF(I277=0,"",AA277/I277)</f>
        <v/>
      </c>
      <c r="AE277" s="24" t="str">
        <f t="shared" si="292"/>
        <v/>
      </c>
      <c r="AF277" s="21" t="str">
        <f t="shared" si="14"/>
        <v/>
      </c>
      <c r="AG277" s="24" t="str">
        <f t="shared" si="15"/>
        <v>#DIV/0!</v>
      </c>
      <c r="AH277" s="25" t="str">
        <f t="shared" si="16"/>
        <v/>
      </c>
      <c r="AI277" s="25" t="str">
        <f t="shared" si="17"/>
        <v/>
      </c>
      <c r="AJ277" s="26" t="str">
        <f t="shared" si="18"/>
        <v/>
      </c>
    </row>
    <row r="278" ht="15.75" customHeight="1">
      <c r="A278" s="3"/>
      <c r="B278" s="18" t="str">
        <f t="shared" si="2"/>
        <v/>
      </c>
      <c r="C278" s="19"/>
      <c r="D278" s="19"/>
      <c r="E278" s="19"/>
      <c r="F278" s="20"/>
      <c r="G278" s="20"/>
      <c r="H278" s="21" t="str">
        <f t="shared" si="3"/>
        <v/>
      </c>
      <c r="I278" s="20"/>
      <c r="J278" s="20"/>
      <c r="K278" s="20"/>
      <c r="L278" s="20"/>
      <c r="M278" s="21" t="str">
        <f t="shared" si="4"/>
        <v/>
      </c>
      <c r="N278" s="20"/>
      <c r="O278" s="20"/>
      <c r="P278" s="20"/>
      <c r="Q278" s="21" t="str">
        <f t="shared" si="5"/>
        <v/>
      </c>
      <c r="R278" s="21" t="str">
        <f t="shared" si="6"/>
        <v/>
      </c>
      <c r="S278" s="22"/>
      <c r="T278" s="22"/>
      <c r="U278" s="23" t="str">
        <f t="shared" si="7"/>
        <v/>
      </c>
      <c r="V278" s="21" t="str">
        <f t="shared" si="8"/>
        <v>#DIV/0!</v>
      </c>
      <c r="W278" s="24" t="str">
        <f t="shared" si="9"/>
        <v>#DIV/0!</v>
      </c>
      <c r="X278" s="24" t="str">
        <f t="shared" si="10"/>
        <v>#DIV/0!</v>
      </c>
      <c r="Y278" s="21" t="str">
        <f>IF(A278="","",SUMIFS('Labor Log'!$I$2:$I$2001,'Labor Log'!$A$2:$A$2001,A278))</f>
        <v/>
      </c>
      <c r="Z278" s="24" t="str">
        <f t="shared" si="11"/>
        <v>#DIV/0!</v>
      </c>
      <c r="AA278" s="21" t="str">
        <f>IF(A278="","",SUMIFS('Inventory &amp; COGS'!$H$2:$H$2001,'Inventory &amp; COGS'!$A$2:$A$2001,A278,'Inventory &amp; COGS'!$B$2:$B$2001,"Food"))</f>
        <v/>
      </c>
      <c r="AB278" s="21" t="str">
        <f>IF(A278="","",SUMIFS('Inventory &amp; COGS'!$H$2:$H$2001,'Inventory &amp; COGS'!$A$2:$A$2001,A278,'Inventory &amp; COGS'!$B$2:$B$2001,"Beverage"))</f>
        <v/>
      </c>
      <c r="AC278" s="21" t="str">
        <f t="shared" si="12"/>
        <v/>
      </c>
      <c r="AD278" s="24" t="str">
        <f t="shared" ref="AD278:AE278" si="293">IF(I278=0,"",AA278/I278)</f>
        <v/>
      </c>
      <c r="AE278" s="24" t="str">
        <f t="shared" si="293"/>
        <v/>
      </c>
      <c r="AF278" s="21" t="str">
        <f t="shared" si="14"/>
        <v/>
      </c>
      <c r="AG278" s="24" t="str">
        <f t="shared" si="15"/>
        <v>#DIV/0!</v>
      </c>
      <c r="AH278" s="25" t="str">
        <f t="shared" si="16"/>
        <v/>
      </c>
      <c r="AI278" s="25" t="str">
        <f t="shared" si="17"/>
        <v/>
      </c>
      <c r="AJ278" s="26" t="str">
        <f t="shared" si="18"/>
        <v/>
      </c>
    </row>
    <row r="279" ht="15.75" customHeight="1">
      <c r="A279" s="3"/>
      <c r="B279" s="18" t="str">
        <f t="shared" si="2"/>
        <v/>
      </c>
      <c r="C279" s="19"/>
      <c r="D279" s="19"/>
      <c r="E279" s="19"/>
      <c r="F279" s="20"/>
      <c r="G279" s="20"/>
      <c r="H279" s="21" t="str">
        <f t="shared" si="3"/>
        <v/>
      </c>
      <c r="I279" s="20"/>
      <c r="J279" s="20"/>
      <c r="K279" s="20"/>
      <c r="L279" s="20"/>
      <c r="M279" s="21" t="str">
        <f t="shared" si="4"/>
        <v/>
      </c>
      <c r="N279" s="20"/>
      <c r="O279" s="20"/>
      <c r="P279" s="20"/>
      <c r="Q279" s="21" t="str">
        <f t="shared" si="5"/>
        <v/>
      </c>
      <c r="R279" s="21" t="str">
        <f t="shared" si="6"/>
        <v/>
      </c>
      <c r="S279" s="22"/>
      <c r="T279" s="22"/>
      <c r="U279" s="23" t="str">
        <f t="shared" si="7"/>
        <v/>
      </c>
      <c r="V279" s="21" t="str">
        <f t="shared" si="8"/>
        <v>#DIV/0!</v>
      </c>
      <c r="W279" s="24" t="str">
        <f t="shared" si="9"/>
        <v>#DIV/0!</v>
      </c>
      <c r="X279" s="24" t="str">
        <f t="shared" si="10"/>
        <v>#DIV/0!</v>
      </c>
      <c r="Y279" s="21" t="str">
        <f>IF(A279="","",SUMIFS('Labor Log'!$I$2:$I$2001,'Labor Log'!$A$2:$A$2001,A279))</f>
        <v/>
      </c>
      <c r="Z279" s="24" t="str">
        <f t="shared" si="11"/>
        <v>#DIV/0!</v>
      </c>
      <c r="AA279" s="21" t="str">
        <f>IF(A279="","",SUMIFS('Inventory &amp; COGS'!$H$2:$H$2001,'Inventory &amp; COGS'!$A$2:$A$2001,A279,'Inventory &amp; COGS'!$B$2:$B$2001,"Food"))</f>
        <v/>
      </c>
      <c r="AB279" s="21" t="str">
        <f>IF(A279="","",SUMIFS('Inventory &amp; COGS'!$H$2:$H$2001,'Inventory &amp; COGS'!$A$2:$A$2001,A279,'Inventory &amp; COGS'!$B$2:$B$2001,"Beverage"))</f>
        <v/>
      </c>
      <c r="AC279" s="21" t="str">
        <f t="shared" si="12"/>
        <v/>
      </c>
      <c r="AD279" s="24" t="str">
        <f t="shared" ref="AD279:AE279" si="294">IF(I279=0,"",AA279/I279)</f>
        <v/>
      </c>
      <c r="AE279" s="24" t="str">
        <f t="shared" si="294"/>
        <v/>
      </c>
      <c r="AF279" s="21" t="str">
        <f t="shared" si="14"/>
        <v/>
      </c>
      <c r="AG279" s="24" t="str">
        <f t="shared" si="15"/>
        <v>#DIV/0!</v>
      </c>
      <c r="AH279" s="25" t="str">
        <f t="shared" si="16"/>
        <v/>
      </c>
      <c r="AI279" s="25" t="str">
        <f t="shared" si="17"/>
        <v/>
      </c>
      <c r="AJ279" s="26" t="str">
        <f t="shared" si="18"/>
        <v/>
      </c>
    </row>
    <row r="280" ht="15.75" customHeight="1">
      <c r="A280" s="3"/>
      <c r="B280" s="18" t="str">
        <f t="shared" si="2"/>
        <v/>
      </c>
      <c r="C280" s="19"/>
      <c r="D280" s="19"/>
      <c r="E280" s="19"/>
      <c r="F280" s="20"/>
      <c r="G280" s="20"/>
      <c r="H280" s="21" t="str">
        <f t="shared" si="3"/>
        <v/>
      </c>
      <c r="I280" s="20"/>
      <c r="J280" s="20"/>
      <c r="K280" s="20"/>
      <c r="L280" s="20"/>
      <c r="M280" s="21" t="str">
        <f t="shared" si="4"/>
        <v/>
      </c>
      <c r="N280" s="20"/>
      <c r="O280" s="20"/>
      <c r="P280" s="20"/>
      <c r="Q280" s="21" t="str">
        <f t="shared" si="5"/>
        <v/>
      </c>
      <c r="R280" s="21" t="str">
        <f t="shared" si="6"/>
        <v/>
      </c>
      <c r="S280" s="22"/>
      <c r="T280" s="22"/>
      <c r="U280" s="23" t="str">
        <f t="shared" si="7"/>
        <v/>
      </c>
      <c r="V280" s="21" t="str">
        <f t="shared" si="8"/>
        <v>#DIV/0!</v>
      </c>
      <c r="W280" s="24" t="str">
        <f t="shared" si="9"/>
        <v>#DIV/0!</v>
      </c>
      <c r="X280" s="24" t="str">
        <f t="shared" si="10"/>
        <v>#DIV/0!</v>
      </c>
      <c r="Y280" s="21" t="str">
        <f>IF(A280="","",SUMIFS('Labor Log'!$I$2:$I$2001,'Labor Log'!$A$2:$A$2001,A280))</f>
        <v/>
      </c>
      <c r="Z280" s="24" t="str">
        <f t="shared" si="11"/>
        <v>#DIV/0!</v>
      </c>
      <c r="AA280" s="21" t="str">
        <f>IF(A280="","",SUMIFS('Inventory &amp; COGS'!$H$2:$H$2001,'Inventory &amp; COGS'!$A$2:$A$2001,A280,'Inventory &amp; COGS'!$B$2:$B$2001,"Food"))</f>
        <v/>
      </c>
      <c r="AB280" s="21" t="str">
        <f>IF(A280="","",SUMIFS('Inventory &amp; COGS'!$H$2:$H$2001,'Inventory &amp; COGS'!$A$2:$A$2001,A280,'Inventory &amp; COGS'!$B$2:$B$2001,"Beverage"))</f>
        <v/>
      </c>
      <c r="AC280" s="21" t="str">
        <f t="shared" si="12"/>
        <v/>
      </c>
      <c r="AD280" s="24" t="str">
        <f t="shared" ref="AD280:AE280" si="295">IF(I280=0,"",AA280/I280)</f>
        <v/>
      </c>
      <c r="AE280" s="24" t="str">
        <f t="shared" si="295"/>
        <v/>
      </c>
      <c r="AF280" s="21" t="str">
        <f t="shared" si="14"/>
        <v/>
      </c>
      <c r="AG280" s="24" t="str">
        <f t="shared" si="15"/>
        <v>#DIV/0!</v>
      </c>
      <c r="AH280" s="25" t="str">
        <f t="shared" si="16"/>
        <v/>
      </c>
      <c r="AI280" s="25" t="str">
        <f t="shared" si="17"/>
        <v/>
      </c>
      <c r="AJ280" s="26" t="str">
        <f t="shared" si="18"/>
        <v/>
      </c>
    </row>
    <row r="281" ht="15.75" customHeight="1">
      <c r="A281" s="3"/>
      <c r="B281" s="18" t="str">
        <f t="shared" si="2"/>
        <v/>
      </c>
      <c r="C281" s="19"/>
      <c r="D281" s="19"/>
      <c r="E281" s="19"/>
      <c r="F281" s="20"/>
      <c r="G281" s="20"/>
      <c r="H281" s="21" t="str">
        <f t="shared" si="3"/>
        <v/>
      </c>
      <c r="I281" s="20"/>
      <c r="J281" s="20"/>
      <c r="K281" s="20"/>
      <c r="L281" s="20"/>
      <c r="M281" s="21" t="str">
        <f t="shared" si="4"/>
        <v/>
      </c>
      <c r="N281" s="20"/>
      <c r="O281" s="20"/>
      <c r="P281" s="20"/>
      <c r="Q281" s="21" t="str">
        <f t="shared" si="5"/>
        <v/>
      </c>
      <c r="R281" s="21" t="str">
        <f t="shared" si="6"/>
        <v/>
      </c>
      <c r="S281" s="22"/>
      <c r="T281" s="22"/>
      <c r="U281" s="23" t="str">
        <f t="shared" si="7"/>
        <v/>
      </c>
      <c r="V281" s="21" t="str">
        <f t="shared" si="8"/>
        <v>#DIV/0!</v>
      </c>
      <c r="W281" s="24" t="str">
        <f t="shared" si="9"/>
        <v>#DIV/0!</v>
      </c>
      <c r="X281" s="24" t="str">
        <f t="shared" si="10"/>
        <v>#DIV/0!</v>
      </c>
      <c r="Y281" s="21" t="str">
        <f>IF(A281="","",SUMIFS('Labor Log'!$I$2:$I$2001,'Labor Log'!$A$2:$A$2001,A281))</f>
        <v/>
      </c>
      <c r="Z281" s="24" t="str">
        <f t="shared" si="11"/>
        <v>#DIV/0!</v>
      </c>
      <c r="AA281" s="21" t="str">
        <f>IF(A281="","",SUMIFS('Inventory &amp; COGS'!$H$2:$H$2001,'Inventory &amp; COGS'!$A$2:$A$2001,A281,'Inventory &amp; COGS'!$B$2:$B$2001,"Food"))</f>
        <v/>
      </c>
      <c r="AB281" s="21" t="str">
        <f>IF(A281="","",SUMIFS('Inventory &amp; COGS'!$H$2:$H$2001,'Inventory &amp; COGS'!$A$2:$A$2001,A281,'Inventory &amp; COGS'!$B$2:$B$2001,"Beverage"))</f>
        <v/>
      </c>
      <c r="AC281" s="21" t="str">
        <f t="shared" si="12"/>
        <v/>
      </c>
      <c r="AD281" s="24" t="str">
        <f t="shared" ref="AD281:AE281" si="296">IF(I281=0,"",AA281/I281)</f>
        <v/>
      </c>
      <c r="AE281" s="24" t="str">
        <f t="shared" si="296"/>
        <v/>
      </c>
      <c r="AF281" s="21" t="str">
        <f t="shared" si="14"/>
        <v/>
      </c>
      <c r="AG281" s="24" t="str">
        <f t="shared" si="15"/>
        <v>#DIV/0!</v>
      </c>
      <c r="AH281" s="25" t="str">
        <f t="shared" si="16"/>
        <v/>
      </c>
      <c r="AI281" s="25" t="str">
        <f t="shared" si="17"/>
        <v/>
      </c>
      <c r="AJ281" s="26" t="str">
        <f t="shared" si="18"/>
        <v/>
      </c>
    </row>
    <row r="282" ht="15.75" customHeight="1">
      <c r="A282" s="3"/>
      <c r="B282" s="18" t="str">
        <f t="shared" si="2"/>
        <v/>
      </c>
      <c r="C282" s="19"/>
      <c r="D282" s="19"/>
      <c r="E282" s="19"/>
      <c r="F282" s="20"/>
      <c r="G282" s="20"/>
      <c r="H282" s="21" t="str">
        <f t="shared" si="3"/>
        <v/>
      </c>
      <c r="I282" s="20"/>
      <c r="J282" s="20"/>
      <c r="K282" s="20"/>
      <c r="L282" s="20"/>
      <c r="M282" s="21" t="str">
        <f t="shared" si="4"/>
        <v/>
      </c>
      <c r="N282" s="20"/>
      <c r="O282" s="20"/>
      <c r="P282" s="20"/>
      <c r="Q282" s="21" t="str">
        <f t="shared" si="5"/>
        <v/>
      </c>
      <c r="R282" s="21" t="str">
        <f t="shared" si="6"/>
        <v/>
      </c>
      <c r="S282" s="22"/>
      <c r="T282" s="22"/>
      <c r="U282" s="23" t="str">
        <f t="shared" si="7"/>
        <v/>
      </c>
      <c r="V282" s="21" t="str">
        <f t="shared" si="8"/>
        <v>#DIV/0!</v>
      </c>
      <c r="W282" s="24" t="str">
        <f t="shared" si="9"/>
        <v>#DIV/0!</v>
      </c>
      <c r="X282" s="24" t="str">
        <f t="shared" si="10"/>
        <v>#DIV/0!</v>
      </c>
      <c r="Y282" s="21" t="str">
        <f>IF(A282="","",SUMIFS('Labor Log'!$I$2:$I$2001,'Labor Log'!$A$2:$A$2001,A282))</f>
        <v/>
      </c>
      <c r="Z282" s="24" t="str">
        <f t="shared" si="11"/>
        <v>#DIV/0!</v>
      </c>
      <c r="AA282" s="21" t="str">
        <f>IF(A282="","",SUMIFS('Inventory &amp; COGS'!$H$2:$H$2001,'Inventory &amp; COGS'!$A$2:$A$2001,A282,'Inventory &amp; COGS'!$B$2:$B$2001,"Food"))</f>
        <v/>
      </c>
      <c r="AB282" s="21" t="str">
        <f>IF(A282="","",SUMIFS('Inventory &amp; COGS'!$H$2:$H$2001,'Inventory &amp; COGS'!$A$2:$A$2001,A282,'Inventory &amp; COGS'!$B$2:$B$2001,"Beverage"))</f>
        <v/>
      </c>
      <c r="AC282" s="21" t="str">
        <f t="shared" si="12"/>
        <v/>
      </c>
      <c r="AD282" s="24" t="str">
        <f t="shared" ref="AD282:AE282" si="297">IF(I282=0,"",AA282/I282)</f>
        <v/>
      </c>
      <c r="AE282" s="24" t="str">
        <f t="shared" si="297"/>
        <v/>
      </c>
      <c r="AF282" s="21" t="str">
        <f t="shared" si="14"/>
        <v/>
      </c>
      <c r="AG282" s="24" t="str">
        <f t="shared" si="15"/>
        <v>#DIV/0!</v>
      </c>
      <c r="AH282" s="25" t="str">
        <f t="shared" si="16"/>
        <v/>
      </c>
      <c r="AI282" s="25" t="str">
        <f t="shared" si="17"/>
        <v/>
      </c>
      <c r="AJ282" s="26" t="str">
        <f t="shared" si="18"/>
        <v/>
      </c>
    </row>
    <row r="283" ht="15.75" customHeight="1">
      <c r="A283" s="3"/>
      <c r="B283" s="18" t="str">
        <f t="shared" si="2"/>
        <v/>
      </c>
      <c r="C283" s="19"/>
      <c r="D283" s="19"/>
      <c r="E283" s="19"/>
      <c r="F283" s="20"/>
      <c r="G283" s="20"/>
      <c r="H283" s="21" t="str">
        <f t="shared" si="3"/>
        <v/>
      </c>
      <c r="I283" s="20"/>
      <c r="J283" s="20"/>
      <c r="K283" s="20"/>
      <c r="L283" s="20"/>
      <c r="M283" s="21" t="str">
        <f t="shared" si="4"/>
        <v/>
      </c>
      <c r="N283" s="20"/>
      <c r="O283" s="20"/>
      <c r="P283" s="20"/>
      <c r="Q283" s="21" t="str">
        <f t="shared" si="5"/>
        <v/>
      </c>
      <c r="R283" s="21" t="str">
        <f t="shared" si="6"/>
        <v/>
      </c>
      <c r="S283" s="22"/>
      <c r="T283" s="22"/>
      <c r="U283" s="23" t="str">
        <f t="shared" si="7"/>
        <v/>
      </c>
      <c r="V283" s="21" t="str">
        <f t="shared" si="8"/>
        <v>#DIV/0!</v>
      </c>
      <c r="W283" s="24" t="str">
        <f t="shared" si="9"/>
        <v>#DIV/0!</v>
      </c>
      <c r="X283" s="24" t="str">
        <f t="shared" si="10"/>
        <v>#DIV/0!</v>
      </c>
      <c r="Y283" s="21" t="str">
        <f>IF(A283="","",SUMIFS('Labor Log'!$I$2:$I$2001,'Labor Log'!$A$2:$A$2001,A283))</f>
        <v/>
      </c>
      <c r="Z283" s="24" t="str">
        <f t="shared" si="11"/>
        <v>#DIV/0!</v>
      </c>
      <c r="AA283" s="21" t="str">
        <f>IF(A283="","",SUMIFS('Inventory &amp; COGS'!$H$2:$H$2001,'Inventory &amp; COGS'!$A$2:$A$2001,A283,'Inventory &amp; COGS'!$B$2:$B$2001,"Food"))</f>
        <v/>
      </c>
      <c r="AB283" s="21" t="str">
        <f>IF(A283="","",SUMIFS('Inventory &amp; COGS'!$H$2:$H$2001,'Inventory &amp; COGS'!$A$2:$A$2001,A283,'Inventory &amp; COGS'!$B$2:$B$2001,"Beverage"))</f>
        <v/>
      </c>
      <c r="AC283" s="21" t="str">
        <f t="shared" si="12"/>
        <v/>
      </c>
      <c r="AD283" s="24" t="str">
        <f t="shared" ref="AD283:AE283" si="298">IF(I283=0,"",AA283/I283)</f>
        <v/>
      </c>
      <c r="AE283" s="24" t="str">
        <f t="shared" si="298"/>
        <v/>
      </c>
      <c r="AF283" s="21" t="str">
        <f t="shared" si="14"/>
        <v/>
      </c>
      <c r="AG283" s="24" t="str">
        <f t="shared" si="15"/>
        <v>#DIV/0!</v>
      </c>
      <c r="AH283" s="25" t="str">
        <f t="shared" si="16"/>
        <v/>
      </c>
      <c r="AI283" s="25" t="str">
        <f t="shared" si="17"/>
        <v/>
      </c>
      <c r="AJ283" s="26" t="str">
        <f t="shared" si="18"/>
        <v/>
      </c>
    </row>
    <row r="284" ht="15.75" customHeight="1">
      <c r="A284" s="3"/>
      <c r="B284" s="18" t="str">
        <f t="shared" si="2"/>
        <v/>
      </c>
      <c r="C284" s="19"/>
      <c r="D284" s="19"/>
      <c r="E284" s="19"/>
      <c r="F284" s="20"/>
      <c r="G284" s="20"/>
      <c r="H284" s="21" t="str">
        <f t="shared" si="3"/>
        <v/>
      </c>
      <c r="I284" s="20"/>
      <c r="J284" s="20"/>
      <c r="K284" s="20"/>
      <c r="L284" s="20"/>
      <c r="M284" s="21" t="str">
        <f t="shared" si="4"/>
        <v/>
      </c>
      <c r="N284" s="20"/>
      <c r="O284" s="20"/>
      <c r="P284" s="20"/>
      <c r="Q284" s="21" t="str">
        <f t="shared" si="5"/>
        <v/>
      </c>
      <c r="R284" s="21" t="str">
        <f t="shared" si="6"/>
        <v/>
      </c>
      <c r="S284" s="22"/>
      <c r="T284" s="22"/>
      <c r="U284" s="23" t="str">
        <f t="shared" si="7"/>
        <v/>
      </c>
      <c r="V284" s="21" t="str">
        <f t="shared" si="8"/>
        <v>#DIV/0!</v>
      </c>
      <c r="W284" s="24" t="str">
        <f t="shared" si="9"/>
        <v>#DIV/0!</v>
      </c>
      <c r="X284" s="24" t="str">
        <f t="shared" si="10"/>
        <v>#DIV/0!</v>
      </c>
      <c r="Y284" s="21" t="str">
        <f>IF(A284="","",SUMIFS('Labor Log'!$I$2:$I$2001,'Labor Log'!$A$2:$A$2001,A284))</f>
        <v/>
      </c>
      <c r="Z284" s="24" t="str">
        <f t="shared" si="11"/>
        <v>#DIV/0!</v>
      </c>
      <c r="AA284" s="21" t="str">
        <f>IF(A284="","",SUMIFS('Inventory &amp; COGS'!$H$2:$H$2001,'Inventory &amp; COGS'!$A$2:$A$2001,A284,'Inventory &amp; COGS'!$B$2:$B$2001,"Food"))</f>
        <v/>
      </c>
      <c r="AB284" s="21" t="str">
        <f>IF(A284="","",SUMIFS('Inventory &amp; COGS'!$H$2:$H$2001,'Inventory &amp; COGS'!$A$2:$A$2001,A284,'Inventory &amp; COGS'!$B$2:$B$2001,"Beverage"))</f>
        <v/>
      </c>
      <c r="AC284" s="21" t="str">
        <f t="shared" si="12"/>
        <v/>
      </c>
      <c r="AD284" s="24" t="str">
        <f t="shared" ref="AD284:AE284" si="299">IF(I284=0,"",AA284/I284)</f>
        <v/>
      </c>
      <c r="AE284" s="24" t="str">
        <f t="shared" si="299"/>
        <v/>
      </c>
      <c r="AF284" s="21" t="str">
        <f t="shared" si="14"/>
        <v/>
      </c>
      <c r="AG284" s="24" t="str">
        <f t="shared" si="15"/>
        <v>#DIV/0!</v>
      </c>
      <c r="AH284" s="25" t="str">
        <f t="shared" si="16"/>
        <v/>
      </c>
      <c r="AI284" s="25" t="str">
        <f t="shared" si="17"/>
        <v/>
      </c>
      <c r="AJ284" s="26" t="str">
        <f t="shared" si="18"/>
        <v/>
      </c>
    </row>
    <row r="285" ht="15.75" customHeight="1">
      <c r="A285" s="3"/>
      <c r="B285" s="18" t="str">
        <f t="shared" si="2"/>
        <v/>
      </c>
      <c r="C285" s="19"/>
      <c r="D285" s="19"/>
      <c r="E285" s="19"/>
      <c r="F285" s="20"/>
      <c r="G285" s="20"/>
      <c r="H285" s="21" t="str">
        <f t="shared" si="3"/>
        <v/>
      </c>
      <c r="I285" s="20"/>
      <c r="J285" s="20"/>
      <c r="K285" s="20"/>
      <c r="L285" s="20"/>
      <c r="M285" s="21" t="str">
        <f t="shared" si="4"/>
        <v/>
      </c>
      <c r="N285" s="20"/>
      <c r="O285" s="20"/>
      <c r="P285" s="20"/>
      <c r="Q285" s="21" t="str">
        <f t="shared" si="5"/>
        <v/>
      </c>
      <c r="R285" s="21" t="str">
        <f t="shared" si="6"/>
        <v/>
      </c>
      <c r="S285" s="22"/>
      <c r="T285" s="22"/>
      <c r="U285" s="23" t="str">
        <f t="shared" si="7"/>
        <v/>
      </c>
      <c r="V285" s="21" t="str">
        <f t="shared" si="8"/>
        <v>#DIV/0!</v>
      </c>
      <c r="W285" s="24" t="str">
        <f t="shared" si="9"/>
        <v>#DIV/0!</v>
      </c>
      <c r="X285" s="24" t="str">
        <f t="shared" si="10"/>
        <v>#DIV/0!</v>
      </c>
      <c r="Y285" s="21" t="str">
        <f>IF(A285="","",SUMIFS('Labor Log'!$I$2:$I$2001,'Labor Log'!$A$2:$A$2001,A285))</f>
        <v/>
      </c>
      <c r="Z285" s="24" t="str">
        <f t="shared" si="11"/>
        <v>#DIV/0!</v>
      </c>
      <c r="AA285" s="21" t="str">
        <f>IF(A285="","",SUMIFS('Inventory &amp; COGS'!$H$2:$H$2001,'Inventory &amp; COGS'!$A$2:$A$2001,A285,'Inventory &amp; COGS'!$B$2:$B$2001,"Food"))</f>
        <v/>
      </c>
      <c r="AB285" s="21" t="str">
        <f>IF(A285="","",SUMIFS('Inventory &amp; COGS'!$H$2:$H$2001,'Inventory &amp; COGS'!$A$2:$A$2001,A285,'Inventory &amp; COGS'!$B$2:$B$2001,"Beverage"))</f>
        <v/>
      </c>
      <c r="AC285" s="21" t="str">
        <f t="shared" si="12"/>
        <v/>
      </c>
      <c r="AD285" s="24" t="str">
        <f t="shared" ref="AD285:AE285" si="300">IF(I285=0,"",AA285/I285)</f>
        <v/>
      </c>
      <c r="AE285" s="24" t="str">
        <f t="shared" si="300"/>
        <v/>
      </c>
      <c r="AF285" s="21" t="str">
        <f t="shared" si="14"/>
        <v/>
      </c>
      <c r="AG285" s="24" t="str">
        <f t="shared" si="15"/>
        <v>#DIV/0!</v>
      </c>
      <c r="AH285" s="25" t="str">
        <f t="shared" si="16"/>
        <v/>
      </c>
      <c r="AI285" s="25" t="str">
        <f t="shared" si="17"/>
        <v/>
      </c>
      <c r="AJ285" s="26" t="str">
        <f t="shared" si="18"/>
        <v/>
      </c>
    </row>
    <row r="286" ht="15.75" customHeight="1">
      <c r="A286" s="3"/>
      <c r="B286" s="18" t="str">
        <f t="shared" si="2"/>
        <v/>
      </c>
      <c r="C286" s="19"/>
      <c r="D286" s="19"/>
      <c r="E286" s="19"/>
      <c r="F286" s="20"/>
      <c r="G286" s="20"/>
      <c r="H286" s="21" t="str">
        <f t="shared" si="3"/>
        <v/>
      </c>
      <c r="I286" s="20"/>
      <c r="J286" s="20"/>
      <c r="K286" s="20"/>
      <c r="L286" s="20"/>
      <c r="M286" s="21" t="str">
        <f t="shared" si="4"/>
        <v/>
      </c>
      <c r="N286" s="20"/>
      <c r="O286" s="20"/>
      <c r="P286" s="20"/>
      <c r="Q286" s="21" t="str">
        <f t="shared" si="5"/>
        <v/>
      </c>
      <c r="R286" s="21" t="str">
        <f t="shared" si="6"/>
        <v/>
      </c>
      <c r="S286" s="22"/>
      <c r="T286" s="22"/>
      <c r="U286" s="23" t="str">
        <f t="shared" si="7"/>
        <v/>
      </c>
      <c r="V286" s="21" t="str">
        <f t="shared" si="8"/>
        <v>#DIV/0!</v>
      </c>
      <c r="W286" s="24" t="str">
        <f t="shared" si="9"/>
        <v>#DIV/0!</v>
      </c>
      <c r="X286" s="24" t="str">
        <f t="shared" si="10"/>
        <v>#DIV/0!</v>
      </c>
      <c r="Y286" s="21" t="str">
        <f>IF(A286="","",SUMIFS('Labor Log'!$I$2:$I$2001,'Labor Log'!$A$2:$A$2001,A286))</f>
        <v/>
      </c>
      <c r="Z286" s="24" t="str">
        <f t="shared" si="11"/>
        <v>#DIV/0!</v>
      </c>
      <c r="AA286" s="21" t="str">
        <f>IF(A286="","",SUMIFS('Inventory &amp; COGS'!$H$2:$H$2001,'Inventory &amp; COGS'!$A$2:$A$2001,A286,'Inventory &amp; COGS'!$B$2:$B$2001,"Food"))</f>
        <v/>
      </c>
      <c r="AB286" s="21" t="str">
        <f>IF(A286="","",SUMIFS('Inventory &amp; COGS'!$H$2:$H$2001,'Inventory &amp; COGS'!$A$2:$A$2001,A286,'Inventory &amp; COGS'!$B$2:$B$2001,"Beverage"))</f>
        <v/>
      </c>
      <c r="AC286" s="21" t="str">
        <f t="shared" si="12"/>
        <v/>
      </c>
      <c r="AD286" s="24" t="str">
        <f t="shared" ref="AD286:AE286" si="301">IF(I286=0,"",AA286/I286)</f>
        <v/>
      </c>
      <c r="AE286" s="24" t="str">
        <f t="shared" si="301"/>
        <v/>
      </c>
      <c r="AF286" s="21" t="str">
        <f t="shared" si="14"/>
        <v/>
      </c>
      <c r="AG286" s="24" t="str">
        <f t="shared" si="15"/>
        <v>#DIV/0!</v>
      </c>
      <c r="AH286" s="25" t="str">
        <f t="shared" si="16"/>
        <v/>
      </c>
      <c r="AI286" s="25" t="str">
        <f t="shared" si="17"/>
        <v/>
      </c>
      <c r="AJ286" s="26" t="str">
        <f t="shared" si="18"/>
        <v/>
      </c>
    </row>
    <row r="287" ht="15.75" customHeight="1">
      <c r="A287" s="3"/>
      <c r="B287" s="18" t="str">
        <f t="shared" si="2"/>
        <v/>
      </c>
      <c r="C287" s="19"/>
      <c r="D287" s="19"/>
      <c r="E287" s="19"/>
      <c r="F287" s="20"/>
      <c r="G287" s="20"/>
      <c r="H287" s="21" t="str">
        <f t="shared" si="3"/>
        <v/>
      </c>
      <c r="I287" s="20"/>
      <c r="J287" s="20"/>
      <c r="K287" s="20"/>
      <c r="L287" s="20"/>
      <c r="M287" s="21" t="str">
        <f t="shared" si="4"/>
        <v/>
      </c>
      <c r="N287" s="20"/>
      <c r="O287" s="20"/>
      <c r="P287" s="20"/>
      <c r="Q287" s="21" t="str">
        <f t="shared" si="5"/>
        <v/>
      </c>
      <c r="R287" s="21" t="str">
        <f t="shared" si="6"/>
        <v/>
      </c>
      <c r="S287" s="22"/>
      <c r="T287" s="22"/>
      <c r="U287" s="23" t="str">
        <f t="shared" si="7"/>
        <v/>
      </c>
      <c r="V287" s="21" t="str">
        <f t="shared" si="8"/>
        <v>#DIV/0!</v>
      </c>
      <c r="W287" s="24" t="str">
        <f t="shared" si="9"/>
        <v>#DIV/0!</v>
      </c>
      <c r="X287" s="24" t="str">
        <f t="shared" si="10"/>
        <v>#DIV/0!</v>
      </c>
      <c r="Y287" s="21" t="str">
        <f>IF(A287="","",SUMIFS('Labor Log'!$I$2:$I$2001,'Labor Log'!$A$2:$A$2001,A287))</f>
        <v/>
      </c>
      <c r="Z287" s="24" t="str">
        <f t="shared" si="11"/>
        <v>#DIV/0!</v>
      </c>
      <c r="AA287" s="21" t="str">
        <f>IF(A287="","",SUMIFS('Inventory &amp; COGS'!$H$2:$H$2001,'Inventory &amp; COGS'!$A$2:$A$2001,A287,'Inventory &amp; COGS'!$B$2:$B$2001,"Food"))</f>
        <v/>
      </c>
      <c r="AB287" s="21" t="str">
        <f>IF(A287="","",SUMIFS('Inventory &amp; COGS'!$H$2:$H$2001,'Inventory &amp; COGS'!$A$2:$A$2001,A287,'Inventory &amp; COGS'!$B$2:$B$2001,"Beverage"))</f>
        <v/>
      </c>
      <c r="AC287" s="21" t="str">
        <f t="shared" si="12"/>
        <v/>
      </c>
      <c r="AD287" s="24" t="str">
        <f t="shared" ref="AD287:AE287" si="302">IF(I287=0,"",AA287/I287)</f>
        <v/>
      </c>
      <c r="AE287" s="24" t="str">
        <f t="shared" si="302"/>
        <v/>
      </c>
      <c r="AF287" s="21" t="str">
        <f t="shared" si="14"/>
        <v/>
      </c>
      <c r="AG287" s="24" t="str">
        <f t="shared" si="15"/>
        <v>#DIV/0!</v>
      </c>
      <c r="AH287" s="25" t="str">
        <f t="shared" si="16"/>
        <v/>
      </c>
      <c r="AI287" s="25" t="str">
        <f t="shared" si="17"/>
        <v/>
      </c>
      <c r="AJ287" s="26" t="str">
        <f t="shared" si="18"/>
        <v/>
      </c>
    </row>
    <row r="288" ht="15.75" customHeight="1">
      <c r="A288" s="3"/>
      <c r="B288" s="18" t="str">
        <f t="shared" si="2"/>
        <v/>
      </c>
      <c r="C288" s="19"/>
      <c r="D288" s="19"/>
      <c r="E288" s="19"/>
      <c r="F288" s="20"/>
      <c r="G288" s="20"/>
      <c r="H288" s="21" t="str">
        <f t="shared" si="3"/>
        <v/>
      </c>
      <c r="I288" s="20"/>
      <c r="J288" s="20"/>
      <c r="K288" s="20"/>
      <c r="L288" s="20"/>
      <c r="M288" s="21" t="str">
        <f t="shared" si="4"/>
        <v/>
      </c>
      <c r="N288" s="20"/>
      <c r="O288" s="20"/>
      <c r="P288" s="20"/>
      <c r="Q288" s="21" t="str">
        <f t="shared" si="5"/>
        <v/>
      </c>
      <c r="R288" s="21" t="str">
        <f t="shared" si="6"/>
        <v/>
      </c>
      <c r="S288" s="22"/>
      <c r="T288" s="22"/>
      <c r="U288" s="23" t="str">
        <f t="shared" si="7"/>
        <v/>
      </c>
      <c r="V288" s="21" t="str">
        <f t="shared" si="8"/>
        <v>#DIV/0!</v>
      </c>
      <c r="W288" s="24" t="str">
        <f t="shared" si="9"/>
        <v>#DIV/0!</v>
      </c>
      <c r="X288" s="24" t="str">
        <f t="shared" si="10"/>
        <v>#DIV/0!</v>
      </c>
      <c r="Y288" s="21" t="str">
        <f>IF(A288="","",SUMIFS('Labor Log'!$I$2:$I$2001,'Labor Log'!$A$2:$A$2001,A288))</f>
        <v/>
      </c>
      <c r="Z288" s="24" t="str">
        <f t="shared" si="11"/>
        <v>#DIV/0!</v>
      </c>
      <c r="AA288" s="21" t="str">
        <f>IF(A288="","",SUMIFS('Inventory &amp; COGS'!$H$2:$H$2001,'Inventory &amp; COGS'!$A$2:$A$2001,A288,'Inventory &amp; COGS'!$B$2:$B$2001,"Food"))</f>
        <v/>
      </c>
      <c r="AB288" s="21" t="str">
        <f>IF(A288="","",SUMIFS('Inventory &amp; COGS'!$H$2:$H$2001,'Inventory &amp; COGS'!$A$2:$A$2001,A288,'Inventory &amp; COGS'!$B$2:$B$2001,"Beverage"))</f>
        <v/>
      </c>
      <c r="AC288" s="21" t="str">
        <f t="shared" si="12"/>
        <v/>
      </c>
      <c r="AD288" s="24" t="str">
        <f t="shared" ref="AD288:AE288" si="303">IF(I288=0,"",AA288/I288)</f>
        <v/>
      </c>
      <c r="AE288" s="24" t="str">
        <f t="shared" si="303"/>
        <v/>
      </c>
      <c r="AF288" s="21" t="str">
        <f t="shared" si="14"/>
        <v/>
      </c>
      <c r="AG288" s="24" t="str">
        <f t="shared" si="15"/>
        <v>#DIV/0!</v>
      </c>
      <c r="AH288" s="25" t="str">
        <f t="shared" si="16"/>
        <v/>
      </c>
      <c r="AI288" s="25" t="str">
        <f t="shared" si="17"/>
        <v/>
      </c>
      <c r="AJ288" s="26" t="str">
        <f t="shared" si="18"/>
        <v/>
      </c>
    </row>
    <row r="289" ht="15.75" customHeight="1">
      <c r="A289" s="3"/>
      <c r="B289" s="18" t="str">
        <f t="shared" si="2"/>
        <v/>
      </c>
      <c r="C289" s="19"/>
      <c r="D289" s="19"/>
      <c r="E289" s="19"/>
      <c r="F289" s="20"/>
      <c r="G289" s="20"/>
      <c r="H289" s="21" t="str">
        <f t="shared" si="3"/>
        <v/>
      </c>
      <c r="I289" s="20"/>
      <c r="J289" s="20"/>
      <c r="K289" s="20"/>
      <c r="L289" s="20"/>
      <c r="M289" s="21" t="str">
        <f t="shared" si="4"/>
        <v/>
      </c>
      <c r="N289" s="20"/>
      <c r="O289" s="20"/>
      <c r="P289" s="20"/>
      <c r="Q289" s="21" t="str">
        <f t="shared" si="5"/>
        <v/>
      </c>
      <c r="R289" s="21" t="str">
        <f t="shared" si="6"/>
        <v/>
      </c>
      <c r="S289" s="22"/>
      <c r="T289" s="22"/>
      <c r="U289" s="23" t="str">
        <f t="shared" si="7"/>
        <v/>
      </c>
      <c r="V289" s="21" t="str">
        <f t="shared" si="8"/>
        <v>#DIV/0!</v>
      </c>
      <c r="W289" s="24" t="str">
        <f t="shared" si="9"/>
        <v>#DIV/0!</v>
      </c>
      <c r="X289" s="24" t="str">
        <f t="shared" si="10"/>
        <v>#DIV/0!</v>
      </c>
      <c r="Y289" s="21" t="str">
        <f>IF(A289="","",SUMIFS('Labor Log'!$I$2:$I$2001,'Labor Log'!$A$2:$A$2001,A289))</f>
        <v/>
      </c>
      <c r="Z289" s="24" t="str">
        <f t="shared" si="11"/>
        <v>#DIV/0!</v>
      </c>
      <c r="AA289" s="21" t="str">
        <f>IF(A289="","",SUMIFS('Inventory &amp; COGS'!$H$2:$H$2001,'Inventory &amp; COGS'!$A$2:$A$2001,A289,'Inventory &amp; COGS'!$B$2:$B$2001,"Food"))</f>
        <v/>
      </c>
      <c r="AB289" s="21" t="str">
        <f>IF(A289="","",SUMIFS('Inventory &amp; COGS'!$H$2:$H$2001,'Inventory &amp; COGS'!$A$2:$A$2001,A289,'Inventory &amp; COGS'!$B$2:$B$2001,"Beverage"))</f>
        <v/>
      </c>
      <c r="AC289" s="21" t="str">
        <f t="shared" si="12"/>
        <v/>
      </c>
      <c r="AD289" s="24" t="str">
        <f t="shared" ref="AD289:AE289" si="304">IF(I289=0,"",AA289/I289)</f>
        <v/>
      </c>
      <c r="AE289" s="24" t="str">
        <f t="shared" si="304"/>
        <v/>
      </c>
      <c r="AF289" s="21" t="str">
        <f t="shared" si="14"/>
        <v/>
      </c>
      <c r="AG289" s="24" t="str">
        <f t="shared" si="15"/>
        <v>#DIV/0!</v>
      </c>
      <c r="AH289" s="25" t="str">
        <f t="shared" si="16"/>
        <v/>
      </c>
      <c r="AI289" s="25" t="str">
        <f t="shared" si="17"/>
        <v/>
      </c>
      <c r="AJ289" s="26" t="str">
        <f t="shared" si="18"/>
        <v/>
      </c>
    </row>
    <row r="290" ht="15.75" customHeight="1">
      <c r="A290" s="3"/>
      <c r="B290" s="18" t="str">
        <f t="shared" si="2"/>
        <v/>
      </c>
      <c r="C290" s="19"/>
      <c r="D290" s="19"/>
      <c r="E290" s="19"/>
      <c r="F290" s="20"/>
      <c r="G290" s="20"/>
      <c r="H290" s="21" t="str">
        <f t="shared" si="3"/>
        <v/>
      </c>
      <c r="I290" s="20"/>
      <c r="J290" s="20"/>
      <c r="K290" s="20"/>
      <c r="L290" s="20"/>
      <c r="M290" s="21" t="str">
        <f t="shared" si="4"/>
        <v/>
      </c>
      <c r="N290" s="20"/>
      <c r="O290" s="20"/>
      <c r="P290" s="20"/>
      <c r="Q290" s="21" t="str">
        <f t="shared" si="5"/>
        <v/>
      </c>
      <c r="R290" s="21" t="str">
        <f t="shared" si="6"/>
        <v/>
      </c>
      <c r="S290" s="22"/>
      <c r="T290" s="22"/>
      <c r="U290" s="23" t="str">
        <f t="shared" si="7"/>
        <v/>
      </c>
      <c r="V290" s="21" t="str">
        <f t="shared" si="8"/>
        <v>#DIV/0!</v>
      </c>
      <c r="W290" s="24" t="str">
        <f t="shared" si="9"/>
        <v>#DIV/0!</v>
      </c>
      <c r="X290" s="24" t="str">
        <f t="shared" si="10"/>
        <v>#DIV/0!</v>
      </c>
      <c r="Y290" s="21" t="str">
        <f>IF(A290="","",SUMIFS('Labor Log'!$I$2:$I$2001,'Labor Log'!$A$2:$A$2001,A290))</f>
        <v/>
      </c>
      <c r="Z290" s="24" t="str">
        <f t="shared" si="11"/>
        <v>#DIV/0!</v>
      </c>
      <c r="AA290" s="21" t="str">
        <f>IF(A290="","",SUMIFS('Inventory &amp; COGS'!$H$2:$H$2001,'Inventory &amp; COGS'!$A$2:$A$2001,A290,'Inventory &amp; COGS'!$B$2:$B$2001,"Food"))</f>
        <v/>
      </c>
      <c r="AB290" s="21" t="str">
        <f>IF(A290="","",SUMIFS('Inventory &amp; COGS'!$H$2:$H$2001,'Inventory &amp; COGS'!$A$2:$A$2001,A290,'Inventory &amp; COGS'!$B$2:$B$2001,"Beverage"))</f>
        <v/>
      </c>
      <c r="AC290" s="21" t="str">
        <f t="shared" si="12"/>
        <v/>
      </c>
      <c r="AD290" s="24" t="str">
        <f t="shared" ref="AD290:AE290" si="305">IF(I290=0,"",AA290/I290)</f>
        <v/>
      </c>
      <c r="AE290" s="24" t="str">
        <f t="shared" si="305"/>
        <v/>
      </c>
      <c r="AF290" s="21" t="str">
        <f t="shared" si="14"/>
        <v/>
      </c>
      <c r="AG290" s="24" t="str">
        <f t="shared" si="15"/>
        <v>#DIV/0!</v>
      </c>
      <c r="AH290" s="25" t="str">
        <f t="shared" si="16"/>
        <v/>
      </c>
      <c r="AI290" s="25" t="str">
        <f t="shared" si="17"/>
        <v/>
      </c>
      <c r="AJ290" s="26" t="str">
        <f t="shared" si="18"/>
        <v/>
      </c>
    </row>
    <row r="291" ht="15.75" customHeight="1">
      <c r="A291" s="3"/>
      <c r="B291" s="18" t="str">
        <f t="shared" si="2"/>
        <v/>
      </c>
      <c r="C291" s="19"/>
      <c r="D291" s="19"/>
      <c r="E291" s="19"/>
      <c r="F291" s="20"/>
      <c r="G291" s="20"/>
      <c r="H291" s="21" t="str">
        <f t="shared" si="3"/>
        <v/>
      </c>
      <c r="I291" s="20"/>
      <c r="J291" s="20"/>
      <c r="K291" s="20"/>
      <c r="L291" s="20"/>
      <c r="M291" s="21" t="str">
        <f t="shared" si="4"/>
        <v/>
      </c>
      <c r="N291" s="20"/>
      <c r="O291" s="20"/>
      <c r="P291" s="20"/>
      <c r="Q291" s="21" t="str">
        <f t="shared" si="5"/>
        <v/>
      </c>
      <c r="R291" s="21" t="str">
        <f t="shared" si="6"/>
        <v/>
      </c>
      <c r="S291" s="22"/>
      <c r="T291" s="22"/>
      <c r="U291" s="23" t="str">
        <f t="shared" si="7"/>
        <v/>
      </c>
      <c r="V291" s="21" t="str">
        <f t="shared" si="8"/>
        <v>#DIV/0!</v>
      </c>
      <c r="W291" s="24" t="str">
        <f t="shared" si="9"/>
        <v>#DIV/0!</v>
      </c>
      <c r="X291" s="24" t="str">
        <f t="shared" si="10"/>
        <v>#DIV/0!</v>
      </c>
      <c r="Y291" s="21" t="str">
        <f>IF(A291="","",SUMIFS('Labor Log'!$I$2:$I$2001,'Labor Log'!$A$2:$A$2001,A291))</f>
        <v/>
      </c>
      <c r="Z291" s="24" t="str">
        <f t="shared" si="11"/>
        <v>#DIV/0!</v>
      </c>
      <c r="AA291" s="21" t="str">
        <f>IF(A291="","",SUMIFS('Inventory &amp; COGS'!$H$2:$H$2001,'Inventory &amp; COGS'!$A$2:$A$2001,A291,'Inventory &amp; COGS'!$B$2:$B$2001,"Food"))</f>
        <v/>
      </c>
      <c r="AB291" s="21" t="str">
        <f>IF(A291="","",SUMIFS('Inventory &amp; COGS'!$H$2:$H$2001,'Inventory &amp; COGS'!$A$2:$A$2001,A291,'Inventory &amp; COGS'!$B$2:$B$2001,"Beverage"))</f>
        <v/>
      </c>
      <c r="AC291" s="21" t="str">
        <f t="shared" si="12"/>
        <v/>
      </c>
      <c r="AD291" s="24" t="str">
        <f t="shared" ref="AD291:AE291" si="306">IF(I291=0,"",AA291/I291)</f>
        <v/>
      </c>
      <c r="AE291" s="24" t="str">
        <f t="shared" si="306"/>
        <v/>
      </c>
      <c r="AF291" s="21" t="str">
        <f t="shared" si="14"/>
        <v/>
      </c>
      <c r="AG291" s="24" t="str">
        <f t="shared" si="15"/>
        <v>#DIV/0!</v>
      </c>
      <c r="AH291" s="25" t="str">
        <f t="shared" si="16"/>
        <v/>
      </c>
      <c r="AI291" s="25" t="str">
        <f t="shared" si="17"/>
        <v/>
      </c>
      <c r="AJ291" s="26" t="str">
        <f t="shared" si="18"/>
        <v/>
      </c>
    </row>
    <row r="292" ht="15.75" customHeight="1">
      <c r="A292" s="3"/>
      <c r="B292" s="18" t="str">
        <f t="shared" si="2"/>
        <v/>
      </c>
      <c r="C292" s="19"/>
      <c r="D292" s="19"/>
      <c r="E292" s="19"/>
      <c r="F292" s="20"/>
      <c r="G292" s="20"/>
      <c r="H292" s="21" t="str">
        <f t="shared" si="3"/>
        <v/>
      </c>
      <c r="I292" s="20"/>
      <c r="J292" s="20"/>
      <c r="K292" s="20"/>
      <c r="L292" s="20"/>
      <c r="M292" s="21" t="str">
        <f t="shared" si="4"/>
        <v/>
      </c>
      <c r="N292" s="20"/>
      <c r="O292" s="20"/>
      <c r="P292" s="20"/>
      <c r="Q292" s="21" t="str">
        <f t="shared" si="5"/>
        <v/>
      </c>
      <c r="R292" s="21" t="str">
        <f t="shared" si="6"/>
        <v/>
      </c>
      <c r="S292" s="22"/>
      <c r="T292" s="22"/>
      <c r="U292" s="23" t="str">
        <f t="shared" si="7"/>
        <v/>
      </c>
      <c r="V292" s="21" t="str">
        <f t="shared" si="8"/>
        <v>#DIV/0!</v>
      </c>
      <c r="W292" s="24" t="str">
        <f t="shared" si="9"/>
        <v>#DIV/0!</v>
      </c>
      <c r="X292" s="24" t="str">
        <f t="shared" si="10"/>
        <v>#DIV/0!</v>
      </c>
      <c r="Y292" s="21" t="str">
        <f>IF(A292="","",SUMIFS('Labor Log'!$I$2:$I$2001,'Labor Log'!$A$2:$A$2001,A292))</f>
        <v/>
      </c>
      <c r="Z292" s="24" t="str">
        <f t="shared" si="11"/>
        <v>#DIV/0!</v>
      </c>
      <c r="AA292" s="21" t="str">
        <f>IF(A292="","",SUMIFS('Inventory &amp; COGS'!$H$2:$H$2001,'Inventory &amp; COGS'!$A$2:$A$2001,A292,'Inventory &amp; COGS'!$B$2:$B$2001,"Food"))</f>
        <v/>
      </c>
      <c r="AB292" s="21" t="str">
        <f>IF(A292="","",SUMIFS('Inventory &amp; COGS'!$H$2:$H$2001,'Inventory &amp; COGS'!$A$2:$A$2001,A292,'Inventory &amp; COGS'!$B$2:$B$2001,"Beverage"))</f>
        <v/>
      </c>
      <c r="AC292" s="21" t="str">
        <f t="shared" si="12"/>
        <v/>
      </c>
      <c r="AD292" s="24" t="str">
        <f t="shared" ref="AD292:AE292" si="307">IF(I292=0,"",AA292/I292)</f>
        <v/>
      </c>
      <c r="AE292" s="24" t="str">
        <f t="shared" si="307"/>
        <v/>
      </c>
      <c r="AF292" s="21" t="str">
        <f t="shared" si="14"/>
        <v/>
      </c>
      <c r="AG292" s="24" t="str">
        <f t="shared" si="15"/>
        <v>#DIV/0!</v>
      </c>
      <c r="AH292" s="25" t="str">
        <f t="shared" si="16"/>
        <v/>
      </c>
      <c r="AI292" s="25" t="str">
        <f t="shared" si="17"/>
        <v/>
      </c>
      <c r="AJ292" s="26" t="str">
        <f t="shared" si="18"/>
        <v/>
      </c>
    </row>
    <row r="293" ht="15.75" customHeight="1">
      <c r="A293" s="3"/>
      <c r="B293" s="18" t="str">
        <f t="shared" si="2"/>
        <v/>
      </c>
      <c r="C293" s="19"/>
      <c r="D293" s="19"/>
      <c r="E293" s="19"/>
      <c r="F293" s="20"/>
      <c r="G293" s="20"/>
      <c r="H293" s="21" t="str">
        <f t="shared" si="3"/>
        <v/>
      </c>
      <c r="I293" s="20"/>
      <c r="J293" s="20"/>
      <c r="K293" s="20"/>
      <c r="L293" s="20"/>
      <c r="M293" s="21" t="str">
        <f t="shared" si="4"/>
        <v/>
      </c>
      <c r="N293" s="20"/>
      <c r="O293" s="20"/>
      <c r="P293" s="20"/>
      <c r="Q293" s="21" t="str">
        <f t="shared" si="5"/>
        <v/>
      </c>
      <c r="R293" s="21" t="str">
        <f t="shared" si="6"/>
        <v/>
      </c>
      <c r="S293" s="22"/>
      <c r="T293" s="22"/>
      <c r="U293" s="23" t="str">
        <f t="shared" si="7"/>
        <v/>
      </c>
      <c r="V293" s="21" t="str">
        <f t="shared" si="8"/>
        <v>#DIV/0!</v>
      </c>
      <c r="W293" s="24" t="str">
        <f t="shared" si="9"/>
        <v>#DIV/0!</v>
      </c>
      <c r="X293" s="24" t="str">
        <f t="shared" si="10"/>
        <v>#DIV/0!</v>
      </c>
      <c r="Y293" s="21" t="str">
        <f>IF(A293="","",SUMIFS('Labor Log'!$I$2:$I$2001,'Labor Log'!$A$2:$A$2001,A293))</f>
        <v/>
      </c>
      <c r="Z293" s="24" t="str">
        <f t="shared" si="11"/>
        <v>#DIV/0!</v>
      </c>
      <c r="AA293" s="21" t="str">
        <f>IF(A293="","",SUMIFS('Inventory &amp; COGS'!$H$2:$H$2001,'Inventory &amp; COGS'!$A$2:$A$2001,A293,'Inventory &amp; COGS'!$B$2:$B$2001,"Food"))</f>
        <v/>
      </c>
      <c r="AB293" s="21" t="str">
        <f>IF(A293="","",SUMIFS('Inventory &amp; COGS'!$H$2:$H$2001,'Inventory &amp; COGS'!$A$2:$A$2001,A293,'Inventory &amp; COGS'!$B$2:$B$2001,"Beverage"))</f>
        <v/>
      </c>
      <c r="AC293" s="21" t="str">
        <f t="shared" si="12"/>
        <v/>
      </c>
      <c r="AD293" s="24" t="str">
        <f t="shared" ref="AD293:AE293" si="308">IF(I293=0,"",AA293/I293)</f>
        <v/>
      </c>
      <c r="AE293" s="24" t="str">
        <f t="shared" si="308"/>
        <v/>
      </c>
      <c r="AF293" s="21" t="str">
        <f t="shared" si="14"/>
        <v/>
      </c>
      <c r="AG293" s="24" t="str">
        <f t="shared" si="15"/>
        <v>#DIV/0!</v>
      </c>
      <c r="AH293" s="25" t="str">
        <f t="shared" si="16"/>
        <v/>
      </c>
      <c r="AI293" s="25" t="str">
        <f t="shared" si="17"/>
        <v/>
      </c>
      <c r="AJ293" s="26" t="str">
        <f t="shared" si="18"/>
        <v/>
      </c>
    </row>
    <row r="294" ht="15.75" customHeight="1">
      <c r="A294" s="3"/>
      <c r="B294" s="18" t="str">
        <f t="shared" si="2"/>
        <v/>
      </c>
      <c r="C294" s="19"/>
      <c r="D294" s="19"/>
      <c r="E294" s="19"/>
      <c r="F294" s="20"/>
      <c r="G294" s="20"/>
      <c r="H294" s="21" t="str">
        <f t="shared" si="3"/>
        <v/>
      </c>
      <c r="I294" s="20"/>
      <c r="J294" s="20"/>
      <c r="K294" s="20"/>
      <c r="L294" s="20"/>
      <c r="M294" s="21" t="str">
        <f t="shared" si="4"/>
        <v/>
      </c>
      <c r="N294" s="20"/>
      <c r="O294" s="20"/>
      <c r="P294" s="20"/>
      <c r="Q294" s="21" t="str">
        <f t="shared" si="5"/>
        <v/>
      </c>
      <c r="R294" s="21" t="str">
        <f t="shared" si="6"/>
        <v/>
      </c>
      <c r="S294" s="22"/>
      <c r="T294" s="22"/>
      <c r="U294" s="23" t="str">
        <f t="shared" si="7"/>
        <v/>
      </c>
      <c r="V294" s="21" t="str">
        <f t="shared" si="8"/>
        <v>#DIV/0!</v>
      </c>
      <c r="W294" s="24" t="str">
        <f t="shared" si="9"/>
        <v>#DIV/0!</v>
      </c>
      <c r="X294" s="24" t="str">
        <f t="shared" si="10"/>
        <v>#DIV/0!</v>
      </c>
      <c r="Y294" s="21" t="str">
        <f>IF(A294="","",SUMIFS('Labor Log'!$I$2:$I$2001,'Labor Log'!$A$2:$A$2001,A294))</f>
        <v/>
      </c>
      <c r="Z294" s="24" t="str">
        <f t="shared" si="11"/>
        <v>#DIV/0!</v>
      </c>
      <c r="AA294" s="21" t="str">
        <f>IF(A294="","",SUMIFS('Inventory &amp; COGS'!$H$2:$H$2001,'Inventory &amp; COGS'!$A$2:$A$2001,A294,'Inventory &amp; COGS'!$B$2:$B$2001,"Food"))</f>
        <v/>
      </c>
      <c r="AB294" s="21" t="str">
        <f>IF(A294="","",SUMIFS('Inventory &amp; COGS'!$H$2:$H$2001,'Inventory &amp; COGS'!$A$2:$A$2001,A294,'Inventory &amp; COGS'!$B$2:$B$2001,"Beverage"))</f>
        <v/>
      </c>
      <c r="AC294" s="21" t="str">
        <f t="shared" si="12"/>
        <v/>
      </c>
      <c r="AD294" s="24" t="str">
        <f t="shared" ref="AD294:AE294" si="309">IF(I294=0,"",AA294/I294)</f>
        <v/>
      </c>
      <c r="AE294" s="24" t="str">
        <f t="shared" si="309"/>
        <v/>
      </c>
      <c r="AF294" s="21" t="str">
        <f t="shared" si="14"/>
        <v/>
      </c>
      <c r="AG294" s="24" t="str">
        <f t="shared" si="15"/>
        <v>#DIV/0!</v>
      </c>
      <c r="AH294" s="25" t="str">
        <f t="shared" si="16"/>
        <v/>
      </c>
      <c r="AI294" s="25" t="str">
        <f t="shared" si="17"/>
        <v/>
      </c>
      <c r="AJ294" s="26" t="str">
        <f t="shared" si="18"/>
        <v/>
      </c>
    </row>
    <row r="295" ht="15.75" customHeight="1">
      <c r="A295" s="3"/>
      <c r="B295" s="18" t="str">
        <f t="shared" si="2"/>
        <v/>
      </c>
      <c r="C295" s="19"/>
      <c r="D295" s="19"/>
      <c r="E295" s="19"/>
      <c r="F295" s="20"/>
      <c r="G295" s="20"/>
      <c r="H295" s="21" t="str">
        <f t="shared" si="3"/>
        <v/>
      </c>
      <c r="I295" s="20"/>
      <c r="J295" s="20"/>
      <c r="K295" s="20"/>
      <c r="L295" s="20"/>
      <c r="M295" s="21" t="str">
        <f t="shared" si="4"/>
        <v/>
      </c>
      <c r="N295" s="20"/>
      <c r="O295" s="20"/>
      <c r="P295" s="20"/>
      <c r="Q295" s="21" t="str">
        <f t="shared" si="5"/>
        <v/>
      </c>
      <c r="R295" s="21" t="str">
        <f t="shared" si="6"/>
        <v/>
      </c>
      <c r="S295" s="22"/>
      <c r="T295" s="22"/>
      <c r="U295" s="23" t="str">
        <f t="shared" si="7"/>
        <v/>
      </c>
      <c r="V295" s="21" t="str">
        <f t="shared" si="8"/>
        <v>#DIV/0!</v>
      </c>
      <c r="W295" s="24" t="str">
        <f t="shared" si="9"/>
        <v>#DIV/0!</v>
      </c>
      <c r="X295" s="24" t="str">
        <f t="shared" si="10"/>
        <v>#DIV/0!</v>
      </c>
      <c r="Y295" s="21" t="str">
        <f>IF(A295="","",SUMIFS('Labor Log'!$I$2:$I$2001,'Labor Log'!$A$2:$A$2001,A295))</f>
        <v/>
      </c>
      <c r="Z295" s="24" t="str">
        <f t="shared" si="11"/>
        <v>#DIV/0!</v>
      </c>
      <c r="AA295" s="21" t="str">
        <f>IF(A295="","",SUMIFS('Inventory &amp; COGS'!$H$2:$H$2001,'Inventory &amp; COGS'!$A$2:$A$2001,A295,'Inventory &amp; COGS'!$B$2:$B$2001,"Food"))</f>
        <v/>
      </c>
      <c r="AB295" s="21" t="str">
        <f>IF(A295="","",SUMIFS('Inventory &amp; COGS'!$H$2:$H$2001,'Inventory &amp; COGS'!$A$2:$A$2001,A295,'Inventory &amp; COGS'!$B$2:$B$2001,"Beverage"))</f>
        <v/>
      </c>
      <c r="AC295" s="21" t="str">
        <f t="shared" si="12"/>
        <v/>
      </c>
      <c r="AD295" s="24" t="str">
        <f t="shared" ref="AD295:AE295" si="310">IF(I295=0,"",AA295/I295)</f>
        <v/>
      </c>
      <c r="AE295" s="24" t="str">
        <f t="shared" si="310"/>
        <v/>
      </c>
      <c r="AF295" s="21" t="str">
        <f t="shared" si="14"/>
        <v/>
      </c>
      <c r="AG295" s="24" t="str">
        <f t="shared" si="15"/>
        <v>#DIV/0!</v>
      </c>
      <c r="AH295" s="25" t="str">
        <f t="shared" si="16"/>
        <v/>
      </c>
      <c r="AI295" s="25" t="str">
        <f t="shared" si="17"/>
        <v/>
      </c>
      <c r="AJ295" s="26" t="str">
        <f t="shared" si="18"/>
        <v/>
      </c>
    </row>
    <row r="296" ht="15.75" customHeight="1">
      <c r="A296" s="3"/>
      <c r="B296" s="18" t="str">
        <f t="shared" si="2"/>
        <v/>
      </c>
      <c r="C296" s="19"/>
      <c r="D296" s="19"/>
      <c r="E296" s="19"/>
      <c r="F296" s="20"/>
      <c r="G296" s="20"/>
      <c r="H296" s="21" t="str">
        <f t="shared" si="3"/>
        <v/>
      </c>
      <c r="I296" s="20"/>
      <c r="J296" s="20"/>
      <c r="K296" s="20"/>
      <c r="L296" s="20"/>
      <c r="M296" s="21" t="str">
        <f t="shared" si="4"/>
        <v/>
      </c>
      <c r="N296" s="20"/>
      <c r="O296" s="20"/>
      <c r="P296" s="20"/>
      <c r="Q296" s="21" t="str">
        <f t="shared" si="5"/>
        <v/>
      </c>
      <c r="R296" s="21" t="str">
        <f t="shared" si="6"/>
        <v/>
      </c>
      <c r="S296" s="22"/>
      <c r="T296" s="22"/>
      <c r="U296" s="23" t="str">
        <f t="shared" si="7"/>
        <v/>
      </c>
      <c r="V296" s="21" t="str">
        <f t="shared" si="8"/>
        <v>#DIV/0!</v>
      </c>
      <c r="W296" s="24" t="str">
        <f t="shared" si="9"/>
        <v>#DIV/0!</v>
      </c>
      <c r="X296" s="24" t="str">
        <f t="shared" si="10"/>
        <v>#DIV/0!</v>
      </c>
      <c r="Y296" s="21" t="str">
        <f>IF(A296="","",SUMIFS('Labor Log'!$I$2:$I$2001,'Labor Log'!$A$2:$A$2001,A296))</f>
        <v/>
      </c>
      <c r="Z296" s="24" t="str">
        <f t="shared" si="11"/>
        <v>#DIV/0!</v>
      </c>
      <c r="AA296" s="21" t="str">
        <f>IF(A296="","",SUMIFS('Inventory &amp; COGS'!$H$2:$H$2001,'Inventory &amp; COGS'!$A$2:$A$2001,A296,'Inventory &amp; COGS'!$B$2:$B$2001,"Food"))</f>
        <v/>
      </c>
      <c r="AB296" s="21" t="str">
        <f>IF(A296="","",SUMIFS('Inventory &amp; COGS'!$H$2:$H$2001,'Inventory &amp; COGS'!$A$2:$A$2001,A296,'Inventory &amp; COGS'!$B$2:$B$2001,"Beverage"))</f>
        <v/>
      </c>
      <c r="AC296" s="21" t="str">
        <f t="shared" si="12"/>
        <v/>
      </c>
      <c r="AD296" s="24" t="str">
        <f t="shared" ref="AD296:AE296" si="311">IF(I296=0,"",AA296/I296)</f>
        <v/>
      </c>
      <c r="AE296" s="24" t="str">
        <f t="shared" si="311"/>
        <v/>
      </c>
      <c r="AF296" s="21" t="str">
        <f t="shared" si="14"/>
        <v/>
      </c>
      <c r="AG296" s="24" t="str">
        <f t="shared" si="15"/>
        <v>#DIV/0!</v>
      </c>
      <c r="AH296" s="25" t="str">
        <f t="shared" si="16"/>
        <v/>
      </c>
      <c r="AI296" s="25" t="str">
        <f t="shared" si="17"/>
        <v/>
      </c>
      <c r="AJ296" s="26" t="str">
        <f t="shared" si="18"/>
        <v/>
      </c>
    </row>
    <row r="297" ht="15.75" customHeight="1">
      <c r="A297" s="3"/>
      <c r="B297" s="18" t="str">
        <f t="shared" si="2"/>
        <v/>
      </c>
      <c r="C297" s="19"/>
      <c r="D297" s="19"/>
      <c r="E297" s="19"/>
      <c r="F297" s="20"/>
      <c r="G297" s="20"/>
      <c r="H297" s="21" t="str">
        <f t="shared" si="3"/>
        <v/>
      </c>
      <c r="I297" s="20"/>
      <c r="J297" s="20"/>
      <c r="K297" s="20"/>
      <c r="L297" s="20"/>
      <c r="M297" s="21" t="str">
        <f t="shared" si="4"/>
        <v/>
      </c>
      <c r="N297" s="20"/>
      <c r="O297" s="20"/>
      <c r="P297" s="20"/>
      <c r="Q297" s="21" t="str">
        <f t="shared" si="5"/>
        <v/>
      </c>
      <c r="R297" s="21" t="str">
        <f t="shared" si="6"/>
        <v/>
      </c>
      <c r="S297" s="22"/>
      <c r="T297" s="22"/>
      <c r="U297" s="23" t="str">
        <f t="shared" si="7"/>
        <v/>
      </c>
      <c r="V297" s="21" t="str">
        <f t="shared" si="8"/>
        <v>#DIV/0!</v>
      </c>
      <c r="W297" s="24" t="str">
        <f t="shared" si="9"/>
        <v>#DIV/0!</v>
      </c>
      <c r="X297" s="24" t="str">
        <f t="shared" si="10"/>
        <v>#DIV/0!</v>
      </c>
      <c r="Y297" s="21" t="str">
        <f>IF(A297="","",SUMIFS('Labor Log'!$I$2:$I$2001,'Labor Log'!$A$2:$A$2001,A297))</f>
        <v/>
      </c>
      <c r="Z297" s="24" t="str">
        <f t="shared" si="11"/>
        <v>#DIV/0!</v>
      </c>
      <c r="AA297" s="21" t="str">
        <f>IF(A297="","",SUMIFS('Inventory &amp; COGS'!$H$2:$H$2001,'Inventory &amp; COGS'!$A$2:$A$2001,A297,'Inventory &amp; COGS'!$B$2:$B$2001,"Food"))</f>
        <v/>
      </c>
      <c r="AB297" s="21" t="str">
        <f>IF(A297="","",SUMIFS('Inventory &amp; COGS'!$H$2:$H$2001,'Inventory &amp; COGS'!$A$2:$A$2001,A297,'Inventory &amp; COGS'!$B$2:$B$2001,"Beverage"))</f>
        <v/>
      </c>
      <c r="AC297" s="21" t="str">
        <f t="shared" si="12"/>
        <v/>
      </c>
      <c r="AD297" s="24" t="str">
        <f t="shared" ref="AD297:AE297" si="312">IF(I297=0,"",AA297/I297)</f>
        <v/>
      </c>
      <c r="AE297" s="24" t="str">
        <f t="shared" si="312"/>
        <v/>
      </c>
      <c r="AF297" s="21" t="str">
        <f t="shared" si="14"/>
        <v/>
      </c>
      <c r="AG297" s="24" t="str">
        <f t="shared" si="15"/>
        <v>#DIV/0!</v>
      </c>
      <c r="AH297" s="25" t="str">
        <f t="shared" si="16"/>
        <v/>
      </c>
      <c r="AI297" s="25" t="str">
        <f t="shared" si="17"/>
        <v/>
      </c>
      <c r="AJ297" s="26" t="str">
        <f t="shared" si="18"/>
        <v/>
      </c>
    </row>
    <row r="298" ht="15.75" customHeight="1">
      <c r="A298" s="3"/>
      <c r="B298" s="18" t="str">
        <f t="shared" si="2"/>
        <v/>
      </c>
      <c r="C298" s="19"/>
      <c r="D298" s="19"/>
      <c r="E298" s="19"/>
      <c r="F298" s="20"/>
      <c r="G298" s="20"/>
      <c r="H298" s="21" t="str">
        <f t="shared" si="3"/>
        <v/>
      </c>
      <c r="I298" s="20"/>
      <c r="J298" s="20"/>
      <c r="K298" s="20"/>
      <c r="L298" s="20"/>
      <c r="M298" s="21" t="str">
        <f t="shared" si="4"/>
        <v/>
      </c>
      <c r="N298" s="20"/>
      <c r="O298" s="20"/>
      <c r="P298" s="20"/>
      <c r="Q298" s="21" t="str">
        <f t="shared" si="5"/>
        <v/>
      </c>
      <c r="R298" s="21" t="str">
        <f t="shared" si="6"/>
        <v/>
      </c>
      <c r="S298" s="22"/>
      <c r="T298" s="22"/>
      <c r="U298" s="23" t="str">
        <f t="shared" si="7"/>
        <v/>
      </c>
      <c r="V298" s="21" t="str">
        <f t="shared" si="8"/>
        <v>#DIV/0!</v>
      </c>
      <c r="W298" s="24" t="str">
        <f t="shared" si="9"/>
        <v>#DIV/0!</v>
      </c>
      <c r="X298" s="24" t="str">
        <f t="shared" si="10"/>
        <v>#DIV/0!</v>
      </c>
      <c r="Y298" s="21" t="str">
        <f>IF(A298="","",SUMIFS('Labor Log'!$I$2:$I$2001,'Labor Log'!$A$2:$A$2001,A298))</f>
        <v/>
      </c>
      <c r="Z298" s="24" t="str">
        <f t="shared" si="11"/>
        <v>#DIV/0!</v>
      </c>
      <c r="AA298" s="21" t="str">
        <f>IF(A298="","",SUMIFS('Inventory &amp; COGS'!$H$2:$H$2001,'Inventory &amp; COGS'!$A$2:$A$2001,A298,'Inventory &amp; COGS'!$B$2:$B$2001,"Food"))</f>
        <v/>
      </c>
      <c r="AB298" s="21" t="str">
        <f>IF(A298="","",SUMIFS('Inventory &amp; COGS'!$H$2:$H$2001,'Inventory &amp; COGS'!$A$2:$A$2001,A298,'Inventory &amp; COGS'!$B$2:$B$2001,"Beverage"))</f>
        <v/>
      </c>
      <c r="AC298" s="21" t="str">
        <f t="shared" si="12"/>
        <v/>
      </c>
      <c r="AD298" s="24" t="str">
        <f t="shared" ref="AD298:AE298" si="313">IF(I298=0,"",AA298/I298)</f>
        <v/>
      </c>
      <c r="AE298" s="24" t="str">
        <f t="shared" si="313"/>
        <v/>
      </c>
      <c r="AF298" s="21" t="str">
        <f t="shared" si="14"/>
        <v/>
      </c>
      <c r="AG298" s="24" t="str">
        <f t="shared" si="15"/>
        <v>#DIV/0!</v>
      </c>
      <c r="AH298" s="25" t="str">
        <f t="shared" si="16"/>
        <v/>
      </c>
      <c r="AI298" s="25" t="str">
        <f t="shared" si="17"/>
        <v/>
      </c>
      <c r="AJ298" s="26" t="str">
        <f t="shared" si="18"/>
        <v/>
      </c>
    </row>
    <row r="299" ht="15.75" customHeight="1">
      <c r="A299" s="3"/>
      <c r="B299" s="18" t="str">
        <f t="shared" si="2"/>
        <v/>
      </c>
      <c r="C299" s="19"/>
      <c r="D299" s="19"/>
      <c r="E299" s="19"/>
      <c r="F299" s="20"/>
      <c r="G299" s="20"/>
      <c r="H299" s="21" t="str">
        <f t="shared" si="3"/>
        <v/>
      </c>
      <c r="I299" s="20"/>
      <c r="J299" s="20"/>
      <c r="K299" s="20"/>
      <c r="L299" s="20"/>
      <c r="M299" s="21" t="str">
        <f t="shared" si="4"/>
        <v/>
      </c>
      <c r="N299" s="20"/>
      <c r="O299" s="20"/>
      <c r="P299" s="20"/>
      <c r="Q299" s="21" t="str">
        <f t="shared" si="5"/>
        <v/>
      </c>
      <c r="R299" s="21" t="str">
        <f t="shared" si="6"/>
        <v/>
      </c>
      <c r="S299" s="22"/>
      <c r="T299" s="22"/>
      <c r="U299" s="23" t="str">
        <f t="shared" si="7"/>
        <v/>
      </c>
      <c r="V299" s="21" t="str">
        <f t="shared" si="8"/>
        <v>#DIV/0!</v>
      </c>
      <c r="W299" s="24" t="str">
        <f t="shared" si="9"/>
        <v>#DIV/0!</v>
      </c>
      <c r="X299" s="24" t="str">
        <f t="shared" si="10"/>
        <v>#DIV/0!</v>
      </c>
      <c r="Y299" s="21" t="str">
        <f>IF(A299="","",SUMIFS('Labor Log'!$I$2:$I$2001,'Labor Log'!$A$2:$A$2001,A299))</f>
        <v/>
      </c>
      <c r="Z299" s="24" t="str">
        <f t="shared" si="11"/>
        <v>#DIV/0!</v>
      </c>
      <c r="AA299" s="21" t="str">
        <f>IF(A299="","",SUMIFS('Inventory &amp; COGS'!$H$2:$H$2001,'Inventory &amp; COGS'!$A$2:$A$2001,A299,'Inventory &amp; COGS'!$B$2:$B$2001,"Food"))</f>
        <v/>
      </c>
      <c r="AB299" s="21" t="str">
        <f>IF(A299="","",SUMIFS('Inventory &amp; COGS'!$H$2:$H$2001,'Inventory &amp; COGS'!$A$2:$A$2001,A299,'Inventory &amp; COGS'!$B$2:$B$2001,"Beverage"))</f>
        <v/>
      </c>
      <c r="AC299" s="21" t="str">
        <f t="shared" si="12"/>
        <v/>
      </c>
      <c r="AD299" s="24" t="str">
        <f t="shared" ref="AD299:AE299" si="314">IF(I299=0,"",AA299/I299)</f>
        <v/>
      </c>
      <c r="AE299" s="24" t="str">
        <f t="shared" si="314"/>
        <v/>
      </c>
      <c r="AF299" s="21" t="str">
        <f t="shared" si="14"/>
        <v/>
      </c>
      <c r="AG299" s="24" t="str">
        <f t="shared" si="15"/>
        <v>#DIV/0!</v>
      </c>
      <c r="AH299" s="25" t="str">
        <f t="shared" si="16"/>
        <v/>
      </c>
      <c r="AI299" s="25" t="str">
        <f t="shared" si="17"/>
        <v/>
      </c>
      <c r="AJ299" s="26" t="str">
        <f t="shared" si="18"/>
        <v/>
      </c>
    </row>
    <row r="300" ht="15.75" customHeight="1">
      <c r="A300" s="3"/>
      <c r="B300" s="18" t="str">
        <f t="shared" si="2"/>
        <v/>
      </c>
      <c r="C300" s="19"/>
      <c r="D300" s="19"/>
      <c r="E300" s="19"/>
      <c r="F300" s="20"/>
      <c r="G300" s="20"/>
      <c r="H300" s="21" t="str">
        <f t="shared" si="3"/>
        <v/>
      </c>
      <c r="I300" s="20"/>
      <c r="J300" s="20"/>
      <c r="K300" s="20"/>
      <c r="L300" s="20"/>
      <c r="M300" s="21" t="str">
        <f t="shared" si="4"/>
        <v/>
      </c>
      <c r="N300" s="20"/>
      <c r="O300" s="20"/>
      <c r="P300" s="20"/>
      <c r="Q300" s="21" t="str">
        <f t="shared" si="5"/>
        <v/>
      </c>
      <c r="R300" s="21" t="str">
        <f t="shared" si="6"/>
        <v/>
      </c>
      <c r="S300" s="22"/>
      <c r="T300" s="22"/>
      <c r="U300" s="23" t="str">
        <f t="shared" si="7"/>
        <v/>
      </c>
      <c r="V300" s="21" t="str">
        <f t="shared" si="8"/>
        <v>#DIV/0!</v>
      </c>
      <c r="W300" s="24" t="str">
        <f t="shared" si="9"/>
        <v>#DIV/0!</v>
      </c>
      <c r="X300" s="24" t="str">
        <f t="shared" si="10"/>
        <v>#DIV/0!</v>
      </c>
      <c r="Y300" s="21" t="str">
        <f>IF(A300="","",SUMIFS('Labor Log'!$I$2:$I$2001,'Labor Log'!$A$2:$A$2001,A300))</f>
        <v/>
      </c>
      <c r="Z300" s="24" t="str">
        <f t="shared" si="11"/>
        <v>#DIV/0!</v>
      </c>
      <c r="AA300" s="21" t="str">
        <f>IF(A300="","",SUMIFS('Inventory &amp; COGS'!$H$2:$H$2001,'Inventory &amp; COGS'!$A$2:$A$2001,A300,'Inventory &amp; COGS'!$B$2:$B$2001,"Food"))</f>
        <v/>
      </c>
      <c r="AB300" s="21" t="str">
        <f>IF(A300="","",SUMIFS('Inventory &amp; COGS'!$H$2:$H$2001,'Inventory &amp; COGS'!$A$2:$A$2001,A300,'Inventory &amp; COGS'!$B$2:$B$2001,"Beverage"))</f>
        <v/>
      </c>
      <c r="AC300" s="21" t="str">
        <f t="shared" si="12"/>
        <v/>
      </c>
      <c r="AD300" s="24" t="str">
        <f t="shared" ref="AD300:AE300" si="315">IF(I300=0,"",AA300/I300)</f>
        <v/>
      </c>
      <c r="AE300" s="24" t="str">
        <f t="shared" si="315"/>
        <v/>
      </c>
      <c r="AF300" s="21" t="str">
        <f t="shared" si="14"/>
        <v/>
      </c>
      <c r="AG300" s="24" t="str">
        <f t="shared" si="15"/>
        <v>#DIV/0!</v>
      </c>
      <c r="AH300" s="25" t="str">
        <f t="shared" si="16"/>
        <v/>
      </c>
      <c r="AI300" s="25" t="str">
        <f t="shared" si="17"/>
        <v/>
      </c>
      <c r="AJ300" s="26" t="str">
        <f t="shared" si="18"/>
        <v/>
      </c>
    </row>
    <row r="301" ht="15.75" customHeight="1">
      <c r="A301" s="3"/>
      <c r="B301" s="18" t="str">
        <f t="shared" si="2"/>
        <v/>
      </c>
      <c r="C301" s="19"/>
      <c r="D301" s="19"/>
      <c r="E301" s="19"/>
      <c r="F301" s="20"/>
      <c r="G301" s="20"/>
      <c r="H301" s="21" t="str">
        <f t="shared" si="3"/>
        <v/>
      </c>
      <c r="I301" s="20"/>
      <c r="J301" s="20"/>
      <c r="K301" s="20"/>
      <c r="L301" s="20"/>
      <c r="M301" s="21" t="str">
        <f t="shared" si="4"/>
        <v/>
      </c>
      <c r="N301" s="20"/>
      <c r="O301" s="20"/>
      <c r="P301" s="20"/>
      <c r="Q301" s="21" t="str">
        <f t="shared" si="5"/>
        <v/>
      </c>
      <c r="R301" s="21" t="str">
        <f t="shared" si="6"/>
        <v/>
      </c>
      <c r="S301" s="22"/>
      <c r="T301" s="22"/>
      <c r="U301" s="23" t="str">
        <f t="shared" si="7"/>
        <v/>
      </c>
      <c r="V301" s="21" t="str">
        <f t="shared" si="8"/>
        <v>#DIV/0!</v>
      </c>
      <c r="W301" s="24" t="str">
        <f t="shared" si="9"/>
        <v>#DIV/0!</v>
      </c>
      <c r="X301" s="24" t="str">
        <f t="shared" si="10"/>
        <v>#DIV/0!</v>
      </c>
      <c r="Y301" s="21" t="str">
        <f>IF(A301="","",SUMIFS('Labor Log'!$I$2:$I$2001,'Labor Log'!$A$2:$A$2001,A301))</f>
        <v/>
      </c>
      <c r="Z301" s="24" t="str">
        <f t="shared" si="11"/>
        <v>#DIV/0!</v>
      </c>
      <c r="AA301" s="21" t="str">
        <f>IF(A301="","",SUMIFS('Inventory &amp; COGS'!$H$2:$H$2001,'Inventory &amp; COGS'!$A$2:$A$2001,A301,'Inventory &amp; COGS'!$B$2:$B$2001,"Food"))</f>
        <v/>
      </c>
      <c r="AB301" s="21" t="str">
        <f>IF(A301="","",SUMIFS('Inventory &amp; COGS'!$H$2:$H$2001,'Inventory &amp; COGS'!$A$2:$A$2001,A301,'Inventory &amp; COGS'!$B$2:$B$2001,"Beverage"))</f>
        <v/>
      </c>
      <c r="AC301" s="21" t="str">
        <f t="shared" si="12"/>
        <v/>
      </c>
      <c r="AD301" s="24" t="str">
        <f t="shared" ref="AD301:AE301" si="316">IF(I301=0,"",AA301/I301)</f>
        <v/>
      </c>
      <c r="AE301" s="24" t="str">
        <f t="shared" si="316"/>
        <v/>
      </c>
      <c r="AF301" s="21" t="str">
        <f t="shared" si="14"/>
        <v/>
      </c>
      <c r="AG301" s="24" t="str">
        <f t="shared" si="15"/>
        <v>#DIV/0!</v>
      </c>
      <c r="AH301" s="25" t="str">
        <f t="shared" si="16"/>
        <v/>
      </c>
      <c r="AI301" s="25" t="str">
        <f t="shared" si="17"/>
        <v/>
      </c>
      <c r="AJ301" s="26" t="str">
        <f t="shared" si="18"/>
        <v/>
      </c>
    </row>
    <row r="302" ht="15.75" customHeight="1">
      <c r="A302" s="3"/>
      <c r="B302" s="18" t="str">
        <f t="shared" si="2"/>
        <v/>
      </c>
      <c r="C302" s="19"/>
      <c r="D302" s="19"/>
      <c r="E302" s="19"/>
      <c r="F302" s="20"/>
      <c r="G302" s="20"/>
      <c r="H302" s="21" t="str">
        <f t="shared" si="3"/>
        <v/>
      </c>
      <c r="I302" s="20"/>
      <c r="J302" s="20"/>
      <c r="K302" s="20"/>
      <c r="L302" s="20"/>
      <c r="M302" s="21" t="str">
        <f t="shared" si="4"/>
        <v/>
      </c>
      <c r="N302" s="20"/>
      <c r="O302" s="20"/>
      <c r="P302" s="20"/>
      <c r="Q302" s="21" t="str">
        <f t="shared" si="5"/>
        <v/>
      </c>
      <c r="R302" s="21" t="str">
        <f t="shared" si="6"/>
        <v/>
      </c>
      <c r="S302" s="22"/>
      <c r="T302" s="22"/>
      <c r="U302" s="23" t="str">
        <f t="shared" si="7"/>
        <v/>
      </c>
      <c r="V302" s="21" t="str">
        <f t="shared" si="8"/>
        <v>#DIV/0!</v>
      </c>
      <c r="W302" s="24" t="str">
        <f t="shared" si="9"/>
        <v>#DIV/0!</v>
      </c>
      <c r="X302" s="24" t="str">
        <f t="shared" si="10"/>
        <v>#DIV/0!</v>
      </c>
      <c r="Y302" s="21" t="str">
        <f>IF(A302="","",SUMIFS('Labor Log'!$I$2:$I$2001,'Labor Log'!$A$2:$A$2001,A302))</f>
        <v/>
      </c>
      <c r="Z302" s="24" t="str">
        <f t="shared" si="11"/>
        <v>#DIV/0!</v>
      </c>
      <c r="AA302" s="21" t="str">
        <f>IF(A302="","",SUMIFS('Inventory &amp; COGS'!$H$2:$H$2001,'Inventory &amp; COGS'!$A$2:$A$2001,A302,'Inventory &amp; COGS'!$B$2:$B$2001,"Food"))</f>
        <v/>
      </c>
      <c r="AB302" s="21" t="str">
        <f>IF(A302="","",SUMIFS('Inventory &amp; COGS'!$H$2:$H$2001,'Inventory &amp; COGS'!$A$2:$A$2001,A302,'Inventory &amp; COGS'!$B$2:$B$2001,"Beverage"))</f>
        <v/>
      </c>
      <c r="AC302" s="21" t="str">
        <f t="shared" si="12"/>
        <v/>
      </c>
      <c r="AD302" s="24" t="str">
        <f t="shared" ref="AD302:AE302" si="317">IF(I302=0,"",AA302/I302)</f>
        <v/>
      </c>
      <c r="AE302" s="24" t="str">
        <f t="shared" si="317"/>
        <v/>
      </c>
      <c r="AF302" s="21" t="str">
        <f t="shared" si="14"/>
        <v/>
      </c>
      <c r="AG302" s="24" t="str">
        <f t="shared" si="15"/>
        <v>#DIV/0!</v>
      </c>
      <c r="AH302" s="25" t="str">
        <f t="shared" si="16"/>
        <v/>
      </c>
      <c r="AI302" s="25" t="str">
        <f t="shared" si="17"/>
        <v/>
      </c>
      <c r="AJ302" s="26" t="str">
        <f t="shared" si="18"/>
        <v/>
      </c>
    </row>
    <row r="303" ht="15.75" customHeight="1">
      <c r="A303" s="3"/>
      <c r="B303" s="18" t="str">
        <f t="shared" si="2"/>
        <v/>
      </c>
      <c r="C303" s="19"/>
      <c r="D303" s="19"/>
      <c r="E303" s="19"/>
      <c r="F303" s="20"/>
      <c r="G303" s="20"/>
      <c r="H303" s="21" t="str">
        <f t="shared" si="3"/>
        <v/>
      </c>
      <c r="I303" s="20"/>
      <c r="J303" s="20"/>
      <c r="K303" s="20"/>
      <c r="L303" s="20"/>
      <c r="M303" s="21" t="str">
        <f t="shared" si="4"/>
        <v/>
      </c>
      <c r="N303" s="20"/>
      <c r="O303" s="20"/>
      <c r="P303" s="20"/>
      <c r="Q303" s="21" t="str">
        <f t="shared" si="5"/>
        <v/>
      </c>
      <c r="R303" s="21" t="str">
        <f t="shared" si="6"/>
        <v/>
      </c>
      <c r="S303" s="22"/>
      <c r="T303" s="22"/>
      <c r="U303" s="23" t="str">
        <f t="shared" si="7"/>
        <v/>
      </c>
      <c r="V303" s="21" t="str">
        <f t="shared" si="8"/>
        <v>#DIV/0!</v>
      </c>
      <c r="W303" s="24" t="str">
        <f t="shared" si="9"/>
        <v>#DIV/0!</v>
      </c>
      <c r="X303" s="24" t="str">
        <f t="shared" si="10"/>
        <v>#DIV/0!</v>
      </c>
      <c r="Y303" s="21" t="str">
        <f>IF(A303="","",SUMIFS('Labor Log'!$I$2:$I$2001,'Labor Log'!$A$2:$A$2001,A303))</f>
        <v/>
      </c>
      <c r="Z303" s="24" t="str">
        <f t="shared" si="11"/>
        <v>#DIV/0!</v>
      </c>
      <c r="AA303" s="21" t="str">
        <f>IF(A303="","",SUMIFS('Inventory &amp; COGS'!$H$2:$H$2001,'Inventory &amp; COGS'!$A$2:$A$2001,A303,'Inventory &amp; COGS'!$B$2:$B$2001,"Food"))</f>
        <v/>
      </c>
      <c r="AB303" s="21" t="str">
        <f>IF(A303="","",SUMIFS('Inventory &amp; COGS'!$H$2:$H$2001,'Inventory &amp; COGS'!$A$2:$A$2001,A303,'Inventory &amp; COGS'!$B$2:$B$2001,"Beverage"))</f>
        <v/>
      </c>
      <c r="AC303" s="21" t="str">
        <f t="shared" si="12"/>
        <v/>
      </c>
      <c r="AD303" s="24" t="str">
        <f t="shared" ref="AD303:AE303" si="318">IF(I303=0,"",AA303/I303)</f>
        <v/>
      </c>
      <c r="AE303" s="24" t="str">
        <f t="shared" si="318"/>
        <v/>
      </c>
      <c r="AF303" s="21" t="str">
        <f t="shared" si="14"/>
        <v/>
      </c>
      <c r="AG303" s="24" t="str">
        <f t="shared" si="15"/>
        <v>#DIV/0!</v>
      </c>
      <c r="AH303" s="25" t="str">
        <f t="shared" si="16"/>
        <v/>
      </c>
      <c r="AI303" s="25" t="str">
        <f t="shared" si="17"/>
        <v/>
      </c>
      <c r="AJ303" s="26" t="str">
        <f t="shared" si="18"/>
        <v/>
      </c>
    </row>
    <row r="304" ht="15.75" customHeight="1">
      <c r="A304" s="3"/>
      <c r="B304" s="18" t="str">
        <f t="shared" si="2"/>
        <v/>
      </c>
      <c r="C304" s="19"/>
      <c r="D304" s="19"/>
      <c r="E304" s="19"/>
      <c r="F304" s="20"/>
      <c r="G304" s="20"/>
      <c r="H304" s="21" t="str">
        <f t="shared" si="3"/>
        <v/>
      </c>
      <c r="I304" s="20"/>
      <c r="J304" s="20"/>
      <c r="K304" s="20"/>
      <c r="L304" s="20"/>
      <c r="M304" s="21" t="str">
        <f t="shared" si="4"/>
        <v/>
      </c>
      <c r="N304" s="20"/>
      <c r="O304" s="20"/>
      <c r="P304" s="20"/>
      <c r="Q304" s="21" t="str">
        <f t="shared" si="5"/>
        <v/>
      </c>
      <c r="R304" s="21" t="str">
        <f t="shared" si="6"/>
        <v/>
      </c>
      <c r="S304" s="22"/>
      <c r="T304" s="22"/>
      <c r="U304" s="23" t="str">
        <f t="shared" si="7"/>
        <v/>
      </c>
      <c r="V304" s="21" t="str">
        <f t="shared" si="8"/>
        <v>#DIV/0!</v>
      </c>
      <c r="W304" s="24" t="str">
        <f t="shared" si="9"/>
        <v>#DIV/0!</v>
      </c>
      <c r="X304" s="24" t="str">
        <f t="shared" si="10"/>
        <v>#DIV/0!</v>
      </c>
      <c r="Y304" s="21" t="str">
        <f>IF(A304="","",SUMIFS('Labor Log'!$I$2:$I$2001,'Labor Log'!$A$2:$A$2001,A304))</f>
        <v/>
      </c>
      <c r="Z304" s="24" t="str">
        <f t="shared" si="11"/>
        <v>#DIV/0!</v>
      </c>
      <c r="AA304" s="21" t="str">
        <f>IF(A304="","",SUMIFS('Inventory &amp; COGS'!$H$2:$H$2001,'Inventory &amp; COGS'!$A$2:$A$2001,A304,'Inventory &amp; COGS'!$B$2:$B$2001,"Food"))</f>
        <v/>
      </c>
      <c r="AB304" s="21" t="str">
        <f>IF(A304="","",SUMIFS('Inventory &amp; COGS'!$H$2:$H$2001,'Inventory &amp; COGS'!$A$2:$A$2001,A304,'Inventory &amp; COGS'!$B$2:$B$2001,"Beverage"))</f>
        <v/>
      </c>
      <c r="AC304" s="21" t="str">
        <f t="shared" si="12"/>
        <v/>
      </c>
      <c r="AD304" s="24" t="str">
        <f t="shared" ref="AD304:AE304" si="319">IF(I304=0,"",AA304/I304)</f>
        <v/>
      </c>
      <c r="AE304" s="24" t="str">
        <f t="shared" si="319"/>
        <v/>
      </c>
      <c r="AF304" s="21" t="str">
        <f t="shared" si="14"/>
        <v/>
      </c>
      <c r="AG304" s="24" t="str">
        <f t="shared" si="15"/>
        <v>#DIV/0!</v>
      </c>
      <c r="AH304" s="25" t="str">
        <f t="shared" si="16"/>
        <v/>
      </c>
      <c r="AI304" s="25" t="str">
        <f t="shared" si="17"/>
        <v/>
      </c>
      <c r="AJ304" s="26" t="str">
        <f t="shared" si="18"/>
        <v/>
      </c>
    </row>
    <row r="305" ht="15.75" customHeight="1">
      <c r="A305" s="3"/>
      <c r="B305" s="18" t="str">
        <f t="shared" si="2"/>
        <v/>
      </c>
      <c r="C305" s="19"/>
      <c r="D305" s="19"/>
      <c r="E305" s="19"/>
      <c r="F305" s="20"/>
      <c r="G305" s="20"/>
      <c r="H305" s="21" t="str">
        <f t="shared" si="3"/>
        <v/>
      </c>
      <c r="I305" s="20"/>
      <c r="J305" s="20"/>
      <c r="K305" s="20"/>
      <c r="L305" s="20"/>
      <c r="M305" s="21" t="str">
        <f t="shared" si="4"/>
        <v/>
      </c>
      <c r="N305" s="20"/>
      <c r="O305" s="20"/>
      <c r="P305" s="20"/>
      <c r="Q305" s="21" t="str">
        <f t="shared" si="5"/>
        <v/>
      </c>
      <c r="R305" s="21" t="str">
        <f t="shared" si="6"/>
        <v/>
      </c>
      <c r="S305" s="22"/>
      <c r="T305" s="22"/>
      <c r="U305" s="23" t="str">
        <f t="shared" si="7"/>
        <v/>
      </c>
      <c r="V305" s="21" t="str">
        <f t="shared" si="8"/>
        <v>#DIV/0!</v>
      </c>
      <c r="W305" s="24" t="str">
        <f t="shared" si="9"/>
        <v>#DIV/0!</v>
      </c>
      <c r="X305" s="24" t="str">
        <f t="shared" si="10"/>
        <v>#DIV/0!</v>
      </c>
      <c r="Y305" s="21" t="str">
        <f>IF(A305="","",SUMIFS('Labor Log'!$I$2:$I$2001,'Labor Log'!$A$2:$A$2001,A305))</f>
        <v/>
      </c>
      <c r="Z305" s="24" t="str">
        <f t="shared" si="11"/>
        <v>#DIV/0!</v>
      </c>
      <c r="AA305" s="21" t="str">
        <f>IF(A305="","",SUMIFS('Inventory &amp; COGS'!$H$2:$H$2001,'Inventory &amp; COGS'!$A$2:$A$2001,A305,'Inventory &amp; COGS'!$B$2:$B$2001,"Food"))</f>
        <v/>
      </c>
      <c r="AB305" s="21" t="str">
        <f>IF(A305="","",SUMIFS('Inventory &amp; COGS'!$H$2:$H$2001,'Inventory &amp; COGS'!$A$2:$A$2001,A305,'Inventory &amp; COGS'!$B$2:$B$2001,"Beverage"))</f>
        <v/>
      </c>
      <c r="AC305" s="21" t="str">
        <f t="shared" si="12"/>
        <v/>
      </c>
      <c r="AD305" s="24" t="str">
        <f t="shared" ref="AD305:AE305" si="320">IF(I305=0,"",AA305/I305)</f>
        <v/>
      </c>
      <c r="AE305" s="24" t="str">
        <f t="shared" si="320"/>
        <v/>
      </c>
      <c r="AF305" s="21" t="str">
        <f t="shared" si="14"/>
        <v/>
      </c>
      <c r="AG305" s="24" t="str">
        <f t="shared" si="15"/>
        <v>#DIV/0!</v>
      </c>
      <c r="AH305" s="25" t="str">
        <f t="shared" si="16"/>
        <v/>
      </c>
      <c r="AI305" s="25" t="str">
        <f t="shared" si="17"/>
        <v/>
      </c>
      <c r="AJ305" s="26" t="str">
        <f t="shared" si="18"/>
        <v/>
      </c>
    </row>
    <row r="306" ht="15.75" customHeight="1">
      <c r="A306" s="3"/>
      <c r="B306" s="18" t="str">
        <f t="shared" si="2"/>
        <v/>
      </c>
      <c r="C306" s="19"/>
      <c r="D306" s="19"/>
      <c r="E306" s="19"/>
      <c r="F306" s="20"/>
      <c r="G306" s="20"/>
      <c r="H306" s="21" t="str">
        <f t="shared" si="3"/>
        <v/>
      </c>
      <c r="I306" s="20"/>
      <c r="J306" s="20"/>
      <c r="K306" s="20"/>
      <c r="L306" s="20"/>
      <c r="M306" s="21" t="str">
        <f t="shared" si="4"/>
        <v/>
      </c>
      <c r="N306" s="20"/>
      <c r="O306" s="20"/>
      <c r="P306" s="20"/>
      <c r="Q306" s="21" t="str">
        <f t="shared" si="5"/>
        <v/>
      </c>
      <c r="R306" s="21" t="str">
        <f t="shared" si="6"/>
        <v/>
      </c>
      <c r="S306" s="22"/>
      <c r="T306" s="22"/>
      <c r="U306" s="23" t="str">
        <f t="shared" si="7"/>
        <v/>
      </c>
      <c r="V306" s="21" t="str">
        <f t="shared" si="8"/>
        <v>#DIV/0!</v>
      </c>
      <c r="W306" s="24" t="str">
        <f t="shared" si="9"/>
        <v>#DIV/0!</v>
      </c>
      <c r="X306" s="24" t="str">
        <f t="shared" si="10"/>
        <v>#DIV/0!</v>
      </c>
      <c r="Y306" s="21" t="str">
        <f>IF(A306="","",SUMIFS('Labor Log'!$I$2:$I$2001,'Labor Log'!$A$2:$A$2001,A306))</f>
        <v/>
      </c>
      <c r="Z306" s="24" t="str">
        <f t="shared" si="11"/>
        <v>#DIV/0!</v>
      </c>
      <c r="AA306" s="21" t="str">
        <f>IF(A306="","",SUMIFS('Inventory &amp; COGS'!$H$2:$H$2001,'Inventory &amp; COGS'!$A$2:$A$2001,A306,'Inventory &amp; COGS'!$B$2:$B$2001,"Food"))</f>
        <v/>
      </c>
      <c r="AB306" s="21" t="str">
        <f>IF(A306="","",SUMIFS('Inventory &amp; COGS'!$H$2:$H$2001,'Inventory &amp; COGS'!$A$2:$A$2001,A306,'Inventory &amp; COGS'!$B$2:$B$2001,"Beverage"))</f>
        <v/>
      </c>
      <c r="AC306" s="21" t="str">
        <f t="shared" si="12"/>
        <v/>
      </c>
      <c r="AD306" s="24" t="str">
        <f t="shared" ref="AD306:AE306" si="321">IF(I306=0,"",AA306/I306)</f>
        <v/>
      </c>
      <c r="AE306" s="24" t="str">
        <f t="shared" si="321"/>
        <v/>
      </c>
      <c r="AF306" s="21" t="str">
        <f t="shared" si="14"/>
        <v/>
      </c>
      <c r="AG306" s="24" t="str">
        <f t="shared" si="15"/>
        <v>#DIV/0!</v>
      </c>
      <c r="AH306" s="25" t="str">
        <f t="shared" si="16"/>
        <v/>
      </c>
      <c r="AI306" s="25" t="str">
        <f t="shared" si="17"/>
        <v/>
      </c>
      <c r="AJ306" s="26" t="str">
        <f t="shared" si="18"/>
        <v/>
      </c>
    </row>
    <row r="307" ht="15.75" customHeight="1">
      <c r="A307" s="3"/>
      <c r="B307" s="18" t="str">
        <f t="shared" si="2"/>
        <v/>
      </c>
      <c r="C307" s="19"/>
      <c r="D307" s="19"/>
      <c r="E307" s="19"/>
      <c r="F307" s="20"/>
      <c r="G307" s="20"/>
      <c r="H307" s="21" t="str">
        <f t="shared" si="3"/>
        <v/>
      </c>
      <c r="I307" s="20"/>
      <c r="J307" s="20"/>
      <c r="K307" s="20"/>
      <c r="L307" s="20"/>
      <c r="M307" s="21" t="str">
        <f t="shared" si="4"/>
        <v/>
      </c>
      <c r="N307" s="20"/>
      <c r="O307" s="20"/>
      <c r="P307" s="20"/>
      <c r="Q307" s="21" t="str">
        <f t="shared" si="5"/>
        <v/>
      </c>
      <c r="R307" s="21" t="str">
        <f t="shared" si="6"/>
        <v/>
      </c>
      <c r="S307" s="22"/>
      <c r="T307" s="22"/>
      <c r="U307" s="23" t="str">
        <f t="shared" si="7"/>
        <v/>
      </c>
      <c r="V307" s="21" t="str">
        <f t="shared" si="8"/>
        <v>#DIV/0!</v>
      </c>
      <c r="W307" s="24" t="str">
        <f t="shared" si="9"/>
        <v>#DIV/0!</v>
      </c>
      <c r="X307" s="24" t="str">
        <f t="shared" si="10"/>
        <v>#DIV/0!</v>
      </c>
      <c r="Y307" s="21" t="str">
        <f>IF(A307="","",SUMIFS('Labor Log'!$I$2:$I$2001,'Labor Log'!$A$2:$A$2001,A307))</f>
        <v/>
      </c>
      <c r="Z307" s="24" t="str">
        <f t="shared" si="11"/>
        <v>#DIV/0!</v>
      </c>
      <c r="AA307" s="21" t="str">
        <f>IF(A307="","",SUMIFS('Inventory &amp; COGS'!$H$2:$H$2001,'Inventory &amp; COGS'!$A$2:$A$2001,A307,'Inventory &amp; COGS'!$B$2:$B$2001,"Food"))</f>
        <v/>
      </c>
      <c r="AB307" s="21" t="str">
        <f>IF(A307="","",SUMIFS('Inventory &amp; COGS'!$H$2:$H$2001,'Inventory &amp; COGS'!$A$2:$A$2001,A307,'Inventory &amp; COGS'!$B$2:$B$2001,"Beverage"))</f>
        <v/>
      </c>
      <c r="AC307" s="21" t="str">
        <f t="shared" si="12"/>
        <v/>
      </c>
      <c r="AD307" s="24" t="str">
        <f t="shared" ref="AD307:AE307" si="322">IF(I307=0,"",AA307/I307)</f>
        <v/>
      </c>
      <c r="AE307" s="24" t="str">
        <f t="shared" si="322"/>
        <v/>
      </c>
      <c r="AF307" s="21" t="str">
        <f t="shared" si="14"/>
        <v/>
      </c>
      <c r="AG307" s="24" t="str">
        <f t="shared" si="15"/>
        <v>#DIV/0!</v>
      </c>
      <c r="AH307" s="25" t="str">
        <f t="shared" si="16"/>
        <v/>
      </c>
      <c r="AI307" s="25" t="str">
        <f t="shared" si="17"/>
        <v/>
      </c>
      <c r="AJ307" s="26" t="str">
        <f t="shared" si="18"/>
        <v/>
      </c>
    </row>
    <row r="308" ht="15.75" customHeight="1">
      <c r="A308" s="3"/>
      <c r="B308" s="18" t="str">
        <f t="shared" si="2"/>
        <v/>
      </c>
      <c r="C308" s="19"/>
      <c r="D308" s="19"/>
      <c r="E308" s="19"/>
      <c r="F308" s="20"/>
      <c r="G308" s="20"/>
      <c r="H308" s="21" t="str">
        <f t="shared" si="3"/>
        <v/>
      </c>
      <c r="I308" s="20"/>
      <c r="J308" s="20"/>
      <c r="K308" s="20"/>
      <c r="L308" s="20"/>
      <c r="M308" s="21" t="str">
        <f t="shared" si="4"/>
        <v/>
      </c>
      <c r="N308" s="20"/>
      <c r="O308" s="20"/>
      <c r="P308" s="20"/>
      <c r="Q308" s="21" t="str">
        <f t="shared" si="5"/>
        <v/>
      </c>
      <c r="R308" s="21" t="str">
        <f t="shared" si="6"/>
        <v/>
      </c>
      <c r="S308" s="22"/>
      <c r="T308" s="22"/>
      <c r="U308" s="23" t="str">
        <f t="shared" si="7"/>
        <v/>
      </c>
      <c r="V308" s="21" t="str">
        <f t="shared" si="8"/>
        <v>#DIV/0!</v>
      </c>
      <c r="W308" s="24" t="str">
        <f t="shared" si="9"/>
        <v>#DIV/0!</v>
      </c>
      <c r="X308" s="24" t="str">
        <f t="shared" si="10"/>
        <v>#DIV/0!</v>
      </c>
      <c r="Y308" s="21" t="str">
        <f>IF(A308="","",SUMIFS('Labor Log'!$I$2:$I$2001,'Labor Log'!$A$2:$A$2001,A308))</f>
        <v/>
      </c>
      <c r="Z308" s="24" t="str">
        <f t="shared" si="11"/>
        <v>#DIV/0!</v>
      </c>
      <c r="AA308" s="21" t="str">
        <f>IF(A308="","",SUMIFS('Inventory &amp; COGS'!$H$2:$H$2001,'Inventory &amp; COGS'!$A$2:$A$2001,A308,'Inventory &amp; COGS'!$B$2:$B$2001,"Food"))</f>
        <v/>
      </c>
      <c r="AB308" s="21" t="str">
        <f>IF(A308="","",SUMIFS('Inventory &amp; COGS'!$H$2:$H$2001,'Inventory &amp; COGS'!$A$2:$A$2001,A308,'Inventory &amp; COGS'!$B$2:$B$2001,"Beverage"))</f>
        <v/>
      </c>
      <c r="AC308" s="21" t="str">
        <f t="shared" si="12"/>
        <v/>
      </c>
      <c r="AD308" s="24" t="str">
        <f t="shared" ref="AD308:AE308" si="323">IF(I308=0,"",AA308/I308)</f>
        <v/>
      </c>
      <c r="AE308" s="24" t="str">
        <f t="shared" si="323"/>
        <v/>
      </c>
      <c r="AF308" s="21" t="str">
        <f t="shared" si="14"/>
        <v/>
      </c>
      <c r="AG308" s="24" t="str">
        <f t="shared" si="15"/>
        <v>#DIV/0!</v>
      </c>
      <c r="AH308" s="25" t="str">
        <f t="shared" si="16"/>
        <v/>
      </c>
      <c r="AI308" s="25" t="str">
        <f t="shared" si="17"/>
        <v/>
      </c>
      <c r="AJ308" s="26" t="str">
        <f t="shared" si="18"/>
        <v/>
      </c>
    </row>
    <row r="309" ht="15.75" customHeight="1">
      <c r="A309" s="3"/>
      <c r="B309" s="18" t="str">
        <f t="shared" si="2"/>
        <v/>
      </c>
      <c r="C309" s="19"/>
      <c r="D309" s="19"/>
      <c r="E309" s="19"/>
      <c r="F309" s="20"/>
      <c r="G309" s="20"/>
      <c r="H309" s="21" t="str">
        <f t="shared" si="3"/>
        <v/>
      </c>
      <c r="I309" s="20"/>
      <c r="J309" s="20"/>
      <c r="K309" s="20"/>
      <c r="L309" s="20"/>
      <c r="M309" s="21" t="str">
        <f t="shared" si="4"/>
        <v/>
      </c>
      <c r="N309" s="20"/>
      <c r="O309" s="20"/>
      <c r="P309" s="20"/>
      <c r="Q309" s="21" t="str">
        <f t="shared" si="5"/>
        <v/>
      </c>
      <c r="R309" s="21" t="str">
        <f t="shared" si="6"/>
        <v/>
      </c>
      <c r="S309" s="22"/>
      <c r="T309" s="22"/>
      <c r="U309" s="23" t="str">
        <f t="shared" si="7"/>
        <v/>
      </c>
      <c r="V309" s="21" t="str">
        <f t="shared" si="8"/>
        <v>#DIV/0!</v>
      </c>
      <c r="W309" s="24" t="str">
        <f t="shared" si="9"/>
        <v>#DIV/0!</v>
      </c>
      <c r="X309" s="24" t="str">
        <f t="shared" si="10"/>
        <v>#DIV/0!</v>
      </c>
      <c r="Y309" s="21" t="str">
        <f>IF(A309="","",SUMIFS('Labor Log'!$I$2:$I$2001,'Labor Log'!$A$2:$A$2001,A309))</f>
        <v/>
      </c>
      <c r="Z309" s="24" t="str">
        <f t="shared" si="11"/>
        <v>#DIV/0!</v>
      </c>
      <c r="AA309" s="21" t="str">
        <f>IF(A309="","",SUMIFS('Inventory &amp; COGS'!$H$2:$H$2001,'Inventory &amp; COGS'!$A$2:$A$2001,A309,'Inventory &amp; COGS'!$B$2:$B$2001,"Food"))</f>
        <v/>
      </c>
      <c r="AB309" s="21" t="str">
        <f>IF(A309="","",SUMIFS('Inventory &amp; COGS'!$H$2:$H$2001,'Inventory &amp; COGS'!$A$2:$A$2001,A309,'Inventory &amp; COGS'!$B$2:$B$2001,"Beverage"))</f>
        <v/>
      </c>
      <c r="AC309" s="21" t="str">
        <f t="shared" si="12"/>
        <v/>
      </c>
      <c r="AD309" s="24" t="str">
        <f t="shared" ref="AD309:AE309" si="324">IF(I309=0,"",AA309/I309)</f>
        <v/>
      </c>
      <c r="AE309" s="24" t="str">
        <f t="shared" si="324"/>
        <v/>
      </c>
      <c r="AF309" s="21" t="str">
        <f t="shared" si="14"/>
        <v/>
      </c>
      <c r="AG309" s="24" t="str">
        <f t="shared" si="15"/>
        <v>#DIV/0!</v>
      </c>
      <c r="AH309" s="25" t="str">
        <f t="shared" si="16"/>
        <v/>
      </c>
      <c r="AI309" s="25" t="str">
        <f t="shared" si="17"/>
        <v/>
      </c>
      <c r="AJ309" s="26" t="str">
        <f t="shared" si="18"/>
        <v/>
      </c>
    </row>
    <row r="310" ht="15.75" customHeight="1">
      <c r="A310" s="3"/>
      <c r="B310" s="18" t="str">
        <f t="shared" si="2"/>
        <v/>
      </c>
      <c r="C310" s="19"/>
      <c r="D310" s="19"/>
      <c r="E310" s="19"/>
      <c r="F310" s="20"/>
      <c r="G310" s="20"/>
      <c r="H310" s="21" t="str">
        <f t="shared" si="3"/>
        <v/>
      </c>
      <c r="I310" s="20"/>
      <c r="J310" s="20"/>
      <c r="K310" s="20"/>
      <c r="L310" s="20"/>
      <c r="M310" s="21" t="str">
        <f t="shared" si="4"/>
        <v/>
      </c>
      <c r="N310" s="20"/>
      <c r="O310" s="20"/>
      <c r="P310" s="20"/>
      <c r="Q310" s="21" t="str">
        <f t="shared" si="5"/>
        <v/>
      </c>
      <c r="R310" s="21" t="str">
        <f t="shared" si="6"/>
        <v/>
      </c>
      <c r="S310" s="22"/>
      <c r="T310" s="22"/>
      <c r="U310" s="23" t="str">
        <f t="shared" si="7"/>
        <v/>
      </c>
      <c r="V310" s="21" t="str">
        <f t="shared" si="8"/>
        <v>#DIV/0!</v>
      </c>
      <c r="W310" s="24" t="str">
        <f t="shared" si="9"/>
        <v>#DIV/0!</v>
      </c>
      <c r="X310" s="24" t="str">
        <f t="shared" si="10"/>
        <v>#DIV/0!</v>
      </c>
      <c r="Y310" s="21" t="str">
        <f>IF(A310="","",SUMIFS('Labor Log'!$I$2:$I$2001,'Labor Log'!$A$2:$A$2001,A310))</f>
        <v/>
      </c>
      <c r="Z310" s="24" t="str">
        <f t="shared" si="11"/>
        <v>#DIV/0!</v>
      </c>
      <c r="AA310" s="21" t="str">
        <f>IF(A310="","",SUMIFS('Inventory &amp; COGS'!$H$2:$H$2001,'Inventory &amp; COGS'!$A$2:$A$2001,A310,'Inventory &amp; COGS'!$B$2:$B$2001,"Food"))</f>
        <v/>
      </c>
      <c r="AB310" s="21" t="str">
        <f>IF(A310="","",SUMIFS('Inventory &amp; COGS'!$H$2:$H$2001,'Inventory &amp; COGS'!$A$2:$A$2001,A310,'Inventory &amp; COGS'!$B$2:$B$2001,"Beverage"))</f>
        <v/>
      </c>
      <c r="AC310" s="21" t="str">
        <f t="shared" si="12"/>
        <v/>
      </c>
      <c r="AD310" s="24" t="str">
        <f t="shared" ref="AD310:AE310" si="325">IF(I310=0,"",AA310/I310)</f>
        <v/>
      </c>
      <c r="AE310" s="24" t="str">
        <f t="shared" si="325"/>
        <v/>
      </c>
      <c r="AF310" s="21" t="str">
        <f t="shared" si="14"/>
        <v/>
      </c>
      <c r="AG310" s="24" t="str">
        <f t="shared" si="15"/>
        <v>#DIV/0!</v>
      </c>
      <c r="AH310" s="25" t="str">
        <f t="shared" si="16"/>
        <v/>
      </c>
      <c r="AI310" s="25" t="str">
        <f t="shared" si="17"/>
        <v/>
      </c>
      <c r="AJ310" s="26" t="str">
        <f t="shared" si="18"/>
        <v/>
      </c>
    </row>
    <row r="311" ht="15.75" customHeight="1">
      <c r="A311" s="3"/>
      <c r="B311" s="18" t="str">
        <f t="shared" si="2"/>
        <v/>
      </c>
      <c r="C311" s="19"/>
      <c r="D311" s="19"/>
      <c r="E311" s="19"/>
      <c r="F311" s="20"/>
      <c r="G311" s="20"/>
      <c r="H311" s="21" t="str">
        <f t="shared" si="3"/>
        <v/>
      </c>
      <c r="I311" s="20"/>
      <c r="J311" s="20"/>
      <c r="K311" s="20"/>
      <c r="L311" s="20"/>
      <c r="M311" s="21" t="str">
        <f t="shared" si="4"/>
        <v/>
      </c>
      <c r="N311" s="20"/>
      <c r="O311" s="20"/>
      <c r="P311" s="20"/>
      <c r="Q311" s="21" t="str">
        <f t="shared" si="5"/>
        <v/>
      </c>
      <c r="R311" s="21" t="str">
        <f t="shared" si="6"/>
        <v/>
      </c>
      <c r="S311" s="22"/>
      <c r="T311" s="22"/>
      <c r="U311" s="23" t="str">
        <f t="shared" si="7"/>
        <v/>
      </c>
      <c r="V311" s="21" t="str">
        <f t="shared" si="8"/>
        <v>#DIV/0!</v>
      </c>
      <c r="W311" s="24" t="str">
        <f t="shared" si="9"/>
        <v>#DIV/0!</v>
      </c>
      <c r="X311" s="24" t="str">
        <f t="shared" si="10"/>
        <v>#DIV/0!</v>
      </c>
      <c r="Y311" s="21" t="str">
        <f>IF(A311="","",SUMIFS('Labor Log'!$I$2:$I$2001,'Labor Log'!$A$2:$A$2001,A311))</f>
        <v/>
      </c>
      <c r="Z311" s="24" t="str">
        <f t="shared" si="11"/>
        <v>#DIV/0!</v>
      </c>
      <c r="AA311" s="21" t="str">
        <f>IF(A311="","",SUMIFS('Inventory &amp; COGS'!$H$2:$H$2001,'Inventory &amp; COGS'!$A$2:$A$2001,A311,'Inventory &amp; COGS'!$B$2:$B$2001,"Food"))</f>
        <v/>
      </c>
      <c r="AB311" s="21" t="str">
        <f>IF(A311="","",SUMIFS('Inventory &amp; COGS'!$H$2:$H$2001,'Inventory &amp; COGS'!$A$2:$A$2001,A311,'Inventory &amp; COGS'!$B$2:$B$2001,"Beverage"))</f>
        <v/>
      </c>
      <c r="AC311" s="21" t="str">
        <f t="shared" si="12"/>
        <v/>
      </c>
      <c r="AD311" s="24" t="str">
        <f t="shared" ref="AD311:AE311" si="326">IF(I311=0,"",AA311/I311)</f>
        <v/>
      </c>
      <c r="AE311" s="24" t="str">
        <f t="shared" si="326"/>
        <v/>
      </c>
      <c r="AF311" s="21" t="str">
        <f t="shared" si="14"/>
        <v/>
      </c>
      <c r="AG311" s="24" t="str">
        <f t="shared" si="15"/>
        <v>#DIV/0!</v>
      </c>
      <c r="AH311" s="25" t="str">
        <f t="shared" si="16"/>
        <v/>
      </c>
      <c r="AI311" s="25" t="str">
        <f t="shared" si="17"/>
        <v/>
      </c>
      <c r="AJ311" s="26" t="str">
        <f t="shared" si="18"/>
        <v/>
      </c>
    </row>
    <row r="312" ht="15.75" customHeight="1">
      <c r="A312" s="3"/>
      <c r="B312" s="18" t="str">
        <f t="shared" si="2"/>
        <v/>
      </c>
      <c r="C312" s="19"/>
      <c r="D312" s="19"/>
      <c r="E312" s="19"/>
      <c r="F312" s="20"/>
      <c r="G312" s="20"/>
      <c r="H312" s="21" t="str">
        <f t="shared" si="3"/>
        <v/>
      </c>
      <c r="I312" s="20"/>
      <c r="J312" s="20"/>
      <c r="K312" s="20"/>
      <c r="L312" s="20"/>
      <c r="M312" s="21" t="str">
        <f t="shared" si="4"/>
        <v/>
      </c>
      <c r="N312" s="20"/>
      <c r="O312" s="20"/>
      <c r="P312" s="20"/>
      <c r="Q312" s="21" t="str">
        <f t="shared" si="5"/>
        <v/>
      </c>
      <c r="R312" s="21" t="str">
        <f t="shared" si="6"/>
        <v/>
      </c>
      <c r="S312" s="22"/>
      <c r="T312" s="22"/>
      <c r="U312" s="23" t="str">
        <f t="shared" si="7"/>
        <v/>
      </c>
      <c r="V312" s="21" t="str">
        <f t="shared" si="8"/>
        <v>#DIV/0!</v>
      </c>
      <c r="W312" s="24" t="str">
        <f t="shared" si="9"/>
        <v>#DIV/0!</v>
      </c>
      <c r="X312" s="24" t="str">
        <f t="shared" si="10"/>
        <v>#DIV/0!</v>
      </c>
      <c r="Y312" s="21" t="str">
        <f>IF(A312="","",SUMIFS('Labor Log'!$I$2:$I$2001,'Labor Log'!$A$2:$A$2001,A312))</f>
        <v/>
      </c>
      <c r="Z312" s="24" t="str">
        <f t="shared" si="11"/>
        <v>#DIV/0!</v>
      </c>
      <c r="AA312" s="21" t="str">
        <f>IF(A312="","",SUMIFS('Inventory &amp; COGS'!$H$2:$H$2001,'Inventory &amp; COGS'!$A$2:$A$2001,A312,'Inventory &amp; COGS'!$B$2:$B$2001,"Food"))</f>
        <v/>
      </c>
      <c r="AB312" s="21" t="str">
        <f>IF(A312="","",SUMIFS('Inventory &amp; COGS'!$H$2:$H$2001,'Inventory &amp; COGS'!$A$2:$A$2001,A312,'Inventory &amp; COGS'!$B$2:$B$2001,"Beverage"))</f>
        <v/>
      </c>
      <c r="AC312" s="21" t="str">
        <f t="shared" si="12"/>
        <v/>
      </c>
      <c r="AD312" s="24" t="str">
        <f t="shared" ref="AD312:AE312" si="327">IF(I312=0,"",AA312/I312)</f>
        <v/>
      </c>
      <c r="AE312" s="24" t="str">
        <f t="shared" si="327"/>
        <v/>
      </c>
      <c r="AF312" s="21" t="str">
        <f t="shared" si="14"/>
        <v/>
      </c>
      <c r="AG312" s="24" t="str">
        <f t="shared" si="15"/>
        <v>#DIV/0!</v>
      </c>
      <c r="AH312" s="25" t="str">
        <f t="shared" si="16"/>
        <v/>
      </c>
      <c r="AI312" s="25" t="str">
        <f t="shared" si="17"/>
        <v/>
      </c>
      <c r="AJ312" s="26" t="str">
        <f t="shared" si="18"/>
        <v/>
      </c>
    </row>
    <row r="313" ht="15.75" customHeight="1">
      <c r="A313" s="3"/>
      <c r="B313" s="18" t="str">
        <f t="shared" si="2"/>
        <v/>
      </c>
      <c r="C313" s="19"/>
      <c r="D313" s="19"/>
      <c r="E313" s="19"/>
      <c r="F313" s="20"/>
      <c r="G313" s="20"/>
      <c r="H313" s="21" t="str">
        <f t="shared" si="3"/>
        <v/>
      </c>
      <c r="I313" s="20"/>
      <c r="J313" s="20"/>
      <c r="K313" s="20"/>
      <c r="L313" s="20"/>
      <c r="M313" s="21" t="str">
        <f t="shared" si="4"/>
        <v/>
      </c>
      <c r="N313" s="20"/>
      <c r="O313" s="20"/>
      <c r="P313" s="20"/>
      <c r="Q313" s="21" t="str">
        <f t="shared" si="5"/>
        <v/>
      </c>
      <c r="R313" s="21" t="str">
        <f t="shared" si="6"/>
        <v/>
      </c>
      <c r="S313" s="22"/>
      <c r="T313" s="22"/>
      <c r="U313" s="23" t="str">
        <f t="shared" si="7"/>
        <v/>
      </c>
      <c r="V313" s="21" t="str">
        <f t="shared" si="8"/>
        <v>#DIV/0!</v>
      </c>
      <c r="W313" s="24" t="str">
        <f t="shared" si="9"/>
        <v>#DIV/0!</v>
      </c>
      <c r="X313" s="24" t="str">
        <f t="shared" si="10"/>
        <v>#DIV/0!</v>
      </c>
      <c r="Y313" s="21" t="str">
        <f>IF(A313="","",SUMIFS('Labor Log'!$I$2:$I$2001,'Labor Log'!$A$2:$A$2001,A313))</f>
        <v/>
      </c>
      <c r="Z313" s="24" t="str">
        <f t="shared" si="11"/>
        <v>#DIV/0!</v>
      </c>
      <c r="AA313" s="21" t="str">
        <f>IF(A313="","",SUMIFS('Inventory &amp; COGS'!$H$2:$H$2001,'Inventory &amp; COGS'!$A$2:$A$2001,A313,'Inventory &amp; COGS'!$B$2:$B$2001,"Food"))</f>
        <v/>
      </c>
      <c r="AB313" s="21" t="str">
        <f>IF(A313="","",SUMIFS('Inventory &amp; COGS'!$H$2:$H$2001,'Inventory &amp; COGS'!$A$2:$A$2001,A313,'Inventory &amp; COGS'!$B$2:$B$2001,"Beverage"))</f>
        <v/>
      </c>
      <c r="AC313" s="21" t="str">
        <f t="shared" si="12"/>
        <v/>
      </c>
      <c r="AD313" s="24" t="str">
        <f t="shared" ref="AD313:AE313" si="328">IF(I313=0,"",AA313/I313)</f>
        <v/>
      </c>
      <c r="AE313" s="24" t="str">
        <f t="shared" si="328"/>
        <v/>
      </c>
      <c r="AF313" s="21" t="str">
        <f t="shared" si="14"/>
        <v/>
      </c>
      <c r="AG313" s="24" t="str">
        <f t="shared" si="15"/>
        <v>#DIV/0!</v>
      </c>
      <c r="AH313" s="25" t="str">
        <f t="shared" si="16"/>
        <v/>
      </c>
      <c r="AI313" s="25" t="str">
        <f t="shared" si="17"/>
        <v/>
      </c>
      <c r="AJ313" s="26" t="str">
        <f t="shared" si="18"/>
        <v/>
      </c>
    </row>
    <row r="314" ht="15.75" customHeight="1">
      <c r="A314" s="3"/>
      <c r="B314" s="18" t="str">
        <f t="shared" si="2"/>
        <v/>
      </c>
      <c r="C314" s="19"/>
      <c r="D314" s="19"/>
      <c r="E314" s="19"/>
      <c r="F314" s="20"/>
      <c r="G314" s="20"/>
      <c r="H314" s="21" t="str">
        <f t="shared" si="3"/>
        <v/>
      </c>
      <c r="I314" s="20"/>
      <c r="J314" s="20"/>
      <c r="K314" s="20"/>
      <c r="L314" s="20"/>
      <c r="M314" s="21" t="str">
        <f t="shared" si="4"/>
        <v/>
      </c>
      <c r="N314" s="20"/>
      <c r="O314" s="20"/>
      <c r="P314" s="20"/>
      <c r="Q314" s="21" t="str">
        <f t="shared" si="5"/>
        <v/>
      </c>
      <c r="R314" s="21" t="str">
        <f t="shared" si="6"/>
        <v/>
      </c>
      <c r="S314" s="22"/>
      <c r="T314" s="22"/>
      <c r="U314" s="23" t="str">
        <f t="shared" si="7"/>
        <v/>
      </c>
      <c r="V314" s="21" t="str">
        <f t="shared" si="8"/>
        <v>#DIV/0!</v>
      </c>
      <c r="W314" s="24" t="str">
        <f t="shared" si="9"/>
        <v>#DIV/0!</v>
      </c>
      <c r="X314" s="24" t="str">
        <f t="shared" si="10"/>
        <v>#DIV/0!</v>
      </c>
      <c r="Y314" s="21" t="str">
        <f>IF(A314="","",SUMIFS('Labor Log'!$I$2:$I$2001,'Labor Log'!$A$2:$A$2001,A314))</f>
        <v/>
      </c>
      <c r="Z314" s="24" t="str">
        <f t="shared" si="11"/>
        <v>#DIV/0!</v>
      </c>
      <c r="AA314" s="21" t="str">
        <f>IF(A314="","",SUMIFS('Inventory &amp; COGS'!$H$2:$H$2001,'Inventory &amp; COGS'!$A$2:$A$2001,A314,'Inventory &amp; COGS'!$B$2:$B$2001,"Food"))</f>
        <v/>
      </c>
      <c r="AB314" s="21" t="str">
        <f>IF(A314="","",SUMIFS('Inventory &amp; COGS'!$H$2:$H$2001,'Inventory &amp; COGS'!$A$2:$A$2001,A314,'Inventory &amp; COGS'!$B$2:$B$2001,"Beverage"))</f>
        <v/>
      </c>
      <c r="AC314" s="21" t="str">
        <f t="shared" si="12"/>
        <v/>
      </c>
      <c r="AD314" s="24" t="str">
        <f t="shared" ref="AD314:AE314" si="329">IF(I314=0,"",AA314/I314)</f>
        <v/>
      </c>
      <c r="AE314" s="24" t="str">
        <f t="shared" si="329"/>
        <v/>
      </c>
      <c r="AF314" s="21" t="str">
        <f t="shared" si="14"/>
        <v/>
      </c>
      <c r="AG314" s="24" t="str">
        <f t="shared" si="15"/>
        <v>#DIV/0!</v>
      </c>
      <c r="AH314" s="25" t="str">
        <f t="shared" si="16"/>
        <v/>
      </c>
      <c r="AI314" s="25" t="str">
        <f t="shared" si="17"/>
        <v/>
      </c>
      <c r="AJ314" s="26" t="str">
        <f t="shared" si="18"/>
        <v/>
      </c>
    </row>
    <row r="315" ht="15.75" customHeight="1">
      <c r="A315" s="3"/>
      <c r="B315" s="18" t="str">
        <f t="shared" si="2"/>
        <v/>
      </c>
      <c r="C315" s="19"/>
      <c r="D315" s="19"/>
      <c r="E315" s="19"/>
      <c r="F315" s="20"/>
      <c r="G315" s="20"/>
      <c r="H315" s="21" t="str">
        <f t="shared" si="3"/>
        <v/>
      </c>
      <c r="I315" s="20"/>
      <c r="J315" s="20"/>
      <c r="K315" s="20"/>
      <c r="L315" s="20"/>
      <c r="M315" s="21" t="str">
        <f t="shared" si="4"/>
        <v/>
      </c>
      <c r="N315" s="20"/>
      <c r="O315" s="20"/>
      <c r="P315" s="20"/>
      <c r="Q315" s="21" t="str">
        <f t="shared" si="5"/>
        <v/>
      </c>
      <c r="R315" s="21" t="str">
        <f t="shared" si="6"/>
        <v/>
      </c>
      <c r="S315" s="22"/>
      <c r="T315" s="22"/>
      <c r="U315" s="23" t="str">
        <f t="shared" si="7"/>
        <v/>
      </c>
      <c r="V315" s="21" t="str">
        <f t="shared" si="8"/>
        <v>#DIV/0!</v>
      </c>
      <c r="W315" s="24" t="str">
        <f t="shared" si="9"/>
        <v>#DIV/0!</v>
      </c>
      <c r="X315" s="24" t="str">
        <f t="shared" si="10"/>
        <v>#DIV/0!</v>
      </c>
      <c r="Y315" s="21" t="str">
        <f>IF(A315="","",SUMIFS('Labor Log'!$I$2:$I$2001,'Labor Log'!$A$2:$A$2001,A315))</f>
        <v/>
      </c>
      <c r="Z315" s="24" t="str">
        <f t="shared" si="11"/>
        <v>#DIV/0!</v>
      </c>
      <c r="AA315" s="21" t="str">
        <f>IF(A315="","",SUMIFS('Inventory &amp; COGS'!$H$2:$H$2001,'Inventory &amp; COGS'!$A$2:$A$2001,A315,'Inventory &amp; COGS'!$B$2:$B$2001,"Food"))</f>
        <v/>
      </c>
      <c r="AB315" s="21" t="str">
        <f>IF(A315="","",SUMIFS('Inventory &amp; COGS'!$H$2:$H$2001,'Inventory &amp; COGS'!$A$2:$A$2001,A315,'Inventory &amp; COGS'!$B$2:$B$2001,"Beverage"))</f>
        <v/>
      </c>
      <c r="AC315" s="21" t="str">
        <f t="shared" si="12"/>
        <v/>
      </c>
      <c r="AD315" s="24" t="str">
        <f t="shared" ref="AD315:AE315" si="330">IF(I315=0,"",AA315/I315)</f>
        <v/>
      </c>
      <c r="AE315" s="24" t="str">
        <f t="shared" si="330"/>
        <v/>
      </c>
      <c r="AF315" s="21" t="str">
        <f t="shared" si="14"/>
        <v/>
      </c>
      <c r="AG315" s="24" t="str">
        <f t="shared" si="15"/>
        <v>#DIV/0!</v>
      </c>
      <c r="AH315" s="25" t="str">
        <f t="shared" si="16"/>
        <v/>
      </c>
      <c r="AI315" s="25" t="str">
        <f t="shared" si="17"/>
        <v/>
      </c>
      <c r="AJ315" s="26" t="str">
        <f t="shared" si="18"/>
        <v/>
      </c>
    </row>
    <row r="316" ht="15.75" customHeight="1">
      <c r="A316" s="3"/>
      <c r="B316" s="18" t="str">
        <f t="shared" si="2"/>
        <v/>
      </c>
      <c r="C316" s="19"/>
      <c r="D316" s="19"/>
      <c r="E316" s="19"/>
      <c r="F316" s="20"/>
      <c r="G316" s="20"/>
      <c r="H316" s="21" t="str">
        <f t="shared" si="3"/>
        <v/>
      </c>
      <c r="I316" s="20"/>
      <c r="J316" s="20"/>
      <c r="K316" s="20"/>
      <c r="L316" s="20"/>
      <c r="M316" s="21" t="str">
        <f t="shared" si="4"/>
        <v/>
      </c>
      <c r="N316" s="20"/>
      <c r="O316" s="20"/>
      <c r="P316" s="20"/>
      <c r="Q316" s="21" t="str">
        <f t="shared" si="5"/>
        <v/>
      </c>
      <c r="R316" s="21" t="str">
        <f t="shared" si="6"/>
        <v/>
      </c>
      <c r="S316" s="22"/>
      <c r="T316" s="22"/>
      <c r="U316" s="23" t="str">
        <f t="shared" si="7"/>
        <v/>
      </c>
      <c r="V316" s="21" t="str">
        <f t="shared" si="8"/>
        <v>#DIV/0!</v>
      </c>
      <c r="W316" s="24" t="str">
        <f t="shared" si="9"/>
        <v>#DIV/0!</v>
      </c>
      <c r="X316" s="24" t="str">
        <f t="shared" si="10"/>
        <v>#DIV/0!</v>
      </c>
      <c r="Y316" s="21" t="str">
        <f>IF(A316="","",SUMIFS('Labor Log'!$I$2:$I$2001,'Labor Log'!$A$2:$A$2001,A316))</f>
        <v/>
      </c>
      <c r="Z316" s="24" t="str">
        <f t="shared" si="11"/>
        <v>#DIV/0!</v>
      </c>
      <c r="AA316" s="21" t="str">
        <f>IF(A316="","",SUMIFS('Inventory &amp; COGS'!$H$2:$H$2001,'Inventory &amp; COGS'!$A$2:$A$2001,A316,'Inventory &amp; COGS'!$B$2:$B$2001,"Food"))</f>
        <v/>
      </c>
      <c r="AB316" s="21" t="str">
        <f>IF(A316="","",SUMIFS('Inventory &amp; COGS'!$H$2:$H$2001,'Inventory &amp; COGS'!$A$2:$A$2001,A316,'Inventory &amp; COGS'!$B$2:$B$2001,"Beverage"))</f>
        <v/>
      </c>
      <c r="AC316" s="21" t="str">
        <f t="shared" si="12"/>
        <v/>
      </c>
      <c r="AD316" s="24" t="str">
        <f t="shared" ref="AD316:AE316" si="331">IF(I316=0,"",AA316/I316)</f>
        <v/>
      </c>
      <c r="AE316" s="24" t="str">
        <f t="shared" si="331"/>
        <v/>
      </c>
      <c r="AF316" s="21" t="str">
        <f t="shared" si="14"/>
        <v/>
      </c>
      <c r="AG316" s="24" t="str">
        <f t="shared" si="15"/>
        <v>#DIV/0!</v>
      </c>
      <c r="AH316" s="25" t="str">
        <f t="shared" si="16"/>
        <v/>
      </c>
      <c r="AI316" s="25" t="str">
        <f t="shared" si="17"/>
        <v/>
      </c>
      <c r="AJ316" s="26" t="str">
        <f t="shared" si="18"/>
        <v/>
      </c>
    </row>
    <row r="317" ht="15.75" customHeight="1">
      <c r="A317" s="3"/>
      <c r="B317" s="18" t="str">
        <f t="shared" si="2"/>
        <v/>
      </c>
      <c r="C317" s="19"/>
      <c r="D317" s="19"/>
      <c r="E317" s="19"/>
      <c r="F317" s="20"/>
      <c r="G317" s="20"/>
      <c r="H317" s="21" t="str">
        <f t="shared" si="3"/>
        <v/>
      </c>
      <c r="I317" s="20"/>
      <c r="J317" s="20"/>
      <c r="K317" s="20"/>
      <c r="L317" s="20"/>
      <c r="M317" s="21" t="str">
        <f t="shared" si="4"/>
        <v/>
      </c>
      <c r="N317" s="20"/>
      <c r="O317" s="20"/>
      <c r="P317" s="20"/>
      <c r="Q317" s="21" t="str">
        <f t="shared" si="5"/>
        <v/>
      </c>
      <c r="R317" s="21" t="str">
        <f t="shared" si="6"/>
        <v/>
      </c>
      <c r="S317" s="22"/>
      <c r="T317" s="22"/>
      <c r="U317" s="23" t="str">
        <f t="shared" si="7"/>
        <v/>
      </c>
      <c r="V317" s="21" t="str">
        <f t="shared" si="8"/>
        <v>#DIV/0!</v>
      </c>
      <c r="W317" s="24" t="str">
        <f t="shared" si="9"/>
        <v>#DIV/0!</v>
      </c>
      <c r="X317" s="24" t="str">
        <f t="shared" si="10"/>
        <v>#DIV/0!</v>
      </c>
      <c r="Y317" s="21" t="str">
        <f>IF(A317="","",SUMIFS('Labor Log'!$I$2:$I$2001,'Labor Log'!$A$2:$A$2001,A317))</f>
        <v/>
      </c>
      <c r="Z317" s="24" t="str">
        <f t="shared" si="11"/>
        <v>#DIV/0!</v>
      </c>
      <c r="AA317" s="21" t="str">
        <f>IF(A317="","",SUMIFS('Inventory &amp; COGS'!$H$2:$H$2001,'Inventory &amp; COGS'!$A$2:$A$2001,A317,'Inventory &amp; COGS'!$B$2:$B$2001,"Food"))</f>
        <v/>
      </c>
      <c r="AB317" s="21" t="str">
        <f>IF(A317="","",SUMIFS('Inventory &amp; COGS'!$H$2:$H$2001,'Inventory &amp; COGS'!$A$2:$A$2001,A317,'Inventory &amp; COGS'!$B$2:$B$2001,"Beverage"))</f>
        <v/>
      </c>
      <c r="AC317" s="21" t="str">
        <f t="shared" si="12"/>
        <v/>
      </c>
      <c r="AD317" s="24" t="str">
        <f t="shared" ref="AD317:AE317" si="332">IF(I317=0,"",AA317/I317)</f>
        <v/>
      </c>
      <c r="AE317" s="24" t="str">
        <f t="shared" si="332"/>
        <v/>
      </c>
      <c r="AF317" s="21" t="str">
        <f t="shared" si="14"/>
        <v/>
      </c>
      <c r="AG317" s="24" t="str">
        <f t="shared" si="15"/>
        <v>#DIV/0!</v>
      </c>
      <c r="AH317" s="25" t="str">
        <f t="shared" si="16"/>
        <v/>
      </c>
      <c r="AI317" s="25" t="str">
        <f t="shared" si="17"/>
        <v/>
      </c>
      <c r="AJ317" s="26" t="str">
        <f t="shared" si="18"/>
        <v/>
      </c>
    </row>
    <row r="318" ht="15.75" customHeight="1">
      <c r="A318" s="3"/>
      <c r="B318" s="18" t="str">
        <f t="shared" si="2"/>
        <v/>
      </c>
      <c r="C318" s="19"/>
      <c r="D318" s="19"/>
      <c r="E318" s="19"/>
      <c r="F318" s="20"/>
      <c r="G318" s="20"/>
      <c r="H318" s="21" t="str">
        <f t="shared" si="3"/>
        <v/>
      </c>
      <c r="I318" s="20"/>
      <c r="J318" s="20"/>
      <c r="K318" s="20"/>
      <c r="L318" s="20"/>
      <c r="M318" s="21" t="str">
        <f t="shared" si="4"/>
        <v/>
      </c>
      <c r="N318" s="20"/>
      <c r="O318" s="20"/>
      <c r="P318" s="20"/>
      <c r="Q318" s="21" t="str">
        <f t="shared" si="5"/>
        <v/>
      </c>
      <c r="R318" s="21" t="str">
        <f t="shared" si="6"/>
        <v/>
      </c>
      <c r="S318" s="22"/>
      <c r="T318" s="22"/>
      <c r="U318" s="23" t="str">
        <f t="shared" si="7"/>
        <v/>
      </c>
      <c r="V318" s="21" t="str">
        <f t="shared" si="8"/>
        <v>#DIV/0!</v>
      </c>
      <c r="W318" s="24" t="str">
        <f t="shared" si="9"/>
        <v>#DIV/0!</v>
      </c>
      <c r="X318" s="24" t="str">
        <f t="shared" si="10"/>
        <v>#DIV/0!</v>
      </c>
      <c r="Y318" s="21" t="str">
        <f>IF(A318="","",SUMIFS('Labor Log'!$I$2:$I$2001,'Labor Log'!$A$2:$A$2001,A318))</f>
        <v/>
      </c>
      <c r="Z318" s="24" t="str">
        <f t="shared" si="11"/>
        <v>#DIV/0!</v>
      </c>
      <c r="AA318" s="21" t="str">
        <f>IF(A318="","",SUMIFS('Inventory &amp; COGS'!$H$2:$H$2001,'Inventory &amp; COGS'!$A$2:$A$2001,A318,'Inventory &amp; COGS'!$B$2:$B$2001,"Food"))</f>
        <v/>
      </c>
      <c r="AB318" s="21" t="str">
        <f>IF(A318="","",SUMIFS('Inventory &amp; COGS'!$H$2:$H$2001,'Inventory &amp; COGS'!$A$2:$A$2001,A318,'Inventory &amp; COGS'!$B$2:$B$2001,"Beverage"))</f>
        <v/>
      </c>
      <c r="AC318" s="21" t="str">
        <f t="shared" si="12"/>
        <v/>
      </c>
      <c r="AD318" s="24" t="str">
        <f t="shared" ref="AD318:AE318" si="333">IF(I318=0,"",AA318/I318)</f>
        <v/>
      </c>
      <c r="AE318" s="24" t="str">
        <f t="shared" si="333"/>
        <v/>
      </c>
      <c r="AF318" s="21" t="str">
        <f t="shared" si="14"/>
        <v/>
      </c>
      <c r="AG318" s="24" t="str">
        <f t="shared" si="15"/>
        <v>#DIV/0!</v>
      </c>
      <c r="AH318" s="25" t="str">
        <f t="shared" si="16"/>
        <v/>
      </c>
      <c r="AI318" s="25" t="str">
        <f t="shared" si="17"/>
        <v/>
      </c>
      <c r="AJ318" s="26" t="str">
        <f t="shared" si="18"/>
        <v/>
      </c>
    </row>
    <row r="319" ht="15.75" customHeight="1">
      <c r="A319" s="3"/>
      <c r="B319" s="18" t="str">
        <f t="shared" si="2"/>
        <v/>
      </c>
      <c r="C319" s="19"/>
      <c r="D319" s="19"/>
      <c r="E319" s="19"/>
      <c r="F319" s="20"/>
      <c r="G319" s="20"/>
      <c r="H319" s="21" t="str">
        <f t="shared" si="3"/>
        <v/>
      </c>
      <c r="I319" s="20"/>
      <c r="J319" s="20"/>
      <c r="K319" s="20"/>
      <c r="L319" s="20"/>
      <c r="M319" s="21" t="str">
        <f t="shared" si="4"/>
        <v/>
      </c>
      <c r="N319" s="20"/>
      <c r="O319" s="20"/>
      <c r="P319" s="20"/>
      <c r="Q319" s="21" t="str">
        <f t="shared" si="5"/>
        <v/>
      </c>
      <c r="R319" s="21" t="str">
        <f t="shared" si="6"/>
        <v/>
      </c>
      <c r="S319" s="22"/>
      <c r="T319" s="22"/>
      <c r="U319" s="23" t="str">
        <f t="shared" si="7"/>
        <v/>
      </c>
      <c r="V319" s="21" t="str">
        <f t="shared" si="8"/>
        <v>#DIV/0!</v>
      </c>
      <c r="W319" s="24" t="str">
        <f t="shared" si="9"/>
        <v>#DIV/0!</v>
      </c>
      <c r="X319" s="24" t="str">
        <f t="shared" si="10"/>
        <v>#DIV/0!</v>
      </c>
      <c r="Y319" s="21" t="str">
        <f>IF(A319="","",SUMIFS('Labor Log'!$I$2:$I$2001,'Labor Log'!$A$2:$A$2001,A319))</f>
        <v/>
      </c>
      <c r="Z319" s="24" t="str">
        <f t="shared" si="11"/>
        <v>#DIV/0!</v>
      </c>
      <c r="AA319" s="21" t="str">
        <f>IF(A319="","",SUMIFS('Inventory &amp; COGS'!$H$2:$H$2001,'Inventory &amp; COGS'!$A$2:$A$2001,A319,'Inventory &amp; COGS'!$B$2:$B$2001,"Food"))</f>
        <v/>
      </c>
      <c r="AB319" s="21" t="str">
        <f>IF(A319="","",SUMIFS('Inventory &amp; COGS'!$H$2:$H$2001,'Inventory &amp; COGS'!$A$2:$A$2001,A319,'Inventory &amp; COGS'!$B$2:$B$2001,"Beverage"))</f>
        <v/>
      </c>
      <c r="AC319" s="21" t="str">
        <f t="shared" si="12"/>
        <v/>
      </c>
      <c r="AD319" s="24" t="str">
        <f t="shared" ref="AD319:AE319" si="334">IF(I319=0,"",AA319/I319)</f>
        <v/>
      </c>
      <c r="AE319" s="24" t="str">
        <f t="shared" si="334"/>
        <v/>
      </c>
      <c r="AF319" s="21" t="str">
        <f t="shared" si="14"/>
        <v/>
      </c>
      <c r="AG319" s="24" t="str">
        <f t="shared" si="15"/>
        <v>#DIV/0!</v>
      </c>
      <c r="AH319" s="25" t="str">
        <f t="shared" si="16"/>
        <v/>
      </c>
      <c r="AI319" s="25" t="str">
        <f t="shared" si="17"/>
        <v/>
      </c>
      <c r="AJ319" s="26" t="str">
        <f t="shared" si="18"/>
        <v/>
      </c>
    </row>
    <row r="320" ht="15.75" customHeight="1">
      <c r="A320" s="3"/>
      <c r="B320" s="18" t="str">
        <f t="shared" si="2"/>
        <v/>
      </c>
      <c r="C320" s="19"/>
      <c r="D320" s="19"/>
      <c r="E320" s="19"/>
      <c r="F320" s="20"/>
      <c r="G320" s="20"/>
      <c r="H320" s="21" t="str">
        <f t="shared" si="3"/>
        <v/>
      </c>
      <c r="I320" s="20"/>
      <c r="J320" s="20"/>
      <c r="K320" s="20"/>
      <c r="L320" s="20"/>
      <c r="M320" s="21" t="str">
        <f t="shared" si="4"/>
        <v/>
      </c>
      <c r="N320" s="20"/>
      <c r="O320" s="20"/>
      <c r="P320" s="20"/>
      <c r="Q320" s="21" t="str">
        <f t="shared" si="5"/>
        <v/>
      </c>
      <c r="R320" s="21" t="str">
        <f t="shared" si="6"/>
        <v/>
      </c>
      <c r="S320" s="22"/>
      <c r="T320" s="22"/>
      <c r="U320" s="23" t="str">
        <f t="shared" si="7"/>
        <v/>
      </c>
      <c r="V320" s="21" t="str">
        <f t="shared" si="8"/>
        <v>#DIV/0!</v>
      </c>
      <c r="W320" s="24" t="str">
        <f t="shared" si="9"/>
        <v>#DIV/0!</v>
      </c>
      <c r="X320" s="24" t="str">
        <f t="shared" si="10"/>
        <v>#DIV/0!</v>
      </c>
      <c r="Y320" s="21" t="str">
        <f>IF(A320="","",SUMIFS('Labor Log'!$I$2:$I$2001,'Labor Log'!$A$2:$A$2001,A320))</f>
        <v/>
      </c>
      <c r="Z320" s="24" t="str">
        <f t="shared" si="11"/>
        <v>#DIV/0!</v>
      </c>
      <c r="AA320" s="21" t="str">
        <f>IF(A320="","",SUMIFS('Inventory &amp; COGS'!$H$2:$H$2001,'Inventory &amp; COGS'!$A$2:$A$2001,A320,'Inventory &amp; COGS'!$B$2:$B$2001,"Food"))</f>
        <v/>
      </c>
      <c r="AB320" s="21" t="str">
        <f>IF(A320="","",SUMIFS('Inventory &amp; COGS'!$H$2:$H$2001,'Inventory &amp; COGS'!$A$2:$A$2001,A320,'Inventory &amp; COGS'!$B$2:$B$2001,"Beverage"))</f>
        <v/>
      </c>
      <c r="AC320" s="21" t="str">
        <f t="shared" si="12"/>
        <v/>
      </c>
      <c r="AD320" s="24" t="str">
        <f t="shared" ref="AD320:AE320" si="335">IF(I320=0,"",AA320/I320)</f>
        <v/>
      </c>
      <c r="AE320" s="24" t="str">
        <f t="shared" si="335"/>
        <v/>
      </c>
      <c r="AF320" s="21" t="str">
        <f t="shared" si="14"/>
        <v/>
      </c>
      <c r="AG320" s="24" t="str">
        <f t="shared" si="15"/>
        <v>#DIV/0!</v>
      </c>
      <c r="AH320" s="25" t="str">
        <f t="shared" si="16"/>
        <v/>
      </c>
      <c r="AI320" s="25" t="str">
        <f t="shared" si="17"/>
        <v/>
      </c>
      <c r="AJ320" s="26" t="str">
        <f t="shared" si="18"/>
        <v/>
      </c>
    </row>
    <row r="321" ht="15.75" customHeight="1">
      <c r="A321" s="3"/>
      <c r="B321" s="18" t="str">
        <f t="shared" si="2"/>
        <v/>
      </c>
      <c r="C321" s="19"/>
      <c r="D321" s="19"/>
      <c r="E321" s="19"/>
      <c r="F321" s="20"/>
      <c r="G321" s="20"/>
      <c r="H321" s="21" t="str">
        <f t="shared" si="3"/>
        <v/>
      </c>
      <c r="I321" s="20"/>
      <c r="J321" s="20"/>
      <c r="K321" s="20"/>
      <c r="L321" s="20"/>
      <c r="M321" s="21" t="str">
        <f t="shared" si="4"/>
        <v/>
      </c>
      <c r="N321" s="20"/>
      <c r="O321" s="20"/>
      <c r="P321" s="20"/>
      <c r="Q321" s="21" t="str">
        <f t="shared" si="5"/>
        <v/>
      </c>
      <c r="R321" s="21" t="str">
        <f t="shared" si="6"/>
        <v/>
      </c>
      <c r="S321" s="22"/>
      <c r="T321" s="22"/>
      <c r="U321" s="23" t="str">
        <f t="shared" si="7"/>
        <v/>
      </c>
      <c r="V321" s="21" t="str">
        <f t="shared" si="8"/>
        <v>#DIV/0!</v>
      </c>
      <c r="W321" s="24" t="str">
        <f t="shared" si="9"/>
        <v>#DIV/0!</v>
      </c>
      <c r="X321" s="24" t="str">
        <f t="shared" si="10"/>
        <v>#DIV/0!</v>
      </c>
      <c r="Y321" s="21" t="str">
        <f>IF(A321="","",SUMIFS('Labor Log'!$I$2:$I$2001,'Labor Log'!$A$2:$A$2001,A321))</f>
        <v/>
      </c>
      <c r="Z321" s="24" t="str">
        <f t="shared" si="11"/>
        <v>#DIV/0!</v>
      </c>
      <c r="AA321" s="21" t="str">
        <f>IF(A321="","",SUMIFS('Inventory &amp; COGS'!$H$2:$H$2001,'Inventory &amp; COGS'!$A$2:$A$2001,A321,'Inventory &amp; COGS'!$B$2:$B$2001,"Food"))</f>
        <v/>
      </c>
      <c r="AB321" s="21" t="str">
        <f>IF(A321="","",SUMIFS('Inventory &amp; COGS'!$H$2:$H$2001,'Inventory &amp; COGS'!$A$2:$A$2001,A321,'Inventory &amp; COGS'!$B$2:$B$2001,"Beverage"))</f>
        <v/>
      </c>
      <c r="AC321" s="21" t="str">
        <f t="shared" si="12"/>
        <v/>
      </c>
      <c r="AD321" s="24" t="str">
        <f t="shared" ref="AD321:AE321" si="336">IF(I321=0,"",AA321/I321)</f>
        <v/>
      </c>
      <c r="AE321" s="24" t="str">
        <f t="shared" si="336"/>
        <v/>
      </c>
      <c r="AF321" s="21" t="str">
        <f t="shared" si="14"/>
        <v/>
      </c>
      <c r="AG321" s="24" t="str">
        <f t="shared" si="15"/>
        <v>#DIV/0!</v>
      </c>
      <c r="AH321" s="25" t="str">
        <f t="shared" si="16"/>
        <v/>
      </c>
      <c r="AI321" s="25" t="str">
        <f t="shared" si="17"/>
        <v/>
      </c>
      <c r="AJ321" s="26" t="str">
        <f t="shared" si="18"/>
        <v/>
      </c>
    </row>
    <row r="322" ht="15.75" customHeight="1">
      <c r="A322" s="3"/>
      <c r="B322" s="18" t="str">
        <f t="shared" si="2"/>
        <v/>
      </c>
      <c r="C322" s="19"/>
      <c r="D322" s="19"/>
      <c r="E322" s="19"/>
      <c r="F322" s="20"/>
      <c r="G322" s="20"/>
      <c r="H322" s="21" t="str">
        <f t="shared" si="3"/>
        <v/>
      </c>
      <c r="I322" s="20"/>
      <c r="J322" s="20"/>
      <c r="K322" s="20"/>
      <c r="L322" s="20"/>
      <c r="M322" s="21" t="str">
        <f t="shared" si="4"/>
        <v/>
      </c>
      <c r="N322" s="20"/>
      <c r="O322" s="20"/>
      <c r="P322" s="20"/>
      <c r="Q322" s="21" t="str">
        <f t="shared" si="5"/>
        <v/>
      </c>
      <c r="R322" s="21" t="str">
        <f t="shared" si="6"/>
        <v/>
      </c>
      <c r="S322" s="22"/>
      <c r="T322" s="22"/>
      <c r="U322" s="23" t="str">
        <f t="shared" si="7"/>
        <v/>
      </c>
      <c r="V322" s="21" t="str">
        <f t="shared" si="8"/>
        <v>#DIV/0!</v>
      </c>
      <c r="W322" s="24" t="str">
        <f t="shared" si="9"/>
        <v>#DIV/0!</v>
      </c>
      <c r="X322" s="24" t="str">
        <f t="shared" si="10"/>
        <v>#DIV/0!</v>
      </c>
      <c r="Y322" s="21" t="str">
        <f>IF(A322="","",SUMIFS('Labor Log'!$I$2:$I$2001,'Labor Log'!$A$2:$A$2001,A322))</f>
        <v/>
      </c>
      <c r="Z322" s="24" t="str">
        <f t="shared" si="11"/>
        <v>#DIV/0!</v>
      </c>
      <c r="AA322" s="21" t="str">
        <f>IF(A322="","",SUMIFS('Inventory &amp; COGS'!$H$2:$H$2001,'Inventory &amp; COGS'!$A$2:$A$2001,A322,'Inventory &amp; COGS'!$B$2:$B$2001,"Food"))</f>
        <v/>
      </c>
      <c r="AB322" s="21" t="str">
        <f>IF(A322="","",SUMIFS('Inventory &amp; COGS'!$H$2:$H$2001,'Inventory &amp; COGS'!$A$2:$A$2001,A322,'Inventory &amp; COGS'!$B$2:$B$2001,"Beverage"))</f>
        <v/>
      </c>
      <c r="AC322" s="21" t="str">
        <f t="shared" si="12"/>
        <v/>
      </c>
      <c r="AD322" s="24" t="str">
        <f t="shared" ref="AD322:AE322" si="337">IF(I322=0,"",AA322/I322)</f>
        <v/>
      </c>
      <c r="AE322" s="24" t="str">
        <f t="shared" si="337"/>
        <v/>
      </c>
      <c r="AF322" s="21" t="str">
        <f t="shared" si="14"/>
        <v/>
      </c>
      <c r="AG322" s="24" t="str">
        <f t="shared" si="15"/>
        <v>#DIV/0!</v>
      </c>
      <c r="AH322" s="25" t="str">
        <f t="shared" si="16"/>
        <v/>
      </c>
      <c r="AI322" s="25" t="str">
        <f t="shared" si="17"/>
        <v/>
      </c>
      <c r="AJ322" s="26" t="str">
        <f t="shared" si="18"/>
        <v/>
      </c>
    </row>
    <row r="323" ht="15.75" customHeight="1">
      <c r="A323" s="3"/>
      <c r="B323" s="18" t="str">
        <f t="shared" si="2"/>
        <v/>
      </c>
      <c r="C323" s="19"/>
      <c r="D323" s="19"/>
      <c r="E323" s="19"/>
      <c r="F323" s="20"/>
      <c r="G323" s="20"/>
      <c r="H323" s="21" t="str">
        <f t="shared" si="3"/>
        <v/>
      </c>
      <c r="I323" s="20"/>
      <c r="J323" s="20"/>
      <c r="K323" s="20"/>
      <c r="L323" s="20"/>
      <c r="M323" s="21" t="str">
        <f t="shared" si="4"/>
        <v/>
      </c>
      <c r="N323" s="20"/>
      <c r="O323" s="20"/>
      <c r="P323" s="20"/>
      <c r="Q323" s="21" t="str">
        <f t="shared" si="5"/>
        <v/>
      </c>
      <c r="R323" s="21" t="str">
        <f t="shared" si="6"/>
        <v/>
      </c>
      <c r="S323" s="22"/>
      <c r="T323" s="22"/>
      <c r="U323" s="23" t="str">
        <f t="shared" si="7"/>
        <v/>
      </c>
      <c r="V323" s="21" t="str">
        <f t="shared" si="8"/>
        <v>#DIV/0!</v>
      </c>
      <c r="W323" s="24" t="str">
        <f t="shared" si="9"/>
        <v>#DIV/0!</v>
      </c>
      <c r="X323" s="24" t="str">
        <f t="shared" si="10"/>
        <v>#DIV/0!</v>
      </c>
      <c r="Y323" s="21" t="str">
        <f>IF(A323="","",SUMIFS('Labor Log'!$I$2:$I$2001,'Labor Log'!$A$2:$A$2001,A323))</f>
        <v/>
      </c>
      <c r="Z323" s="24" t="str">
        <f t="shared" si="11"/>
        <v>#DIV/0!</v>
      </c>
      <c r="AA323" s="21" t="str">
        <f>IF(A323="","",SUMIFS('Inventory &amp; COGS'!$H$2:$H$2001,'Inventory &amp; COGS'!$A$2:$A$2001,A323,'Inventory &amp; COGS'!$B$2:$B$2001,"Food"))</f>
        <v/>
      </c>
      <c r="AB323" s="21" t="str">
        <f>IF(A323="","",SUMIFS('Inventory &amp; COGS'!$H$2:$H$2001,'Inventory &amp; COGS'!$A$2:$A$2001,A323,'Inventory &amp; COGS'!$B$2:$B$2001,"Beverage"))</f>
        <v/>
      </c>
      <c r="AC323" s="21" t="str">
        <f t="shared" si="12"/>
        <v/>
      </c>
      <c r="AD323" s="24" t="str">
        <f t="shared" ref="AD323:AE323" si="338">IF(I323=0,"",AA323/I323)</f>
        <v/>
      </c>
      <c r="AE323" s="24" t="str">
        <f t="shared" si="338"/>
        <v/>
      </c>
      <c r="AF323" s="21" t="str">
        <f t="shared" si="14"/>
        <v/>
      </c>
      <c r="AG323" s="24" t="str">
        <f t="shared" si="15"/>
        <v>#DIV/0!</v>
      </c>
      <c r="AH323" s="25" t="str">
        <f t="shared" si="16"/>
        <v/>
      </c>
      <c r="AI323" s="25" t="str">
        <f t="shared" si="17"/>
        <v/>
      </c>
      <c r="AJ323" s="26" t="str">
        <f t="shared" si="18"/>
        <v/>
      </c>
    </row>
    <row r="324" ht="15.75" customHeight="1">
      <c r="A324" s="3"/>
      <c r="B324" s="18" t="str">
        <f t="shared" si="2"/>
        <v/>
      </c>
      <c r="C324" s="19"/>
      <c r="D324" s="19"/>
      <c r="E324" s="19"/>
      <c r="F324" s="20"/>
      <c r="G324" s="20"/>
      <c r="H324" s="21" t="str">
        <f t="shared" si="3"/>
        <v/>
      </c>
      <c r="I324" s="20"/>
      <c r="J324" s="20"/>
      <c r="K324" s="20"/>
      <c r="L324" s="20"/>
      <c r="M324" s="21" t="str">
        <f t="shared" si="4"/>
        <v/>
      </c>
      <c r="N324" s="20"/>
      <c r="O324" s="20"/>
      <c r="P324" s="20"/>
      <c r="Q324" s="21" t="str">
        <f t="shared" si="5"/>
        <v/>
      </c>
      <c r="R324" s="21" t="str">
        <f t="shared" si="6"/>
        <v/>
      </c>
      <c r="S324" s="22"/>
      <c r="T324" s="22"/>
      <c r="U324" s="23" t="str">
        <f t="shared" si="7"/>
        <v/>
      </c>
      <c r="V324" s="21" t="str">
        <f t="shared" si="8"/>
        <v>#DIV/0!</v>
      </c>
      <c r="W324" s="24" t="str">
        <f t="shared" si="9"/>
        <v>#DIV/0!</v>
      </c>
      <c r="X324" s="24" t="str">
        <f t="shared" si="10"/>
        <v>#DIV/0!</v>
      </c>
      <c r="Y324" s="21" t="str">
        <f>IF(A324="","",SUMIFS('Labor Log'!$I$2:$I$2001,'Labor Log'!$A$2:$A$2001,A324))</f>
        <v/>
      </c>
      <c r="Z324" s="24" t="str">
        <f t="shared" si="11"/>
        <v>#DIV/0!</v>
      </c>
      <c r="AA324" s="21" t="str">
        <f>IF(A324="","",SUMIFS('Inventory &amp; COGS'!$H$2:$H$2001,'Inventory &amp; COGS'!$A$2:$A$2001,A324,'Inventory &amp; COGS'!$B$2:$B$2001,"Food"))</f>
        <v/>
      </c>
      <c r="AB324" s="21" t="str">
        <f>IF(A324="","",SUMIFS('Inventory &amp; COGS'!$H$2:$H$2001,'Inventory &amp; COGS'!$A$2:$A$2001,A324,'Inventory &amp; COGS'!$B$2:$B$2001,"Beverage"))</f>
        <v/>
      </c>
      <c r="AC324" s="21" t="str">
        <f t="shared" si="12"/>
        <v/>
      </c>
      <c r="AD324" s="24" t="str">
        <f t="shared" ref="AD324:AE324" si="339">IF(I324=0,"",AA324/I324)</f>
        <v/>
      </c>
      <c r="AE324" s="24" t="str">
        <f t="shared" si="339"/>
        <v/>
      </c>
      <c r="AF324" s="21" t="str">
        <f t="shared" si="14"/>
        <v/>
      </c>
      <c r="AG324" s="24" t="str">
        <f t="shared" si="15"/>
        <v>#DIV/0!</v>
      </c>
      <c r="AH324" s="25" t="str">
        <f t="shared" si="16"/>
        <v/>
      </c>
      <c r="AI324" s="25" t="str">
        <f t="shared" si="17"/>
        <v/>
      </c>
      <c r="AJ324" s="26" t="str">
        <f t="shared" si="18"/>
        <v/>
      </c>
    </row>
    <row r="325" ht="15.75" customHeight="1">
      <c r="A325" s="3"/>
      <c r="B325" s="18" t="str">
        <f t="shared" si="2"/>
        <v/>
      </c>
      <c r="C325" s="19"/>
      <c r="D325" s="19"/>
      <c r="E325" s="19"/>
      <c r="F325" s="20"/>
      <c r="G325" s="20"/>
      <c r="H325" s="21" t="str">
        <f t="shared" si="3"/>
        <v/>
      </c>
      <c r="I325" s="20"/>
      <c r="J325" s="20"/>
      <c r="K325" s="20"/>
      <c r="L325" s="20"/>
      <c r="M325" s="21" t="str">
        <f t="shared" si="4"/>
        <v/>
      </c>
      <c r="N325" s="20"/>
      <c r="O325" s="20"/>
      <c r="P325" s="20"/>
      <c r="Q325" s="21" t="str">
        <f t="shared" si="5"/>
        <v/>
      </c>
      <c r="R325" s="21" t="str">
        <f t="shared" si="6"/>
        <v/>
      </c>
      <c r="S325" s="22"/>
      <c r="T325" s="22"/>
      <c r="U325" s="23" t="str">
        <f t="shared" si="7"/>
        <v/>
      </c>
      <c r="V325" s="21" t="str">
        <f t="shared" si="8"/>
        <v>#DIV/0!</v>
      </c>
      <c r="W325" s="24" t="str">
        <f t="shared" si="9"/>
        <v>#DIV/0!</v>
      </c>
      <c r="X325" s="24" t="str">
        <f t="shared" si="10"/>
        <v>#DIV/0!</v>
      </c>
      <c r="Y325" s="21" t="str">
        <f>IF(A325="","",SUMIFS('Labor Log'!$I$2:$I$2001,'Labor Log'!$A$2:$A$2001,A325))</f>
        <v/>
      </c>
      <c r="Z325" s="24" t="str">
        <f t="shared" si="11"/>
        <v>#DIV/0!</v>
      </c>
      <c r="AA325" s="21" t="str">
        <f>IF(A325="","",SUMIFS('Inventory &amp; COGS'!$H$2:$H$2001,'Inventory &amp; COGS'!$A$2:$A$2001,A325,'Inventory &amp; COGS'!$B$2:$B$2001,"Food"))</f>
        <v/>
      </c>
      <c r="AB325" s="21" t="str">
        <f>IF(A325="","",SUMIFS('Inventory &amp; COGS'!$H$2:$H$2001,'Inventory &amp; COGS'!$A$2:$A$2001,A325,'Inventory &amp; COGS'!$B$2:$B$2001,"Beverage"))</f>
        <v/>
      </c>
      <c r="AC325" s="21" t="str">
        <f t="shared" si="12"/>
        <v/>
      </c>
      <c r="AD325" s="24" t="str">
        <f t="shared" ref="AD325:AE325" si="340">IF(I325=0,"",AA325/I325)</f>
        <v/>
      </c>
      <c r="AE325" s="24" t="str">
        <f t="shared" si="340"/>
        <v/>
      </c>
      <c r="AF325" s="21" t="str">
        <f t="shared" si="14"/>
        <v/>
      </c>
      <c r="AG325" s="24" t="str">
        <f t="shared" si="15"/>
        <v>#DIV/0!</v>
      </c>
      <c r="AH325" s="25" t="str">
        <f t="shared" si="16"/>
        <v/>
      </c>
      <c r="AI325" s="25" t="str">
        <f t="shared" si="17"/>
        <v/>
      </c>
      <c r="AJ325" s="26" t="str">
        <f t="shared" si="18"/>
        <v/>
      </c>
    </row>
    <row r="326" ht="15.75" customHeight="1">
      <c r="A326" s="3"/>
      <c r="B326" s="18" t="str">
        <f t="shared" si="2"/>
        <v/>
      </c>
      <c r="C326" s="19"/>
      <c r="D326" s="19"/>
      <c r="E326" s="19"/>
      <c r="F326" s="20"/>
      <c r="G326" s="20"/>
      <c r="H326" s="21" t="str">
        <f t="shared" si="3"/>
        <v/>
      </c>
      <c r="I326" s="20"/>
      <c r="J326" s="20"/>
      <c r="K326" s="20"/>
      <c r="L326" s="20"/>
      <c r="M326" s="21" t="str">
        <f t="shared" si="4"/>
        <v/>
      </c>
      <c r="N326" s="20"/>
      <c r="O326" s="20"/>
      <c r="P326" s="20"/>
      <c r="Q326" s="21" t="str">
        <f t="shared" si="5"/>
        <v/>
      </c>
      <c r="R326" s="21" t="str">
        <f t="shared" si="6"/>
        <v/>
      </c>
      <c r="S326" s="22"/>
      <c r="T326" s="22"/>
      <c r="U326" s="23" t="str">
        <f t="shared" si="7"/>
        <v/>
      </c>
      <c r="V326" s="21" t="str">
        <f t="shared" si="8"/>
        <v>#DIV/0!</v>
      </c>
      <c r="W326" s="24" t="str">
        <f t="shared" si="9"/>
        <v>#DIV/0!</v>
      </c>
      <c r="X326" s="24" t="str">
        <f t="shared" si="10"/>
        <v>#DIV/0!</v>
      </c>
      <c r="Y326" s="21" t="str">
        <f>IF(A326="","",SUMIFS('Labor Log'!$I$2:$I$2001,'Labor Log'!$A$2:$A$2001,A326))</f>
        <v/>
      </c>
      <c r="Z326" s="24" t="str">
        <f t="shared" si="11"/>
        <v>#DIV/0!</v>
      </c>
      <c r="AA326" s="21" t="str">
        <f>IF(A326="","",SUMIFS('Inventory &amp; COGS'!$H$2:$H$2001,'Inventory &amp; COGS'!$A$2:$A$2001,A326,'Inventory &amp; COGS'!$B$2:$B$2001,"Food"))</f>
        <v/>
      </c>
      <c r="AB326" s="21" t="str">
        <f>IF(A326="","",SUMIFS('Inventory &amp; COGS'!$H$2:$H$2001,'Inventory &amp; COGS'!$A$2:$A$2001,A326,'Inventory &amp; COGS'!$B$2:$B$2001,"Beverage"))</f>
        <v/>
      </c>
      <c r="AC326" s="21" t="str">
        <f t="shared" si="12"/>
        <v/>
      </c>
      <c r="AD326" s="24" t="str">
        <f t="shared" ref="AD326:AE326" si="341">IF(I326=0,"",AA326/I326)</f>
        <v/>
      </c>
      <c r="AE326" s="24" t="str">
        <f t="shared" si="341"/>
        <v/>
      </c>
      <c r="AF326" s="21" t="str">
        <f t="shared" si="14"/>
        <v/>
      </c>
      <c r="AG326" s="24" t="str">
        <f t="shared" si="15"/>
        <v>#DIV/0!</v>
      </c>
      <c r="AH326" s="25" t="str">
        <f t="shared" si="16"/>
        <v/>
      </c>
      <c r="AI326" s="25" t="str">
        <f t="shared" si="17"/>
        <v/>
      </c>
      <c r="AJ326" s="26" t="str">
        <f t="shared" si="18"/>
        <v/>
      </c>
    </row>
    <row r="327" ht="15.75" customHeight="1">
      <c r="A327" s="3"/>
      <c r="B327" s="18" t="str">
        <f t="shared" si="2"/>
        <v/>
      </c>
      <c r="C327" s="19"/>
      <c r="D327" s="19"/>
      <c r="E327" s="19"/>
      <c r="F327" s="20"/>
      <c r="G327" s="20"/>
      <c r="H327" s="21" t="str">
        <f t="shared" si="3"/>
        <v/>
      </c>
      <c r="I327" s="20"/>
      <c r="J327" s="20"/>
      <c r="K327" s="20"/>
      <c r="L327" s="20"/>
      <c r="M327" s="21" t="str">
        <f t="shared" si="4"/>
        <v/>
      </c>
      <c r="N327" s="20"/>
      <c r="O327" s="20"/>
      <c r="P327" s="20"/>
      <c r="Q327" s="21" t="str">
        <f t="shared" si="5"/>
        <v/>
      </c>
      <c r="R327" s="21" t="str">
        <f t="shared" si="6"/>
        <v/>
      </c>
      <c r="S327" s="22"/>
      <c r="T327" s="22"/>
      <c r="U327" s="23" t="str">
        <f t="shared" si="7"/>
        <v/>
      </c>
      <c r="V327" s="21" t="str">
        <f t="shared" si="8"/>
        <v>#DIV/0!</v>
      </c>
      <c r="W327" s="24" t="str">
        <f t="shared" si="9"/>
        <v>#DIV/0!</v>
      </c>
      <c r="X327" s="24" t="str">
        <f t="shared" si="10"/>
        <v>#DIV/0!</v>
      </c>
      <c r="Y327" s="21" t="str">
        <f>IF(A327="","",SUMIFS('Labor Log'!$I$2:$I$2001,'Labor Log'!$A$2:$A$2001,A327))</f>
        <v/>
      </c>
      <c r="Z327" s="24" t="str">
        <f t="shared" si="11"/>
        <v>#DIV/0!</v>
      </c>
      <c r="AA327" s="21" t="str">
        <f>IF(A327="","",SUMIFS('Inventory &amp; COGS'!$H$2:$H$2001,'Inventory &amp; COGS'!$A$2:$A$2001,A327,'Inventory &amp; COGS'!$B$2:$B$2001,"Food"))</f>
        <v/>
      </c>
      <c r="AB327" s="21" t="str">
        <f>IF(A327="","",SUMIFS('Inventory &amp; COGS'!$H$2:$H$2001,'Inventory &amp; COGS'!$A$2:$A$2001,A327,'Inventory &amp; COGS'!$B$2:$B$2001,"Beverage"))</f>
        <v/>
      </c>
      <c r="AC327" s="21" t="str">
        <f t="shared" si="12"/>
        <v/>
      </c>
      <c r="AD327" s="24" t="str">
        <f t="shared" ref="AD327:AE327" si="342">IF(I327=0,"",AA327/I327)</f>
        <v/>
      </c>
      <c r="AE327" s="24" t="str">
        <f t="shared" si="342"/>
        <v/>
      </c>
      <c r="AF327" s="21" t="str">
        <f t="shared" si="14"/>
        <v/>
      </c>
      <c r="AG327" s="24" t="str">
        <f t="shared" si="15"/>
        <v>#DIV/0!</v>
      </c>
      <c r="AH327" s="25" t="str">
        <f t="shared" si="16"/>
        <v/>
      </c>
      <c r="AI327" s="25" t="str">
        <f t="shared" si="17"/>
        <v/>
      </c>
      <c r="AJ327" s="26" t="str">
        <f t="shared" si="18"/>
        <v/>
      </c>
    </row>
    <row r="328" ht="15.75" customHeight="1">
      <c r="A328" s="3"/>
      <c r="B328" s="18" t="str">
        <f t="shared" si="2"/>
        <v/>
      </c>
      <c r="C328" s="19"/>
      <c r="D328" s="19"/>
      <c r="E328" s="19"/>
      <c r="F328" s="20"/>
      <c r="G328" s="20"/>
      <c r="H328" s="21" t="str">
        <f t="shared" si="3"/>
        <v/>
      </c>
      <c r="I328" s="20"/>
      <c r="J328" s="20"/>
      <c r="K328" s="20"/>
      <c r="L328" s="20"/>
      <c r="M328" s="21" t="str">
        <f t="shared" si="4"/>
        <v/>
      </c>
      <c r="N328" s="20"/>
      <c r="O328" s="20"/>
      <c r="P328" s="20"/>
      <c r="Q328" s="21" t="str">
        <f t="shared" si="5"/>
        <v/>
      </c>
      <c r="R328" s="21" t="str">
        <f t="shared" si="6"/>
        <v/>
      </c>
      <c r="S328" s="22"/>
      <c r="T328" s="22"/>
      <c r="U328" s="23" t="str">
        <f t="shared" si="7"/>
        <v/>
      </c>
      <c r="V328" s="21" t="str">
        <f t="shared" si="8"/>
        <v>#DIV/0!</v>
      </c>
      <c r="W328" s="24" t="str">
        <f t="shared" si="9"/>
        <v>#DIV/0!</v>
      </c>
      <c r="X328" s="24" t="str">
        <f t="shared" si="10"/>
        <v>#DIV/0!</v>
      </c>
      <c r="Y328" s="21" t="str">
        <f>IF(A328="","",SUMIFS('Labor Log'!$I$2:$I$2001,'Labor Log'!$A$2:$A$2001,A328))</f>
        <v/>
      </c>
      <c r="Z328" s="24" t="str">
        <f t="shared" si="11"/>
        <v>#DIV/0!</v>
      </c>
      <c r="AA328" s="21" t="str">
        <f>IF(A328="","",SUMIFS('Inventory &amp; COGS'!$H$2:$H$2001,'Inventory &amp; COGS'!$A$2:$A$2001,A328,'Inventory &amp; COGS'!$B$2:$B$2001,"Food"))</f>
        <v/>
      </c>
      <c r="AB328" s="21" t="str">
        <f>IF(A328="","",SUMIFS('Inventory &amp; COGS'!$H$2:$H$2001,'Inventory &amp; COGS'!$A$2:$A$2001,A328,'Inventory &amp; COGS'!$B$2:$B$2001,"Beverage"))</f>
        <v/>
      </c>
      <c r="AC328" s="21" t="str">
        <f t="shared" si="12"/>
        <v/>
      </c>
      <c r="AD328" s="24" t="str">
        <f t="shared" ref="AD328:AE328" si="343">IF(I328=0,"",AA328/I328)</f>
        <v/>
      </c>
      <c r="AE328" s="24" t="str">
        <f t="shared" si="343"/>
        <v/>
      </c>
      <c r="AF328" s="21" t="str">
        <f t="shared" si="14"/>
        <v/>
      </c>
      <c r="AG328" s="24" t="str">
        <f t="shared" si="15"/>
        <v>#DIV/0!</v>
      </c>
      <c r="AH328" s="25" t="str">
        <f t="shared" si="16"/>
        <v/>
      </c>
      <c r="AI328" s="25" t="str">
        <f t="shared" si="17"/>
        <v/>
      </c>
      <c r="AJ328" s="26" t="str">
        <f t="shared" si="18"/>
        <v/>
      </c>
    </row>
    <row r="329" ht="15.75" customHeight="1">
      <c r="A329" s="3"/>
      <c r="B329" s="18" t="str">
        <f t="shared" si="2"/>
        <v/>
      </c>
      <c r="C329" s="19"/>
      <c r="D329" s="19"/>
      <c r="E329" s="19"/>
      <c r="F329" s="20"/>
      <c r="G329" s="20"/>
      <c r="H329" s="21" t="str">
        <f t="shared" si="3"/>
        <v/>
      </c>
      <c r="I329" s="20"/>
      <c r="J329" s="20"/>
      <c r="K329" s="20"/>
      <c r="L329" s="20"/>
      <c r="M329" s="21" t="str">
        <f t="shared" si="4"/>
        <v/>
      </c>
      <c r="N329" s="20"/>
      <c r="O329" s="20"/>
      <c r="P329" s="20"/>
      <c r="Q329" s="21" t="str">
        <f t="shared" si="5"/>
        <v/>
      </c>
      <c r="R329" s="21" t="str">
        <f t="shared" si="6"/>
        <v/>
      </c>
      <c r="S329" s="22"/>
      <c r="T329" s="22"/>
      <c r="U329" s="23" t="str">
        <f t="shared" si="7"/>
        <v/>
      </c>
      <c r="V329" s="21" t="str">
        <f t="shared" si="8"/>
        <v>#DIV/0!</v>
      </c>
      <c r="W329" s="24" t="str">
        <f t="shared" si="9"/>
        <v>#DIV/0!</v>
      </c>
      <c r="X329" s="24" t="str">
        <f t="shared" si="10"/>
        <v>#DIV/0!</v>
      </c>
      <c r="Y329" s="21" t="str">
        <f>IF(A329="","",SUMIFS('Labor Log'!$I$2:$I$2001,'Labor Log'!$A$2:$A$2001,A329))</f>
        <v/>
      </c>
      <c r="Z329" s="24" t="str">
        <f t="shared" si="11"/>
        <v>#DIV/0!</v>
      </c>
      <c r="AA329" s="21" t="str">
        <f>IF(A329="","",SUMIFS('Inventory &amp; COGS'!$H$2:$H$2001,'Inventory &amp; COGS'!$A$2:$A$2001,A329,'Inventory &amp; COGS'!$B$2:$B$2001,"Food"))</f>
        <v/>
      </c>
      <c r="AB329" s="21" t="str">
        <f>IF(A329="","",SUMIFS('Inventory &amp; COGS'!$H$2:$H$2001,'Inventory &amp; COGS'!$A$2:$A$2001,A329,'Inventory &amp; COGS'!$B$2:$B$2001,"Beverage"))</f>
        <v/>
      </c>
      <c r="AC329" s="21" t="str">
        <f t="shared" si="12"/>
        <v/>
      </c>
      <c r="AD329" s="24" t="str">
        <f t="shared" ref="AD329:AE329" si="344">IF(I329=0,"",AA329/I329)</f>
        <v/>
      </c>
      <c r="AE329" s="24" t="str">
        <f t="shared" si="344"/>
        <v/>
      </c>
      <c r="AF329" s="21" t="str">
        <f t="shared" si="14"/>
        <v/>
      </c>
      <c r="AG329" s="24" t="str">
        <f t="shared" si="15"/>
        <v>#DIV/0!</v>
      </c>
      <c r="AH329" s="25" t="str">
        <f t="shared" si="16"/>
        <v/>
      </c>
      <c r="AI329" s="25" t="str">
        <f t="shared" si="17"/>
        <v/>
      </c>
      <c r="AJ329" s="26" t="str">
        <f t="shared" si="18"/>
        <v/>
      </c>
    </row>
    <row r="330" ht="15.75" customHeight="1">
      <c r="A330" s="3"/>
      <c r="B330" s="18" t="str">
        <f t="shared" si="2"/>
        <v/>
      </c>
      <c r="C330" s="19"/>
      <c r="D330" s="19"/>
      <c r="E330" s="19"/>
      <c r="F330" s="20"/>
      <c r="G330" s="20"/>
      <c r="H330" s="21" t="str">
        <f t="shared" si="3"/>
        <v/>
      </c>
      <c r="I330" s="20"/>
      <c r="J330" s="20"/>
      <c r="K330" s="20"/>
      <c r="L330" s="20"/>
      <c r="M330" s="21" t="str">
        <f t="shared" si="4"/>
        <v/>
      </c>
      <c r="N330" s="20"/>
      <c r="O330" s="20"/>
      <c r="P330" s="20"/>
      <c r="Q330" s="21" t="str">
        <f t="shared" si="5"/>
        <v/>
      </c>
      <c r="R330" s="21" t="str">
        <f t="shared" si="6"/>
        <v/>
      </c>
      <c r="S330" s="22"/>
      <c r="T330" s="22"/>
      <c r="U330" s="23" t="str">
        <f t="shared" si="7"/>
        <v/>
      </c>
      <c r="V330" s="21" t="str">
        <f t="shared" si="8"/>
        <v>#DIV/0!</v>
      </c>
      <c r="W330" s="24" t="str">
        <f t="shared" si="9"/>
        <v>#DIV/0!</v>
      </c>
      <c r="X330" s="24" t="str">
        <f t="shared" si="10"/>
        <v>#DIV/0!</v>
      </c>
      <c r="Y330" s="21" t="str">
        <f>IF(A330="","",SUMIFS('Labor Log'!$I$2:$I$2001,'Labor Log'!$A$2:$A$2001,A330))</f>
        <v/>
      </c>
      <c r="Z330" s="24" t="str">
        <f t="shared" si="11"/>
        <v>#DIV/0!</v>
      </c>
      <c r="AA330" s="21" t="str">
        <f>IF(A330="","",SUMIFS('Inventory &amp; COGS'!$H$2:$H$2001,'Inventory &amp; COGS'!$A$2:$A$2001,A330,'Inventory &amp; COGS'!$B$2:$B$2001,"Food"))</f>
        <v/>
      </c>
      <c r="AB330" s="21" t="str">
        <f>IF(A330="","",SUMIFS('Inventory &amp; COGS'!$H$2:$H$2001,'Inventory &amp; COGS'!$A$2:$A$2001,A330,'Inventory &amp; COGS'!$B$2:$B$2001,"Beverage"))</f>
        <v/>
      </c>
      <c r="AC330" s="21" t="str">
        <f t="shared" si="12"/>
        <v/>
      </c>
      <c r="AD330" s="24" t="str">
        <f t="shared" ref="AD330:AE330" si="345">IF(I330=0,"",AA330/I330)</f>
        <v/>
      </c>
      <c r="AE330" s="24" t="str">
        <f t="shared" si="345"/>
        <v/>
      </c>
      <c r="AF330" s="21" t="str">
        <f t="shared" si="14"/>
        <v/>
      </c>
      <c r="AG330" s="24" t="str">
        <f t="shared" si="15"/>
        <v>#DIV/0!</v>
      </c>
      <c r="AH330" s="25" t="str">
        <f t="shared" si="16"/>
        <v/>
      </c>
      <c r="AI330" s="25" t="str">
        <f t="shared" si="17"/>
        <v/>
      </c>
      <c r="AJ330" s="26" t="str">
        <f t="shared" si="18"/>
        <v/>
      </c>
    </row>
    <row r="331" ht="15.75" customHeight="1">
      <c r="A331" s="3"/>
      <c r="B331" s="18" t="str">
        <f t="shared" si="2"/>
        <v/>
      </c>
      <c r="C331" s="19"/>
      <c r="D331" s="19"/>
      <c r="E331" s="19"/>
      <c r="F331" s="20"/>
      <c r="G331" s="20"/>
      <c r="H331" s="21" t="str">
        <f t="shared" si="3"/>
        <v/>
      </c>
      <c r="I331" s="20"/>
      <c r="J331" s="20"/>
      <c r="K331" s="20"/>
      <c r="L331" s="20"/>
      <c r="M331" s="21" t="str">
        <f t="shared" si="4"/>
        <v/>
      </c>
      <c r="N331" s="20"/>
      <c r="O331" s="20"/>
      <c r="P331" s="20"/>
      <c r="Q331" s="21" t="str">
        <f t="shared" si="5"/>
        <v/>
      </c>
      <c r="R331" s="21" t="str">
        <f t="shared" si="6"/>
        <v/>
      </c>
      <c r="S331" s="22"/>
      <c r="T331" s="22"/>
      <c r="U331" s="23" t="str">
        <f t="shared" si="7"/>
        <v/>
      </c>
      <c r="V331" s="21" t="str">
        <f t="shared" si="8"/>
        <v>#DIV/0!</v>
      </c>
      <c r="W331" s="24" t="str">
        <f t="shared" si="9"/>
        <v>#DIV/0!</v>
      </c>
      <c r="X331" s="24" t="str">
        <f t="shared" si="10"/>
        <v>#DIV/0!</v>
      </c>
      <c r="Y331" s="21" t="str">
        <f>IF(A331="","",SUMIFS('Labor Log'!$I$2:$I$2001,'Labor Log'!$A$2:$A$2001,A331))</f>
        <v/>
      </c>
      <c r="Z331" s="24" t="str">
        <f t="shared" si="11"/>
        <v>#DIV/0!</v>
      </c>
      <c r="AA331" s="21" t="str">
        <f>IF(A331="","",SUMIFS('Inventory &amp; COGS'!$H$2:$H$2001,'Inventory &amp; COGS'!$A$2:$A$2001,A331,'Inventory &amp; COGS'!$B$2:$B$2001,"Food"))</f>
        <v/>
      </c>
      <c r="AB331" s="21" t="str">
        <f>IF(A331="","",SUMIFS('Inventory &amp; COGS'!$H$2:$H$2001,'Inventory &amp; COGS'!$A$2:$A$2001,A331,'Inventory &amp; COGS'!$B$2:$B$2001,"Beverage"))</f>
        <v/>
      </c>
      <c r="AC331" s="21" t="str">
        <f t="shared" si="12"/>
        <v/>
      </c>
      <c r="AD331" s="24" t="str">
        <f t="shared" ref="AD331:AE331" si="346">IF(I331=0,"",AA331/I331)</f>
        <v/>
      </c>
      <c r="AE331" s="24" t="str">
        <f t="shared" si="346"/>
        <v/>
      </c>
      <c r="AF331" s="21" t="str">
        <f t="shared" si="14"/>
        <v/>
      </c>
      <c r="AG331" s="24" t="str">
        <f t="shared" si="15"/>
        <v>#DIV/0!</v>
      </c>
      <c r="AH331" s="25" t="str">
        <f t="shared" si="16"/>
        <v/>
      </c>
      <c r="AI331" s="25" t="str">
        <f t="shared" si="17"/>
        <v/>
      </c>
      <c r="AJ331" s="26" t="str">
        <f t="shared" si="18"/>
        <v/>
      </c>
    </row>
    <row r="332" ht="15.75" customHeight="1">
      <c r="A332" s="3"/>
      <c r="B332" s="18" t="str">
        <f t="shared" si="2"/>
        <v/>
      </c>
      <c r="C332" s="19"/>
      <c r="D332" s="19"/>
      <c r="E332" s="19"/>
      <c r="F332" s="20"/>
      <c r="G332" s="20"/>
      <c r="H332" s="21" t="str">
        <f t="shared" si="3"/>
        <v/>
      </c>
      <c r="I332" s="20"/>
      <c r="J332" s="20"/>
      <c r="K332" s="20"/>
      <c r="L332" s="20"/>
      <c r="M332" s="21" t="str">
        <f t="shared" si="4"/>
        <v/>
      </c>
      <c r="N332" s="20"/>
      <c r="O332" s="20"/>
      <c r="P332" s="20"/>
      <c r="Q332" s="21" t="str">
        <f t="shared" si="5"/>
        <v/>
      </c>
      <c r="R332" s="21" t="str">
        <f t="shared" si="6"/>
        <v/>
      </c>
      <c r="S332" s="22"/>
      <c r="T332" s="22"/>
      <c r="U332" s="23" t="str">
        <f t="shared" si="7"/>
        <v/>
      </c>
      <c r="V332" s="21" t="str">
        <f t="shared" si="8"/>
        <v>#DIV/0!</v>
      </c>
      <c r="W332" s="24" t="str">
        <f t="shared" si="9"/>
        <v>#DIV/0!</v>
      </c>
      <c r="X332" s="24" t="str">
        <f t="shared" si="10"/>
        <v>#DIV/0!</v>
      </c>
      <c r="Y332" s="21" t="str">
        <f>IF(A332="","",SUMIFS('Labor Log'!$I$2:$I$2001,'Labor Log'!$A$2:$A$2001,A332))</f>
        <v/>
      </c>
      <c r="Z332" s="24" t="str">
        <f t="shared" si="11"/>
        <v>#DIV/0!</v>
      </c>
      <c r="AA332" s="21" t="str">
        <f>IF(A332="","",SUMIFS('Inventory &amp; COGS'!$H$2:$H$2001,'Inventory &amp; COGS'!$A$2:$A$2001,A332,'Inventory &amp; COGS'!$B$2:$B$2001,"Food"))</f>
        <v/>
      </c>
      <c r="AB332" s="21" t="str">
        <f>IF(A332="","",SUMIFS('Inventory &amp; COGS'!$H$2:$H$2001,'Inventory &amp; COGS'!$A$2:$A$2001,A332,'Inventory &amp; COGS'!$B$2:$B$2001,"Beverage"))</f>
        <v/>
      </c>
      <c r="AC332" s="21" t="str">
        <f t="shared" si="12"/>
        <v/>
      </c>
      <c r="AD332" s="24" t="str">
        <f t="shared" ref="AD332:AE332" si="347">IF(I332=0,"",AA332/I332)</f>
        <v/>
      </c>
      <c r="AE332" s="24" t="str">
        <f t="shared" si="347"/>
        <v/>
      </c>
      <c r="AF332" s="21" t="str">
        <f t="shared" si="14"/>
        <v/>
      </c>
      <c r="AG332" s="24" t="str">
        <f t="shared" si="15"/>
        <v>#DIV/0!</v>
      </c>
      <c r="AH332" s="25" t="str">
        <f t="shared" si="16"/>
        <v/>
      </c>
      <c r="AI332" s="25" t="str">
        <f t="shared" si="17"/>
        <v/>
      </c>
      <c r="AJ332" s="26" t="str">
        <f t="shared" si="18"/>
        <v/>
      </c>
    </row>
    <row r="333" ht="15.75" customHeight="1">
      <c r="A333" s="3"/>
      <c r="B333" s="18" t="str">
        <f t="shared" si="2"/>
        <v/>
      </c>
      <c r="C333" s="19"/>
      <c r="D333" s="19"/>
      <c r="E333" s="19"/>
      <c r="F333" s="20"/>
      <c r="G333" s="20"/>
      <c r="H333" s="21" t="str">
        <f t="shared" si="3"/>
        <v/>
      </c>
      <c r="I333" s="20"/>
      <c r="J333" s="20"/>
      <c r="K333" s="20"/>
      <c r="L333" s="20"/>
      <c r="M333" s="21" t="str">
        <f t="shared" si="4"/>
        <v/>
      </c>
      <c r="N333" s="20"/>
      <c r="O333" s="20"/>
      <c r="P333" s="20"/>
      <c r="Q333" s="21" t="str">
        <f t="shared" si="5"/>
        <v/>
      </c>
      <c r="R333" s="21" t="str">
        <f t="shared" si="6"/>
        <v/>
      </c>
      <c r="S333" s="22"/>
      <c r="T333" s="22"/>
      <c r="U333" s="23" t="str">
        <f t="shared" si="7"/>
        <v/>
      </c>
      <c r="V333" s="21" t="str">
        <f t="shared" si="8"/>
        <v>#DIV/0!</v>
      </c>
      <c r="W333" s="24" t="str">
        <f t="shared" si="9"/>
        <v>#DIV/0!</v>
      </c>
      <c r="X333" s="24" t="str">
        <f t="shared" si="10"/>
        <v>#DIV/0!</v>
      </c>
      <c r="Y333" s="21" t="str">
        <f>IF(A333="","",SUMIFS('Labor Log'!$I$2:$I$2001,'Labor Log'!$A$2:$A$2001,A333))</f>
        <v/>
      </c>
      <c r="Z333" s="24" t="str">
        <f t="shared" si="11"/>
        <v>#DIV/0!</v>
      </c>
      <c r="AA333" s="21" t="str">
        <f>IF(A333="","",SUMIFS('Inventory &amp; COGS'!$H$2:$H$2001,'Inventory &amp; COGS'!$A$2:$A$2001,A333,'Inventory &amp; COGS'!$B$2:$B$2001,"Food"))</f>
        <v/>
      </c>
      <c r="AB333" s="21" t="str">
        <f>IF(A333="","",SUMIFS('Inventory &amp; COGS'!$H$2:$H$2001,'Inventory &amp; COGS'!$A$2:$A$2001,A333,'Inventory &amp; COGS'!$B$2:$B$2001,"Beverage"))</f>
        <v/>
      </c>
      <c r="AC333" s="21" t="str">
        <f t="shared" si="12"/>
        <v/>
      </c>
      <c r="AD333" s="24" t="str">
        <f t="shared" ref="AD333:AE333" si="348">IF(I333=0,"",AA333/I333)</f>
        <v/>
      </c>
      <c r="AE333" s="24" t="str">
        <f t="shared" si="348"/>
        <v/>
      </c>
      <c r="AF333" s="21" t="str">
        <f t="shared" si="14"/>
        <v/>
      </c>
      <c r="AG333" s="24" t="str">
        <f t="shared" si="15"/>
        <v>#DIV/0!</v>
      </c>
      <c r="AH333" s="25" t="str">
        <f t="shared" si="16"/>
        <v/>
      </c>
      <c r="AI333" s="25" t="str">
        <f t="shared" si="17"/>
        <v/>
      </c>
      <c r="AJ333" s="26" t="str">
        <f t="shared" si="18"/>
        <v/>
      </c>
    </row>
    <row r="334" ht="15.75" customHeight="1">
      <c r="A334" s="3"/>
      <c r="B334" s="18" t="str">
        <f t="shared" si="2"/>
        <v/>
      </c>
      <c r="C334" s="19"/>
      <c r="D334" s="19"/>
      <c r="E334" s="19"/>
      <c r="F334" s="20"/>
      <c r="G334" s="20"/>
      <c r="H334" s="21" t="str">
        <f t="shared" si="3"/>
        <v/>
      </c>
      <c r="I334" s="20"/>
      <c r="J334" s="20"/>
      <c r="K334" s="20"/>
      <c r="L334" s="20"/>
      <c r="M334" s="21" t="str">
        <f t="shared" si="4"/>
        <v/>
      </c>
      <c r="N334" s="20"/>
      <c r="O334" s="20"/>
      <c r="P334" s="20"/>
      <c r="Q334" s="21" t="str">
        <f t="shared" si="5"/>
        <v/>
      </c>
      <c r="R334" s="21" t="str">
        <f t="shared" si="6"/>
        <v/>
      </c>
      <c r="S334" s="22"/>
      <c r="T334" s="22"/>
      <c r="U334" s="23" t="str">
        <f t="shared" si="7"/>
        <v/>
      </c>
      <c r="V334" s="21" t="str">
        <f t="shared" si="8"/>
        <v>#DIV/0!</v>
      </c>
      <c r="W334" s="24" t="str">
        <f t="shared" si="9"/>
        <v>#DIV/0!</v>
      </c>
      <c r="X334" s="24" t="str">
        <f t="shared" si="10"/>
        <v>#DIV/0!</v>
      </c>
      <c r="Y334" s="21" t="str">
        <f>IF(A334="","",SUMIFS('Labor Log'!$I$2:$I$2001,'Labor Log'!$A$2:$A$2001,A334))</f>
        <v/>
      </c>
      <c r="Z334" s="24" t="str">
        <f t="shared" si="11"/>
        <v>#DIV/0!</v>
      </c>
      <c r="AA334" s="21" t="str">
        <f>IF(A334="","",SUMIFS('Inventory &amp; COGS'!$H$2:$H$2001,'Inventory &amp; COGS'!$A$2:$A$2001,A334,'Inventory &amp; COGS'!$B$2:$B$2001,"Food"))</f>
        <v/>
      </c>
      <c r="AB334" s="21" t="str">
        <f>IF(A334="","",SUMIFS('Inventory &amp; COGS'!$H$2:$H$2001,'Inventory &amp; COGS'!$A$2:$A$2001,A334,'Inventory &amp; COGS'!$B$2:$B$2001,"Beverage"))</f>
        <v/>
      </c>
      <c r="AC334" s="21" t="str">
        <f t="shared" si="12"/>
        <v/>
      </c>
      <c r="AD334" s="24" t="str">
        <f t="shared" ref="AD334:AE334" si="349">IF(I334=0,"",AA334/I334)</f>
        <v/>
      </c>
      <c r="AE334" s="24" t="str">
        <f t="shared" si="349"/>
        <v/>
      </c>
      <c r="AF334" s="21" t="str">
        <f t="shared" si="14"/>
        <v/>
      </c>
      <c r="AG334" s="24" t="str">
        <f t="shared" si="15"/>
        <v>#DIV/0!</v>
      </c>
      <c r="AH334" s="25" t="str">
        <f t="shared" si="16"/>
        <v/>
      </c>
      <c r="AI334" s="25" t="str">
        <f t="shared" si="17"/>
        <v/>
      </c>
      <c r="AJ334" s="26" t="str">
        <f t="shared" si="18"/>
        <v/>
      </c>
    </row>
    <row r="335" ht="15.75" customHeight="1">
      <c r="A335" s="3"/>
      <c r="B335" s="18" t="str">
        <f t="shared" si="2"/>
        <v/>
      </c>
      <c r="C335" s="19"/>
      <c r="D335" s="19"/>
      <c r="E335" s="19"/>
      <c r="F335" s="20"/>
      <c r="G335" s="20"/>
      <c r="H335" s="21" t="str">
        <f t="shared" si="3"/>
        <v/>
      </c>
      <c r="I335" s="20"/>
      <c r="J335" s="20"/>
      <c r="K335" s="20"/>
      <c r="L335" s="20"/>
      <c r="M335" s="21" t="str">
        <f t="shared" si="4"/>
        <v/>
      </c>
      <c r="N335" s="20"/>
      <c r="O335" s="20"/>
      <c r="P335" s="20"/>
      <c r="Q335" s="21" t="str">
        <f t="shared" si="5"/>
        <v/>
      </c>
      <c r="R335" s="21" t="str">
        <f t="shared" si="6"/>
        <v/>
      </c>
      <c r="S335" s="22"/>
      <c r="T335" s="22"/>
      <c r="U335" s="23" t="str">
        <f t="shared" si="7"/>
        <v/>
      </c>
      <c r="V335" s="21" t="str">
        <f t="shared" si="8"/>
        <v>#DIV/0!</v>
      </c>
      <c r="W335" s="24" t="str">
        <f t="shared" si="9"/>
        <v>#DIV/0!</v>
      </c>
      <c r="X335" s="24" t="str">
        <f t="shared" si="10"/>
        <v>#DIV/0!</v>
      </c>
      <c r="Y335" s="21" t="str">
        <f>IF(A335="","",SUMIFS('Labor Log'!$I$2:$I$2001,'Labor Log'!$A$2:$A$2001,A335))</f>
        <v/>
      </c>
      <c r="Z335" s="24" t="str">
        <f t="shared" si="11"/>
        <v>#DIV/0!</v>
      </c>
      <c r="AA335" s="21" t="str">
        <f>IF(A335="","",SUMIFS('Inventory &amp; COGS'!$H$2:$H$2001,'Inventory &amp; COGS'!$A$2:$A$2001,A335,'Inventory &amp; COGS'!$B$2:$B$2001,"Food"))</f>
        <v/>
      </c>
      <c r="AB335" s="21" t="str">
        <f>IF(A335="","",SUMIFS('Inventory &amp; COGS'!$H$2:$H$2001,'Inventory &amp; COGS'!$A$2:$A$2001,A335,'Inventory &amp; COGS'!$B$2:$B$2001,"Beverage"))</f>
        <v/>
      </c>
      <c r="AC335" s="21" t="str">
        <f t="shared" si="12"/>
        <v/>
      </c>
      <c r="AD335" s="24" t="str">
        <f t="shared" ref="AD335:AE335" si="350">IF(I335=0,"",AA335/I335)</f>
        <v/>
      </c>
      <c r="AE335" s="24" t="str">
        <f t="shared" si="350"/>
        <v/>
      </c>
      <c r="AF335" s="21" t="str">
        <f t="shared" si="14"/>
        <v/>
      </c>
      <c r="AG335" s="24" t="str">
        <f t="shared" si="15"/>
        <v>#DIV/0!</v>
      </c>
      <c r="AH335" s="25" t="str">
        <f t="shared" si="16"/>
        <v/>
      </c>
      <c r="AI335" s="25" t="str">
        <f t="shared" si="17"/>
        <v/>
      </c>
      <c r="AJ335" s="26" t="str">
        <f t="shared" si="18"/>
        <v/>
      </c>
    </row>
    <row r="336" ht="15.75" customHeight="1">
      <c r="A336" s="3"/>
      <c r="B336" s="18" t="str">
        <f t="shared" si="2"/>
        <v/>
      </c>
      <c r="C336" s="19"/>
      <c r="D336" s="19"/>
      <c r="E336" s="19"/>
      <c r="F336" s="20"/>
      <c r="G336" s="20"/>
      <c r="H336" s="21" t="str">
        <f t="shared" si="3"/>
        <v/>
      </c>
      <c r="I336" s="20"/>
      <c r="J336" s="20"/>
      <c r="K336" s="20"/>
      <c r="L336" s="20"/>
      <c r="M336" s="21" t="str">
        <f t="shared" si="4"/>
        <v/>
      </c>
      <c r="N336" s="20"/>
      <c r="O336" s="20"/>
      <c r="P336" s="20"/>
      <c r="Q336" s="21" t="str">
        <f t="shared" si="5"/>
        <v/>
      </c>
      <c r="R336" s="21" t="str">
        <f t="shared" si="6"/>
        <v/>
      </c>
      <c r="S336" s="22"/>
      <c r="T336" s="22"/>
      <c r="U336" s="23" t="str">
        <f t="shared" si="7"/>
        <v/>
      </c>
      <c r="V336" s="21" t="str">
        <f t="shared" si="8"/>
        <v>#DIV/0!</v>
      </c>
      <c r="W336" s="24" t="str">
        <f t="shared" si="9"/>
        <v>#DIV/0!</v>
      </c>
      <c r="X336" s="24" t="str">
        <f t="shared" si="10"/>
        <v>#DIV/0!</v>
      </c>
      <c r="Y336" s="21" t="str">
        <f>IF(A336="","",SUMIFS('Labor Log'!$I$2:$I$2001,'Labor Log'!$A$2:$A$2001,A336))</f>
        <v/>
      </c>
      <c r="Z336" s="24" t="str">
        <f t="shared" si="11"/>
        <v>#DIV/0!</v>
      </c>
      <c r="AA336" s="21" t="str">
        <f>IF(A336="","",SUMIFS('Inventory &amp; COGS'!$H$2:$H$2001,'Inventory &amp; COGS'!$A$2:$A$2001,A336,'Inventory &amp; COGS'!$B$2:$B$2001,"Food"))</f>
        <v/>
      </c>
      <c r="AB336" s="21" t="str">
        <f>IF(A336="","",SUMIFS('Inventory &amp; COGS'!$H$2:$H$2001,'Inventory &amp; COGS'!$A$2:$A$2001,A336,'Inventory &amp; COGS'!$B$2:$B$2001,"Beverage"))</f>
        <v/>
      </c>
      <c r="AC336" s="21" t="str">
        <f t="shared" si="12"/>
        <v/>
      </c>
      <c r="AD336" s="24" t="str">
        <f t="shared" ref="AD336:AE336" si="351">IF(I336=0,"",AA336/I336)</f>
        <v/>
      </c>
      <c r="AE336" s="24" t="str">
        <f t="shared" si="351"/>
        <v/>
      </c>
      <c r="AF336" s="21" t="str">
        <f t="shared" si="14"/>
        <v/>
      </c>
      <c r="AG336" s="24" t="str">
        <f t="shared" si="15"/>
        <v>#DIV/0!</v>
      </c>
      <c r="AH336" s="25" t="str">
        <f t="shared" si="16"/>
        <v/>
      </c>
      <c r="AI336" s="25" t="str">
        <f t="shared" si="17"/>
        <v/>
      </c>
      <c r="AJ336" s="26" t="str">
        <f t="shared" si="18"/>
        <v/>
      </c>
    </row>
    <row r="337" ht="15.75" customHeight="1">
      <c r="A337" s="3"/>
      <c r="B337" s="18" t="str">
        <f t="shared" si="2"/>
        <v/>
      </c>
      <c r="C337" s="19"/>
      <c r="D337" s="19"/>
      <c r="E337" s="19"/>
      <c r="F337" s="20"/>
      <c r="G337" s="20"/>
      <c r="H337" s="21" t="str">
        <f t="shared" si="3"/>
        <v/>
      </c>
      <c r="I337" s="20"/>
      <c r="J337" s="20"/>
      <c r="K337" s="20"/>
      <c r="L337" s="20"/>
      <c r="M337" s="21" t="str">
        <f t="shared" si="4"/>
        <v/>
      </c>
      <c r="N337" s="20"/>
      <c r="O337" s="20"/>
      <c r="P337" s="20"/>
      <c r="Q337" s="21" t="str">
        <f t="shared" si="5"/>
        <v/>
      </c>
      <c r="R337" s="21" t="str">
        <f t="shared" si="6"/>
        <v/>
      </c>
      <c r="S337" s="22"/>
      <c r="T337" s="22"/>
      <c r="U337" s="23" t="str">
        <f t="shared" si="7"/>
        <v/>
      </c>
      <c r="V337" s="21" t="str">
        <f t="shared" si="8"/>
        <v>#DIV/0!</v>
      </c>
      <c r="W337" s="24" t="str">
        <f t="shared" si="9"/>
        <v>#DIV/0!</v>
      </c>
      <c r="X337" s="24" t="str">
        <f t="shared" si="10"/>
        <v>#DIV/0!</v>
      </c>
      <c r="Y337" s="21" t="str">
        <f>IF(A337="","",SUMIFS('Labor Log'!$I$2:$I$2001,'Labor Log'!$A$2:$A$2001,A337))</f>
        <v/>
      </c>
      <c r="Z337" s="24" t="str">
        <f t="shared" si="11"/>
        <v>#DIV/0!</v>
      </c>
      <c r="AA337" s="21" t="str">
        <f>IF(A337="","",SUMIFS('Inventory &amp; COGS'!$H$2:$H$2001,'Inventory &amp; COGS'!$A$2:$A$2001,A337,'Inventory &amp; COGS'!$B$2:$B$2001,"Food"))</f>
        <v/>
      </c>
      <c r="AB337" s="21" t="str">
        <f>IF(A337="","",SUMIFS('Inventory &amp; COGS'!$H$2:$H$2001,'Inventory &amp; COGS'!$A$2:$A$2001,A337,'Inventory &amp; COGS'!$B$2:$B$2001,"Beverage"))</f>
        <v/>
      </c>
      <c r="AC337" s="21" t="str">
        <f t="shared" si="12"/>
        <v/>
      </c>
      <c r="AD337" s="24" t="str">
        <f t="shared" ref="AD337:AE337" si="352">IF(I337=0,"",AA337/I337)</f>
        <v/>
      </c>
      <c r="AE337" s="24" t="str">
        <f t="shared" si="352"/>
        <v/>
      </c>
      <c r="AF337" s="21" t="str">
        <f t="shared" si="14"/>
        <v/>
      </c>
      <c r="AG337" s="24" t="str">
        <f t="shared" si="15"/>
        <v>#DIV/0!</v>
      </c>
      <c r="AH337" s="25" t="str">
        <f t="shared" si="16"/>
        <v/>
      </c>
      <c r="AI337" s="25" t="str">
        <f t="shared" si="17"/>
        <v/>
      </c>
      <c r="AJ337" s="26" t="str">
        <f t="shared" si="18"/>
        <v/>
      </c>
    </row>
    <row r="338" ht="15.75" customHeight="1">
      <c r="A338" s="3"/>
      <c r="B338" s="18" t="str">
        <f t="shared" si="2"/>
        <v/>
      </c>
      <c r="C338" s="19"/>
      <c r="D338" s="19"/>
      <c r="E338" s="19"/>
      <c r="F338" s="20"/>
      <c r="G338" s="20"/>
      <c r="H338" s="21" t="str">
        <f t="shared" si="3"/>
        <v/>
      </c>
      <c r="I338" s="20"/>
      <c r="J338" s="20"/>
      <c r="K338" s="20"/>
      <c r="L338" s="20"/>
      <c r="M338" s="21" t="str">
        <f t="shared" si="4"/>
        <v/>
      </c>
      <c r="N338" s="20"/>
      <c r="O338" s="20"/>
      <c r="P338" s="20"/>
      <c r="Q338" s="21" t="str">
        <f t="shared" si="5"/>
        <v/>
      </c>
      <c r="R338" s="21" t="str">
        <f t="shared" si="6"/>
        <v/>
      </c>
      <c r="S338" s="22"/>
      <c r="T338" s="22"/>
      <c r="U338" s="23" t="str">
        <f t="shared" si="7"/>
        <v/>
      </c>
      <c r="V338" s="21" t="str">
        <f t="shared" si="8"/>
        <v>#DIV/0!</v>
      </c>
      <c r="W338" s="24" t="str">
        <f t="shared" si="9"/>
        <v>#DIV/0!</v>
      </c>
      <c r="X338" s="24" t="str">
        <f t="shared" si="10"/>
        <v>#DIV/0!</v>
      </c>
      <c r="Y338" s="21" t="str">
        <f>IF(A338="","",SUMIFS('Labor Log'!$I$2:$I$2001,'Labor Log'!$A$2:$A$2001,A338))</f>
        <v/>
      </c>
      <c r="Z338" s="24" t="str">
        <f t="shared" si="11"/>
        <v>#DIV/0!</v>
      </c>
      <c r="AA338" s="21" t="str">
        <f>IF(A338="","",SUMIFS('Inventory &amp; COGS'!$H$2:$H$2001,'Inventory &amp; COGS'!$A$2:$A$2001,A338,'Inventory &amp; COGS'!$B$2:$B$2001,"Food"))</f>
        <v/>
      </c>
      <c r="AB338" s="21" t="str">
        <f>IF(A338="","",SUMIFS('Inventory &amp; COGS'!$H$2:$H$2001,'Inventory &amp; COGS'!$A$2:$A$2001,A338,'Inventory &amp; COGS'!$B$2:$B$2001,"Beverage"))</f>
        <v/>
      </c>
      <c r="AC338" s="21" t="str">
        <f t="shared" si="12"/>
        <v/>
      </c>
      <c r="AD338" s="24" t="str">
        <f t="shared" ref="AD338:AE338" si="353">IF(I338=0,"",AA338/I338)</f>
        <v/>
      </c>
      <c r="AE338" s="24" t="str">
        <f t="shared" si="353"/>
        <v/>
      </c>
      <c r="AF338" s="21" t="str">
        <f t="shared" si="14"/>
        <v/>
      </c>
      <c r="AG338" s="24" t="str">
        <f t="shared" si="15"/>
        <v>#DIV/0!</v>
      </c>
      <c r="AH338" s="25" t="str">
        <f t="shared" si="16"/>
        <v/>
      </c>
      <c r="AI338" s="25" t="str">
        <f t="shared" si="17"/>
        <v/>
      </c>
      <c r="AJ338" s="26" t="str">
        <f t="shared" si="18"/>
        <v/>
      </c>
    </row>
    <row r="339" ht="15.75" customHeight="1">
      <c r="A339" s="3"/>
      <c r="B339" s="18" t="str">
        <f t="shared" si="2"/>
        <v/>
      </c>
      <c r="C339" s="19"/>
      <c r="D339" s="19"/>
      <c r="E339" s="19"/>
      <c r="F339" s="20"/>
      <c r="G339" s="20"/>
      <c r="H339" s="21" t="str">
        <f t="shared" si="3"/>
        <v/>
      </c>
      <c r="I339" s="20"/>
      <c r="J339" s="20"/>
      <c r="K339" s="20"/>
      <c r="L339" s="20"/>
      <c r="M339" s="21" t="str">
        <f t="shared" si="4"/>
        <v/>
      </c>
      <c r="N339" s="20"/>
      <c r="O339" s="20"/>
      <c r="P339" s="20"/>
      <c r="Q339" s="21" t="str">
        <f t="shared" si="5"/>
        <v/>
      </c>
      <c r="R339" s="21" t="str">
        <f t="shared" si="6"/>
        <v/>
      </c>
      <c r="S339" s="22"/>
      <c r="T339" s="22"/>
      <c r="U339" s="23" t="str">
        <f t="shared" si="7"/>
        <v/>
      </c>
      <c r="V339" s="21" t="str">
        <f t="shared" si="8"/>
        <v>#DIV/0!</v>
      </c>
      <c r="W339" s="24" t="str">
        <f t="shared" si="9"/>
        <v>#DIV/0!</v>
      </c>
      <c r="X339" s="24" t="str">
        <f t="shared" si="10"/>
        <v>#DIV/0!</v>
      </c>
      <c r="Y339" s="21" t="str">
        <f>IF(A339="","",SUMIFS('Labor Log'!$I$2:$I$2001,'Labor Log'!$A$2:$A$2001,A339))</f>
        <v/>
      </c>
      <c r="Z339" s="24" t="str">
        <f t="shared" si="11"/>
        <v>#DIV/0!</v>
      </c>
      <c r="AA339" s="21" t="str">
        <f>IF(A339="","",SUMIFS('Inventory &amp; COGS'!$H$2:$H$2001,'Inventory &amp; COGS'!$A$2:$A$2001,A339,'Inventory &amp; COGS'!$B$2:$B$2001,"Food"))</f>
        <v/>
      </c>
      <c r="AB339" s="21" t="str">
        <f>IF(A339="","",SUMIFS('Inventory &amp; COGS'!$H$2:$H$2001,'Inventory &amp; COGS'!$A$2:$A$2001,A339,'Inventory &amp; COGS'!$B$2:$B$2001,"Beverage"))</f>
        <v/>
      </c>
      <c r="AC339" s="21" t="str">
        <f t="shared" si="12"/>
        <v/>
      </c>
      <c r="AD339" s="24" t="str">
        <f t="shared" ref="AD339:AE339" si="354">IF(I339=0,"",AA339/I339)</f>
        <v/>
      </c>
      <c r="AE339" s="24" t="str">
        <f t="shared" si="354"/>
        <v/>
      </c>
      <c r="AF339" s="21" t="str">
        <f t="shared" si="14"/>
        <v/>
      </c>
      <c r="AG339" s="24" t="str">
        <f t="shared" si="15"/>
        <v>#DIV/0!</v>
      </c>
      <c r="AH339" s="25" t="str">
        <f t="shared" si="16"/>
        <v/>
      </c>
      <c r="AI339" s="25" t="str">
        <f t="shared" si="17"/>
        <v/>
      </c>
      <c r="AJ339" s="26" t="str">
        <f t="shared" si="18"/>
        <v/>
      </c>
    </row>
    <row r="340" ht="15.75" customHeight="1">
      <c r="A340" s="3"/>
      <c r="B340" s="18" t="str">
        <f t="shared" si="2"/>
        <v/>
      </c>
      <c r="C340" s="19"/>
      <c r="D340" s="19"/>
      <c r="E340" s="19"/>
      <c r="F340" s="20"/>
      <c r="G340" s="20"/>
      <c r="H340" s="21" t="str">
        <f t="shared" si="3"/>
        <v/>
      </c>
      <c r="I340" s="20"/>
      <c r="J340" s="20"/>
      <c r="K340" s="20"/>
      <c r="L340" s="20"/>
      <c r="M340" s="21" t="str">
        <f t="shared" si="4"/>
        <v/>
      </c>
      <c r="N340" s="20"/>
      <c r="O340" s="20"/>
      <c r="P340" s="20"/>
      <c r="Q340" s="21" t="str">
        <f t="shared" si="5"/>
        <v/>
      </c>
      <c r="R340" s="21" t="str">
        <f t="shared" si="6"/>
        <v/>
      </c>
      <c r="S340" s="22"/>
      <c r="T340" s="22"/>
      <c r="U340" s="23" t="str">
        <f t="shared" si="7"/>
        <v/>
      </c>
      <c r="V340" s="21" t="str">
        <f t="shared" si="8"/>
        <v>#DIV/0!</v>
      </c>
      <c r="W340" s="24" t="str">
        <f t="shared" si="9"/>
        <v>#DIV/0!</v>
      </c>
      <c r="X340" s="24" t="str">
        <f t="shared" si="10"/>
        <v>#DIV/0!</v>
      </c>
      <c r="Y340" s="21" t="str">
        <f>IF(A340="","",SUMIFS('Labor Log'!$I$2:$I$2001,'Labor Log'!$A$2:$A$2001,A340))</f>
        <v/>
      </c>
      <c r="Z340" s="24" t="str">
        <f t="shared" si="11"/>
        <v>#DIV/0!</v>
      </c>
      <c r="AA340" s="21" t="str">
        <f>IF(A340="","",SUMIFS('Inventory &amp; COGS'!$H$2:$H$2001,'Inventory &amp; COGS'!$A$2:$A$2001,A340,'Inventory &amp; COGS'!$B$2:$B$2001,"Food"))</f>
        <v/>
      </c>
      <c r="AB340" s="21" t="str">
        <f>IF(A340="","",SUMIFS('Inventory &amp; COGS'!$H$2:$H$2001,'Inventory &amp; COGS'!$A$2:$A$2001,A340,'Inventory &amp; COGS'!$B$2:$B$2001,"Beverage"))</f>
        <v/>
      </c>
      <c r="AC340" s="21" t="str">
        <f t="shared" si="12"/>
        <v/>
      </c>
      <c r="AD340" s="24" t="str">
        <f t="shared" ref="AD340:AE340" si="355">IF(I340=0,"",AA340/I340)</f>
        <v/>
      </c>
      <c r="AE340" s="24" t="str">
        <f t="shared" si="355"/>
        <v/>
      </c>
      <c r="AF340" s="21" t="str">
        <f t="shared" si="14"/>
        <v/>
      </c>
      <c r="AG340" s="24" t="str">
        <f t="shared" si="15"/>
        <v>#DIV/0!</v>
      </c>
      <c r="AH340" s="25" t="str">
        <f t="shared" si="16"/>
        <v/>
      </c>
      <c r="AI340" s="25" t="str">
        <f t="shared" si="17"/>
        <v/>
      </c>
      <c r="AJ340" s="26" t="str">
        <f t="shared" si="18"/>
        <v/>
      </c>
    </row>
    <row r="341" ht="15.75" customHeight="1">
      <c r="A341" s="3"/>
      <c r="B341" s="18" t="str">
        <f t="shared" si="2"/>
        <v/>
      </c>
      <c r="C341" s="19"/>
      <c r="D341" s="19"/>
      <c r="E341" s="19"/>
      <c r="F341" s="20"/>
      <c r="G341" s="20"/>
      <c r="H341" s="21" t="str">
        <f t="shared" si="3"/>
        <v/>
      </c>
      <c r="I341" s="20"/>
      <c r="J341" s="20"/>
      <c r="K341" s="20"/>
      <c r="L341" s="20"/>
      <c r="M341" s="21" t="str">
        <f t="shared" si="4"/>
        <v/>
      </c>
      <c r="N341" s="20"/>
      <c r="O341" s="20"/>
      <c r="P341" s="20"/>
      <c r="Q341" s="21" t="str">
        <f t="shared" si="5"/>
        <v/>
      </c>
      <c r="R341" s="21" t="str">
        <f t="shared" si="6"/>
        <v/>
      </c>
      <c r="S341" s="22"/>
      <c r="T341" s="22"/>
      <c r="U341" s="23" t="str">
        <f t="shared" si="7"/>
        <v/>
      </c>
      <c r="V341" s="21" t="str">
        <f t="shared" si="8"/>
        <v>#DIV/0!</v>
      </c>
      <c r="W341" s="24" t="str">
        <f t="shared" si="9"/>
        <v>#DIV/0!</v>
      </c>
      <c r="X341" s="24" t="str">
        <f t="shared" si="10"/>
        <v>#DIV/0!</v>
      </c>
      <c r="Y341" s="21" t="str">
        <f>IF(A341="","",SUMIFS('Labor Log'!$I$2:$I$2001,'Labor Log'!$A$2:$A$2001,A341))</f>
        <v/>
      </c>
      <c r="Z341" s="24" t="str">
        <f t="shared" si="11"/>
        <v>#DIV/0!</v>
      </c>
      <c r="AA341" s="21" t="str">
        <f>IF(A341="","",SUMIFS('Inventory &amp; COGS'!$H$2:$H$2001,'Inventory &amp; COGS'!$A$2:$A$2001,A341,'Inventory &amp; COGS'!$B$2:$B$2001,"Food"))</f>
        <v/>
      </c>
      <c r="AB341" s="21" t="str">
        <f>IF(A341="","",SUMIFS('Inventory &amp; COGS'!$H$2:$H$2001,'Inventory &amp; COGS'!$A$2:$A$2001,A341,'Inventory &amp; COGS'!$B$2:$B$2001,"Beverage"))</f>
        <v/>
      </c>
      <c r="AC341" s="21" t="str">
        <f t="shared" si="12"/>
        <v/>
      </c>
      <c r="AD341" s="24" t="str">
        <f t="shared" ref="AD341:AE341" si="356">IF(I341=0,"",AA341/I341)</f>
        <v/>
      </c>
      <c r="AE341" s="24" t="str">
        <f t="shared" si="356"/>
        <v/>
      </c>
      <c r="AF341" s="21" t="str">
        <f t="shared" si="14"/>
        <v/>
      </c>
      <c r="AG341" s="24" t="str">
        <f t="shared" si="15"/>
        <v>#DIV/0!</v>
      </c>
      <c r="AH341" s="25" t="str">
        <f t="shared" si="16"/>
        <v/>
      </c>
      <c r="AI341" s="25" t="str">
        <f t="shared" si="17"/>
        <v/>
      </c>
      <c r="AJ341" s="26" t="str">
        <f t="shared" si="18"/>
        <v/>
      </c>
    </row>
    <row r="342" ht="15.75" customHeight="1">
      <c r="A342" s="3"/>
      <c r="B342" s="18" t="str">
        <f t="shared" si="2"/>
        <v/>
      </c>
      <c r="C342" s="19"/>
      <c r="D342" s="19"/>
      <c r="E342" s="19"/>
      <c r="F342" s="20"/>
      <c r="G342" s="20"/>
      <c r="H342" s="21" t="str">
        <f t="shared" si="3"/>
        <v/>
      </c>
      <c r="I342" s="20"/>
      <c r="J342" s="20"/>
      <c r="K342" s="20"/>
      <c r="L342" s="20"/>
      <c r="M342" s="21" t="str">
        <f t="shared" si="4"/>
        <v/>
      </c>
      <c r="N342" s="20"/>
      <c r="O342" s="20"/>
      <c r="P342" s="20"/>
      <c r="Q342" s="21" t="str">
        <f t="shared" si="5"/>
        <v/>
      </c>
      <c r="R342" s="21" t="str">
        <f t="shared" si="6"/>
        <v/>
      </c>
      <c r="S342" s="22"/>
      <c r="T342" s="22"/>
      <c r="U342" s="23" t="str">
        <f t="shared" si="7"/>
        <v/>
      </c>
      <c r="V342" s="21" t="str">
        <f t="shared" si="8"/>
        <v>#DIV/0!</v>
      </c>
      <c r="W342" s="24" t="str">
        <f t="shared" si="9"/>
        <v>#DIV/0!</v>
      </c>
      <c r="X342" s="24" t="str">
        <f t="shared" si="10"/>
        <v>#DIV/0!</v>
      </c>
      <c r="Y342" s="21" t="str">
        <f>IF(A342="","",SUMIFS('Labor Log'!$I$2:$I$2001,'Labor Log'!$A$2:$A$2001,A342))</f>
        <v/>
      </c>
      <c r="Z342" s="24" t="str">
        <f t="shared" si="11"/>
        <v>#DIV/0!</v>
      </c>
      <c r="AA342" s="21" t="str">
        <f>IF(A342="","",SUMIFS('Inventory &amp; COGS'!$H$2:$H$2001,'Inventory &amp; COGS'!$A$2:$A$2001,A342,'Inventory &amp; COGS'!$B$2:$B$2001,"Food"))</f>
        <v/>
      </c>
      <c r="AB342" s="21" t="str">
        <f>IF(A342="","",SUMIFS('Inventory &amp; COGS'!$H$2:$H$2001,'Inventory &amp; COGS'!$A$2:$A$2001,A342,'Inventory &amp; COGS'!$B$2:$B$2001,"Beverage"))</f>
        <v/>
      </c>
      <c r="AC342" s="21" t="str">
        <f t="shared" si="12"/>
        <v/>
      </c>
      <c r="AD342" s="24" t="str">
        <f t="shared" ref="AD342:AE342" si="357">IF(I342=0,"",AA342/I342)</f>
        <v/>
      </c>
      <c r="AE342" s="24" t="str">
        <f t="shared" si="357"/>
        <v/>
      </c>
      <c r="AF342" s="21" t="str">
        <f t="shared" si="14"/>
        <v/>
      </c>
      <c r="AG342" s="24" t="str">
        <f t="shared" si="15"/>
        <v>#DIV/0!</v>
      </c>
      <c r="AH342" s="25" t="str">
        <f t="shared" si="16"/>
        <v/>
      </c>
      <c r="AI342" s="25" t="str">
        <f t="shared" si="17"/>
        <v/>
      </c>
      <c r="AJ342" s="26" t="str">
        <f t="shared" si="18"/>
        <v/>
      </c>
    </row>
    <row r="343" ht="15.75" customHeight="1">
      <c r="A343" s="3"/>
      <c r="B343" s="18" t="str">
        <f t="shared" si="2"/>
        <v/>
      </c>
      <c r="C343" s="19"/>
      <c r="D343" s="19"/>
      <c r="E343" s="19"/>
      <c r="F343" s="20"/>
      <c r="G343" s="20"/>
      <c r="H343" s="21" t="str">
        <f t="shared" si="3"/>
        <v/>
      </c>
      <c r="I343" s="20"/>
      <c r="J343" s="20"/>
      <c r="K343" s="20"/>
      <c r="L343" s="20"/>
      <c r="M343" s="21" t="str">
        <f t="shared" si="4"/>
        <v/>
      </c>
      <c r="N343" s="20"/>
      <c r="O343" s="20"/>
      <c r="P343" s="20"/>
      <c r="Q343" s="21" t="str">
        <f t="shared" si="5"/>
        <v/>
      </c>
      <c r="R343" s="21" t="str">
        <f t="shared" si="6"/>
        <v/>
      </c>
      <c r="S343" s="22"/>
      <c r="T343" s="22"/>
      <c r="U343" s="23" t="str">
        <f t="shared" si="7"/>
        <v/>
      </c>
      <c r="V343" s="21" t="str">
        <f t="shared" si="8"/>
        <v>#DIV/0!</v>
      </c>
      <c r="W343" s="24" t="str">
        <f t="shared" si="9"/>
        <v>#DIV/0!</v>
      </c>
      <c r="X343" s="24" t="str">
        <f t="shared" si="10"/>
        <v>#DIV/0!</v>
      </c>
      <c r="Y343" s="21" t="str">
        <f>IF(A343="","",SUMIFS('Labor Log'!$I$2:$I$2001,'Labor Log'!$A$2:$A$2001,A343))</f>
        <v/>
      </c>
      <c r="Z343" s="24" t="str">
        <f t="shared" si="11"/>
        <v>#DIV/0!</v>
      </c>
      <c r="AA343" s="21" t="str">
        <f>IF(A343="","",SUMIFS('Inventory &amp; COGS'!$H$2:$H$2001,'Inventory &amp; COGS'!$A$2:$A$2001,A343,'Inventory &amp; COGS'!$B$2:$B$2001,"Food"))</f>
        <v/>
      </c>
      <c r="AB343" s="21" t="str">
        <f>IF(A343="","",SUMIFS('Inventory &amp; COGS'!$H$2:$H$2001,'Inventory &amp; COGS'!$A$2:$A$2001,A343,'Inventory &amp; COGS'!$B$2:$B$2001,"Beverage"))</f>
        <v/>
      </c>
      <c r="AC343" s="21" t="str">
        <f t="shared" si="12"/>
        <v/>
      </c>
      <c r="AD343" s="24" t="str">
        <f t="shared" ref="AD343:AE343" si="358">IF(I343=0,"",AA343/I343)</f>
        <v/>
      </c>
      <c r="AE343" s="24" t="str">
        <f t="shared" si="358"/>
        <v/>
      </c>
      <c r="AF343" s="21" t="str">
        <f t="shared" si="14"/>
        <v/>
      </c>
      <c r="AG343" s="24" t="str">
        <f t="shared" si="15"/>
        <v>#DIV/0!</v>
      </c>
      <c r="AH343" s="25" t="str">
        <f t="shared" si="16"/>
        <v/>
      </c>
      <c r="AI343" s="25" t="str">
        <f t="shared" si="17"/>
        <v/>
      </c>
      <c r="AJ343" s="26" t="str">
        <f t="shared" si="18"/>
        <v/>
      </c>
    </row>
    <row r="344" ht="15.75" customHeight="1">
      <c r="A344" s="3"/>
      <c r="B344" s="18" t="str">
        <f t="shared" si="2"/>
        <v/>
      </c>
      <c r="C344" s="19"/>
      <c r="D344" s="19"/>
      <c r="E344" s="19"/>
      <c r="F344" s="20"/>
      <c r="G344" s="20"/>
      <c r="H344" s="21" t="str">
        <f t="shared" si="3"/>
        <v/>
      </c>
      <c r="I344" s="20"/>
      <c r="J344" s="20"/>
      <c r="K344" s="20"/>
      <c r="L344" s="20"/>
      <c r="M344" s="21" t="str">
        <f t="shared" si="4"/>
        <v/>
      </c>
      <c r="N344" s="20"/>
      <c r="O344" s="20"/>
      <c r="P344" s="20"/>
      <c r="Q344" s="21" t="str">
        <f t="shared" si="5"/>
        <v/>
      </c>
      <c r="R344" s="21" t="str">
        <f t="shared" si="6"/>
        <v/>
      </c>
      <c r="S344" s="22"/>
      <c r="T344" s="22"/>
      <c r="U344" s="23" t="str">
        <f t="shared" si="7"/>
        <v/>
      </c>
      <c r="V344" s="21" t="str">
        <f t="shared" si="8"/>
        <v>#DIV/0!</v>
      </c>
      <c r="W344" s="24" t="str">
        <f t="shared" si="9"/>
        <v>#DIV/0!</v>
      </c>
      <c r="X344" s="24" t="str">
        <f t="shared" si="10"/>
        <v>#DIV/0!</v>
      </c>
      <c r="Y344" s="21" t="str">
        <f>IF(A344="","",SUMIFS('Labor Log'!$I$2:$I$2001,'Labor Log'!$A$2:$A$2001,A344))</f>
        <v/>
      </c>
      <c r="Z344" s="24" t="str">
        <f t="shared" si="11"/>
        <v>#DIV/0!</v>
      </c>
      <c r="AA344" s="21" t="str">
        <f>IF(A344="","",SUMIFS('Inventory &amp; COGS'!$H$2:$H$2001,'Inventory &amp; COGS'!$A$2:$A$2001,A344,'Inventory &amp; COGS'!$B$2:$B$2001,"Food"))</f>
        <v/>
      </c>
      <c r="AB344" s="21" t="str">
        <f>IF(A344="","",SUMIFS('Inventory &amp; COGS'!$H$2:$H$2001,'Inventory &amp; COGS'!$A$2:$A$2001,A344,'Inventory &amp; COGS'!$B$2:$B$2001,"Beverage"))</f>
        <v/>
      </c>
      <c r="AC344" s="21" t="str">
        <f t="shared" si="12"/>
        <v/>
      </c>
      <c r="AD344" s="24" t="str">
        <f t="shared" ref="AD344:AE344" si="359">IF(I344=0,"",AA344/I344)</f>
        <v/>
      </c>
      <c r="AE344" s="24" t="str">
        <f t="shared" si="359"/>
        <v/>
      </c>
      <c r="AF344" s="21" t="str">
        <f t="shared" si="14"/>
        <v/>
      </c>
      <c r="AG344" s="24" t="str">
        <f t="shared" si="15"/>
        <v>#DIV/0!</v>
      </c>
      <c r="AH344" s="25" t="str">
        <f t="shared" si="16"/>
        <v/>
      </c>
      <c r="AI344" s="25" t="str">
        <f t="shared" si="17"/>
        <v/>
      </c>
      <c r="AJ344" s="26" t="str">
        <f t="shared" si="18"/>
        <v/>
      </c>
    </row>
    <row r="345" ht="15.75" customHeight="1">
      <c r="A345" s="3"/>
      <c r="B345" s="18" t="str">
        <f t="shared" si="2"/>
        <v/>
      </c>
      <c r="C345" s="19"/>
      <c r="D345" s="19"/>
      <c r="E345" s="19"/>
      <c r="F345" s="20"/>
      <c r="G345" s="20"/>
      <c r="H345" s="21" t="str">
        <f t="shared" si="3"/>
        <v/>
      </c>
      <c r="I345" s="20"/>
      <c r="J345" s="20"/>
      <c r="K345" s="20"/>
      <c r="L345" s="20"/>
      <c r="M345" s="21" t="str">
        <f t="shared" si="4"/>
        <v/>
      </c>
      <c r="N345" s="20"/>
      <c r="O345" s="20"/>
      <c r="P345" s="20"/>
      <c r="Q345" s="21" t="str">
        <f t="shared" si="5"/>
        <v/>
      </c>
      <c r="R345" s="21" t="str">
        <f t="shared" si="6"/>
        <v/>
      </c>
      <c r="S345" s="22"/>
      <c r="T345" s="22"/>
      <c r="U345" s="23" t="str">
        <f t="shared" si="7"/>
        <v/>
      </c>
      <c r="V345" s="21" t="str">
        <f t="shared" si="8"/>
        <v>#DIV/0!</v>
      </c>
      <c r="W345" s="24" t="str">
        <f t="shared" si="9"/>
        <v>#DIV/0!</v>
      </c>
      <c r="X345" s="24" t="str">
        <f t="shared" si="10"/>
        <v>#DIV/0!</v>
      </c>
      <c r="Y345" s="21" t="str">
        <f>IF(A345="","",SUMIFS('Labor Log'!$I$2:$I$2001,'Labor Log'!$A$2:$A$2001,A345))</f>
        <v/>
      </c>
      <c r="Z345" s="24" t="str">
        <f t="shared" si="11"/>
        <v>#DIV/0!</v>
      </c>
      <c r="AA345" s="21" t="str">
        <f>IF(A345="","",SUMIFS('Inventory &amp; COGS'!$H$2:$H$2001,'Inventory &amp; COGS'!$A$2:$A$2001,A345,'Inventory &amp; COGS'!$B$2:$B$2001,"Food"))</f>
        <v/>
      </c>
      <c r="AB345" s="21" t="str">
        <f>IF(A345="","",SUMIFS('Inventory &amp; COGS'!$H$2:$H$2001,'Inventory &amp; COGS'!$A$2:$A$2001,A345,'Inventory &amp; COGS'!$B$2:$B$2001,"Beverage"))</f>
        <v/>
      </c>
      <c r="AC345" s="21" t="str">
        <f t="shared" si="12"/>
        <v/>
      </c>
      <c r="AD345" s="24" t="str">
        <f t="shared" ref="AD345:AE345" si="360">IF(I345=0,"",AA345/I345)</f>
        <v/>
      </c>
      <c r="AE345" s="24" t="str">
        <f t="shared" si="360"/>
        <v/>
      </c>
      <c r="AF345" s="21" t="str">
        <f t="shared" si="14"/>
        <v/>
      </c>
      <c r="AG345" s="24" t="str">
        <f t="shared" si="15"/>
        <v>#DIV/0!</v>
      </c>
      <c r="AH345" s="25" t="str">
        <f t="shared" si="16"/>
        <v/>
      </c>
      <c r="AI345" s="25" t="str">
        <f t="shared" si="17"/>
        <v/>
      </c>
      <c r="AJ345" s="26" t="str">
        <f t="shared" si="18"/>
        <v/>
      </c>
    </row>
    <row r="346" ht="15.75" customHeight="1">
      <c r="A346" s="3"/>
      <c r="B346" s="18" t="str">
        <f t="shared" si="2"/>
        <v/>
      </c>
      <c r="C346" s="19"/>
      <c r="D346" s="19"/>
      <c r="E346" s="19"/>
      <c r="F346" s="20"/>
      <c r="G346" s="20"/>
      <c r="H346" s="21" t="str">
        <f t="shared" si="3"/>
        <v/>
      </c>
      <c r="I346" s="20"/>
      <c r="J346" s="20"/>
      <c r="K346" s="20"/>
      <c r="L346" s="20"/>
      <c r="M346" s="21" t="str">
        <f t="shared" si="4"/>
        <v/>
      </c>
      <c r="N346" s="20"/>
      <c r="O346" s="20"/>
      <c r="P346" s="20"/>
      <c r="Q346" s="21" t="str">
        <f t="shared" si="5"/>
        <v/>
      </c>
      <c r="R346" s="21" t="str">
        <f t="shared" si="6"/>
        <v/>
      </c>
      <c r="S346" s="22"/>
      <c r="T346" s="22"/>
      <c r="U346" s="23" t="str">
        <f t="shared" si="7"/>
        <v/>
      </c>
      <c r="V346" s="21" t="str">
        <f t="shared" si="8"/>
        <v>#DIV/0!</v>
      </c>
      <c r="W346" s="24" t="str">
        <f t="shared" si="9"/>
        <v>#DIV/0!</v>
      </c>
      <c r="X346" s="24" t="str">
        <f t="shared" si="10"/>
        <v>#DIV/0!</v>
      </c>
      <c r="Y346" s="21" t="str">
        <f>IF(A346="","",SUMIFS('Labor Log'!$I$2:$I$2001,'Labor Log'!$A$2:$A$2001,A346))</f>
        <v/>
      </c>
      <c r="Z346" s="24" t="str">
        <f t="shared" si="11"/>
        <v>#DIV/0!</v>
      </c>
      <c r="AA346" s="21" t="str">
        <f>IF(A346="","",SUMIFS('Inventory &amp; COGS'!$H$2:$H$2001,'Inventory &amp; COGS'!$A$2:$A$2001,A346,'Inventory &amp; COGS'!$B$2:$B$2001,"Food"))</f>
        <v/>
      </c>
      <c r="AB346" s="21" t="str">
        <f>IF(A346="","",SUMIFS('Inventory &amp; COGS'!$H$2:$H$2001,'Inventory &amp; COGS'!$A$2:$A$2001,A346,'Inventory &amp; COGS'!$B$2:$B$2001,"Beverage"))</f>
        <v/>
      </c>
      <c r="AC346" s="21" t="str">
        <f t="shared" si="12"/>
        <v/>
      </c>
      <c r="AD346" s="24" t="str">
        <f t="shared" ref="AD346:AE346" si="361">IF(I346=0,"",AA346/I346)</f>
        <v/>
      </c>
      <c r="AE346" s="24" t="str">
        <f t="shared" si="361"/>
        <v/>
      </c>
      <c r="AF346" s="21" t="str">
        <f t="shared" si="14"/>
        <v/>
      </c>
      <c r="AG346" s="24" t="str">
        <f t="shared" si="15"/>
        <v>#DIV/0!</v>
      </c>
      <c r="AH346" s="25" t="str">
        <f t="shared" si="16"/>
        <v/>
      </c>
      <c r="AI346" s="25" t="str">
        <f t="shared" si="17"/>
        <v/>
      </c>
      <c r="AJ346" s="26" t="str">
        <f t="shared" si="18"/>
        <v/>
      </c>
    </row>
    <row r="347" ht="15.75" customHeight="1">
      <c r="A347" s="3"/>
      <c r="B347" s="18" t="str">
        <f t="shared" si="2"/>
        <v/>
      </c>
      <c r="C347" s="19"/>
      <c r="D347" s="19"/>
      <c r="E347" s="19"/>
      <c r="F347" s="20"/>
      <c r="G347" s="20"/>
      <c r="H347" s="21" t="str">
        <f t="shared" si="3"/>
        <v/>
      </c>
      <c r="I347" s="20"/>
      <c r="J347" s="20"/>
      <c r="K347" s="20"/>
      <c r="L347" s="20"/>
      <c r="M347" s="21" t="str">
        <f t="shared" si="4"/>
        <v/>
      </c>
      <c r="N347" s="20"/>
      <c r="O347" s="20"/>
      <c r="P347" s="20"/>
      <c r="Q347" s="21" t="str">
        <f t="shared" si="5"/>
        <v/>
      </c>
      <c r="R347" s="21" t="str">
        <f t="shared" si="6"/>
        <v/>
      </c>
      <c r="S347" s="22"/>
      <c r="T347" s="22"/>
      <c r="U347" s="23" t="str">
        <f t="shared" si="7"/>
        <v/>
      </c>
      <c r="V347" s="21" t="str">
        <f t="shared" si="8"/>
        <v>#DIV/0!</v>
      </c>
      <c r="W347" s="24" t="str">
        <f t="shared" si="9"/>
        <v>#DIV/0!</v>
      </c>
      <c r="X347" s="24" t="str">
        <f t="shared" si="10"/>
        <v>#DIV/0!</v>
      </c>
      <c r="Y347" s="21" t="str">
        <f>IF(A347="","",SUMIFS('Labor Log'!$I$2:$I$2001,'Labor Log'!$A$2:$A$2001,A347))</f>
        <v/>
      </c>
      <c r="Z347" s="24" t="str">
        <f t="shared" si="11"/>
        <v>#DIV/0!</v>
      </c>
      <c r="AA347" s="21" t="str">
        <f>IF(A347="","",SUMIFS('Inventory &amp; COGS'!$H$2:$H$2001,'Inventory &amp; COGS'!$A$2:$A$2001,A347,'Inventory &amp; COGS'!$B$2:$B$2001,"Food"))</f>
        <v/>
      </c>
      <c r="AB347" s="21" t="str">
        <f>IF(A347="","",SUMIFS('Inventory &amp; COGS'!$H$2:$H$2001,'Inventory &amp; COGS'!$A$2:$A$2001,A347,'Inventory &amp; COGS'!$B$2:$B$2001,"Beverage"))</f>
        <v/>
      </c>
      <c r="AC347" s="21" t="str">
        <f t="shared" si="12"/>
        <v/>
      </c>
      <c r="AD347" s="24" t="str">
        <f t="shared" ref="AD347:AE347" si="362">IF(I347=0,"",AA347/I347)</f>
        <v/>
      </c>
      <c r="AE347" s="24" t="str">
        <f t="shared" si="362"/>
        <v/>
      </c>
      <c r="AF347" s="21" t="str">
        <f t="shared" si="14"/>
        <v/>
      </c>
      <c r="AG347" s="24" t="str">
        <f t="shared" si="15"/>
        <v>#DIV/0!</v>
      </c>
      <c r="AH347" s="25" t="str">
        <f t="shared" si="16"/>
        <v/>
      </c>
      <c r="AI347" s="25" t="str">
        <f t="shared" si="17"/>
        <v/>
      </c>
      <c r="AJ347" s="26" t="str">
        <f t="shared" si="18"/>
        <v/>
      </c>
    </row>
    <row r="348" ht="15.75" customHeight="1">
      <c r="A348" s="3"/>
      <c r="B348" s="18" t="str">
        <f t="shared" si="2"/>
        <v/>
      </c>
      <c r="C348" s="19"/>
      <c r="D348" s="19"/>
      <c r="E348" s="19"/>
      <c r="F348" s="20"/>
      <c r="G348" s="20"/>
      <c r="H348" s="21" t="str">
        <f t="shared" si="3"/>
        <v/>
      </c>
      <c r="I348" s="20"/>
      <c r="J348" s="20"/>
      <c r="K348" s="20"/>
      <c r="L348" s="20"/>
      <c r="M348" s="21" t="str">
        <f t="shared" si="4"/>
        <v/>
      </c>
      <c r="N348" s="20"/>
      <c r="O348" s="20"/>
      <c r="P348" s="20"/>
      <c r="Q348" s="21" t="str">
        <f t="shared" si="5"/>
        <v/>
      </c>
      <c r="R348" s="21" t="str">
        <f t="shared" si="6"/>
        <v/>
      </c>
      <c r="S348" s="22"/>
      <c r="T348" s="22"/>
      <c r="U348" s="23" t="str">
        <f t="shared" si="7"/>
        <v/>
      </c>
      <c r="V348" s="21" t="str">
        <f t="shared" si="8"/>
        <v>#DIV/0!</v>
      </c>
      <c r="W348" s="24" t="str">
        <f t="shared" si="9"/>
        <v>#DIV/0!</v>
      </c>
      <c r="X348" s="24" t="str">
        <f t="shared" si="10"/>
        <v>#DIV/0!</v>
      </c>
      <c r="Y348" s="21" t="str">
        <f>IF(A348="","",SUMIFS('Labor Log'!$I$2:$I$2001,'Labor Log'!$A$2:$A$2001,A348))</f>
        <v/>
      </c>
      <c r="Z348" s="24" t="str">
        <f t="shared" si="11"/>
        <v>#DIV/0!</v>
      </c>
      <c r="AA348" s="21" t="str">
        <f>IF(A348="","",SUMIFS('Inventory &amp; COGS'!$H$2:$H$2001,'Inventory &amp; COGS'!$A$2:$A$2001,A348,'Inventory &amp; COGS'!$B$2:$B$2001,"Food"))</f>
        <v/>
      </c>
      <c r="AB348" s="21" t="str">
        <f>IF(A348="","",SUMIFS('Inventory &amp; COGS'!$H$2:$H$2001,'Inventory &amp; COGS'!$A$2:$A$2001,A348,'Inventory &amp; COGS'!$B$2:$B$2001,"Beverage"))</f>
        <v/>
      </c>
      <c r="AC348" s="21" t="str">
        <f t="shared" si="12"/>
        <v/>
      </c>
      <c r="AD348" s="24" t="str">
        <f t="shared" ref="AD348:AE348" si="363">IF(I348=0,"",AA348/I348)</f>
        <v/>
      </c>
      <c r="AE348" s="24" t="str">
        <f t="shared" si="363"/>
        <v/>
      </c>
      <c r="AF348" s="21" t="str">
        <f t="shared" si="14"/>
        <v/>
      </c>
      <c r="AG348" s="24" t="str">
        <f t="shared" si="15"/>
        <v>#DIV/0!</v>
      </c>
      <c r="AH348" s="25" t="str">
        <f t="shared" si="16"/>
        <v/>
      </c>
      <c r="AI348" s="25" t="str">
        <f t="shared" si="17"/>
        <v/>
      </c>
      <c r="AJ348" s="26" t="str">
        <f t="shared" si="18"/>
        <v/>
      </c>
    </row>
    <row r="349" ht="15.75" customHeight="1">
      <c r="A349" s="3"/>
      <c r="B349" s="18" t="str">
        <f t="shared" si="2"/>
        <v/>
      </c>
      <c r="C349" s="19"/>
      <c r="D349" s="19"/>
      <c r="E349" s="19"/>
      <c r="F349" s="20"/>
      <c r="G349" s="20"/>
      <c r="H349" s="21" t="str">
        <f t="shared" si="3"/>
        <v/>
      </c>
      <c r="I349" s="20"/>
      <c r="J349" s="20"/>
      <c r="K349" s="20"/>
      <c r="L349" s="20"/>
      <c r="M349" s="21" t="str">
        <f t="shared" si="4"/>
        <v/>
      </c>
      <c r="N349" s="20"/>
      <c r="O349" s="20"/>
      <c r="P349" s="20"/>
      <c r="Q349" s="21" t="str">
        <f t="shared" si="5"/>
        <v/>
      </c>
      <c r="R349" s="21" t="str">
        <f t="shared" si="6"/>
        <v/>
      </c>
      <c r="S349" s="22"/>
      <c r="T349" s="22"/>
      <c r="U349" s="23" t="str">
        <f t="shared" si="7"/>
        <v/>
      </c>
      <c r="V349" s="21" t="str">
        <f t="shared" si="8"/>
        <v>#DIV/0!</v>
      </c>
      <c r="W349" s="24" t="str">
        <f t="shared" si="9"/>
        <v>#DIV/0!</v>
      </c>
      <c r="X349" s="24" t="str">
        <f t="shared" si="10"/>
        <v>#DIV/0!</v>
      </c>
      <c r="Y349" s="21" t="str">
        <f>IF(A349="","",SUMIFS('Labor Log'!$I$2:$I$2001,'Labor Log'!$A$2:$A$2001,A349))</f>
        <v/>
      </c>
      <c r="Z349" s="24" t="str">
        <f t="shared" si="11"/>
        <v>#DIV/0!</v>
      </c>
      <c r="AA349" s="21" t="str">
        <f>IF(A349="","",SUMIFS('Inventory &amp; COGS'!$H$2:$H$2001,'Inventory &amp; COGS'!$A$2:$A$2001,A349,'Inventory &amp; COGS'!$B$2:$B$2001,"Food"))</f>
        <v/>
      </c>
      <c r="AB349" s="21" t="str">
        <f>IF(A349="","",SUMIFS('Inventory &amp; COGS'!$H$2:$H$2001,'Inventory &amp; COGS'!$A$2:$A$2001,A349,'Inventory &amp; COGS'!$B$2:$B$2001,"Beverage"))</f>
        <v/>
      </c>
      <c r="AC349" s="21" t="str">
        <f t="shared" si="12"/>
        <v/>
      </c>
      <c r="AD349" s="24" t="str">
        <f t="shared" ref="AD349:AE349" si="364">IF(I349=0,"",AA349/I349)</f>
        <v/>
      </c>
      <c r="AE349" s="24" t="str">
        <f t="shared" si="364"/>
        <v/>
      </c>
      <c r="AF349" s="21" t="str">
        <f t="shared" si="14"/>
        <v/>
      </c>
      <c r="AG349" s="24" t="str">
        <f t="shared" si="15"/>
        <v>#DIV/0!</v>
      </c>
      <c r="AH349" s="25" t="str">
        <f t="shared" si="16"/>
        <v/>
      </c>
      <c r="AI349" s="25" t="str">
        <f t="shared" si="17"/>
        <v/>
      </c>
      <c r="AJ349" s="26" t="str">
        <f t="shared" si="18"/>
        <v/>
      </c>
    </row>
    <row r="350" ht="15.75" customHeight="1">
      <c r="A350" s="3"/>
      <c r="B350" s="18" t="str">
        <f t="shared" si="2"/>
        <v/>
      </c>
      <c r="C350" s="19"/>
      <c r="D350" s="19"/>
      <c r="E350" s="19"/>
      <c r="F350" s="20"/>
      <c r="G350" s="20"/>
      <c r="H350" s="21" t="str">
        <f t="shared" si="3"/>
        <v/>
      </c>
      <c r="I350" s="20"/>
      <c r="J350" s="20"/>
      <c r="K350" s="20"/>
      <c r="L350" s="20"/>
      <c r="M350" s="21" t="str">
        <f t="shared" si="4"/>
        <v/>
      </c>
      <c r="N350" s="20"/>
      <c r="O350" s="20"/>
      <c r="P350" s="20"/>
      <c r="Q350" s="21" t="str">
        <f t="shared" si="5"/>
        <v/>
      </c>
      <c r="R350" s="21" t="str">
        <f t="shared" si="6"/>
        <v/>
      </c>
      <c r="S350" s="22"/>
      <c r="T350" s="22"/>
      <c r="U350" s="23" t="str">
        <f t="shared" si="7"/>
        <v/>
      </c>
      <c r="V350" s="21" t="str">
        <f t="shared" si="8"/>
        <v>#DIV/0!</v>
      </c>
      <c r="W350" s="24" t="str">
        <f t="shared" si="9"/>
        <v>#DIV/0!</v>
      </c>
      <c r="X350" s="24" t="str">
        <f t="shared" si="10"/>
        <v>#DIV/0!</v>
      </c>
      <c r="Y350" s="21" t="str">
        <f>IF(A350="","",SUMIFS('Labor Log'!$I$2:$I$2001,'Labor Log'!$A$2:$A$2001,A350))</f>
        <v/>
      </c>
      <c r="Z350" s="24" t="str">
        <f t="shared" si="11"/>
        <v>#DIV/0!</v>
      </c>
      <c r="AA350" s="21" t="str">
        <f>IF(A350="","",SUMIFS('Inventory &amp; COGS'!$H$2:$H$2001,'Inventory &amp; COGS'!$A$2:$A$2001,A350,'Inventory &amp; COGS'!$B$2:$B$2001,"Food"))</f>
        <v/>
      </c>
      <c r="AB350" s="21" t="str">
        <f>IF(A350="","",SUMIFS('Inventory &amp; COGS'!$H$2:$H$2001,'Inventory &amp; COGS'!$A$2:$A$2001,A350,'Inventory &amp; COGS'!$B$2:$B$2001,"Beverage"))</f>
        <v/>
      </c>
      <c r="AC350" s="21" t="str">
        <f t="shared" si="12"/>
        <v/>
      </c>
      <c r="AD350" s="24" t="str">
        <f t="shared" ref="AD350:AE350" si="365">IF(I350=0,"",AA350/I350)</f>
        <v/>
      </c>
      <c r="AE350" s="24" t="str">
        <f t="shared" si="365"/>
        <v/>
      </c>
      <c r="AF350" s="21" t="str">
        <f t="shared" si="14"/>
        <v/>
      </c>
      <c r="AG350" s="24" t="str">
        <f t="shared" si="15"/>
        <v>#DIV/0!</v>
      </c>
      <c r="AH350" s="25" t="str">
        <f t="shared" si="16"/>
        <v/>
      </c>
      <c r="AI350" s="25" t="str">
        <f t="shared" si="17"/>
        <v/>
      </c>
      <c r="AJ350" s="26" t="str">
        <f t="shared" si="18"/>
        <v/>
      </c>
    </row>
    <row r="351" ht="15.75" customHeight="1">
      <c r="A351" s="3"/>
      <c r="B351" s="18" t="str">
        <f t="shared" si="2"/>
        <v/>
      </c>
      <c r="C351" s="19"/>
      <c r="D351" s="19"/>
      <c r="E351" s="19"/>
      <c r="F351" s="20"/>
      <c r="G351" s="20"/>
      <c r="H351" s="21" t="str">
        <f t="shared" si="3"/>
        <v/>
      </c>
      <c r="I351" s="20"/>
      <c r="J351" s="20"/>
      <c r="K351" s="20"/>
      <c r="L351" s="20"/>
      <c r="M351" s="21" t="str">
        <f t="shared" si="4"/>
        <v/>
      </c>
      <c r="N351" s="20"/>
      <c r="O351" s="20"/>
      <c r="P351" s="20"/>
      <c r="Q351" s="21" t="str">
        <f t="shared" si="5"/>
        <v/>
      </c>
      <c r="R351" s="21" t="str">
        <f t="shared" si="6"/>
        <v/>
      </c>
      <c r="S351" s="22"/>
      <c r="T351" s="22"/>
      <c r="U351" s="23" t="str">
        <f t="shared" si="7"/>
        <v/>
      </c>
      <c r="V351" s="21" t="str">
        <f t="shared" si="8"/>
        <v>#DIV/0!</v>
      </c>
      <c r="W351" s="24" t="str">
        <f t="shared" si="9"/>
        <v>#DIV/0!</v>
      </c>
      <c r="X351" s="24" t="str">
        <f t="shared" si="10"/>
        <v>#DIV/0!</v>
      </c>
      <c r="Y351" s="21" t="str">
        <f>IF(A351="","",SUMIFS('Labor Log'!$I$2:$I$2001,'Labor Log'!$A$2:$A$2001,A351))</f>
        <v/>
      </c>
      <c r="Z351" s="24" t="str">
        <f t="shared" si="11"/>
        <v>#DIV/0!</v>
      </c>
      <c r="AA351" s="21" t="str">
        <f>IF(A351="","",SUMIFS('Inventory &amp; COGS'!$H$2:$H$2001,'Inventory &amp; COGS'!$A$2:$A$2001,A351,'Inventory &amp; COGS'!$B$2:$B$2001,"Food"))</f>
        <v/>
      </c>
      <c r="AB351" s="21" t="str">
        <f>IF(A351="","",SUMIFS('Inventory &amp; COGS'!$H$2:$H$2001,'Inventory &amp; COGS'!$A$2:$A$2001,A351,'Inventory &amp; COGS'!$B$2:$B$2001,"Beverage"))</f>
        <v/>
      </c>
      <c r="AC351" s="21" t="str">
        <f t="shared" si="12"/>
        <v/>
      </c>
      <c r="AD351" s="24" t="str">
        <f t="shared" ref="AD351:AE351" si="366">IF(I351=0,"",AA351/I351)</f>
        <v/>
      </c>
      <c r="AE351" s="24" t="str">
        <f t="shared" si="366"/>
        <v/>
      </c>
      <c r="AF351" s="21" t="str">
        <f t="shared" si="14"/>
        <v/>
      </c>
      <c r="AG351" s="24" t="str">
        <f t="shared" si="15"/>
        <v>#DIV/0!</v>
      </c>
      <c r="AH351" s="25" t="str">
        <f t="shared" si="16"/>
        <v/>
      </c>
      <c r="AI351" s="25" t="str">
        <f t="shared" si="17"/>
        <v/>
      </c>
      <c r="AJ351" s="26" t="str">
        <f t="shared" si="18"/>
        <v/>
      </c>
    </row>
    <row r="352" ht="15.75" customHeight="1">
      <c r="A352" s="3"/>
      <c r="B352" s="18" t="str">
        <f t="shared" si="2"/>
        <v/>
      </c>
      <c r="C352" s="19"/>
      <c r="D352" s="19"/>
      <c r="E352" s="19"/>
      <c r="F352" s="20"/>
      <c r="G352" s="20"/>
      <c r="H352" s="21" t="str">
        <f t="shared" si="3"/>
        <v/>
      </c>
      <c r="I352" s="20"/>
      <c r="J352" s="20"/>
      <c r="K352" s="20"/>
      <c r="L352" s="20"/>
      <c r="M352" s="21" t="str">
        <f t="shared" si="4"/>
        <v/>
      </c>
      <c r="N352" s="20"/>
      <c r="O352" s="20"/>
      <c r="P352" s="20"/>
      <c r="Q352" s="21" t="str">
        <f t="shared" si="5"/>
        <v/>
      </c>
      <c r="R352" s="21" t="str">
        <f t="shared" si="6"/>
        <v/>
      </c>
      <c r="S352" s="22"/>
      <c r="T352" s="22"/>
      <c r="U352" s="23" t="str">
        <f t="shared" si="7"/>
        <v/>
      </c>
      <c r="V352" s="21" t="str">
        <f t="shared" si="8"/>
        <v>#DIV/0!</v>
      </c>
      <c r="W352" s="24" t="str">
        <f t="shared" si="9"/>
        <v>#DIV/0!</v>
      </c>
      <c r="X352" s="24" t="str">
        <f t="shared" si="10"/>
        <v>#DIV/0!</v>
      </c>
      <c r="Y352" s="21" t="str">
        <f>IF(A352="","",SUMIFS('Labor Log'!$I$2:$I$2001,'Labor Log'!$A$2:$A$2001,A352))</f>
        <v/>
      </c>
      <c r="Z352" s="24" t="str">
        <f t="shared" si="11"/>
        <v>#DIV/0!</v>
      </c>
      <c r="AA352" s="21" t="str">
        <f>IF(A352="","",SUMIFS('Inventory &amp; COGS'!$H$2:$H$2001,'Inventory &amp; COGS'!$A$2:$A$2001,A352,'Inventory &amp; COGS'!$B$2:$B$2001,"Food"))</f>
        <v/>
      </c>
      <c r="AB352" s="21" t="str">
        <f>IF(A352="","",SUMIFS('Inventory &amp; COGS'!$H$2:$H$2001,'Inventory &amp; COGS'!$A$2:$A$2001,A352,'Inventory &amp; COGS'!$B$2:$B$2001,"Beverage"))</f>
        <v/>
      </c>
      <c r="AC352" s="21" t="str">
        <f t="shared" si="12"/>
        <v/>
      </c>
      <c r="AD352" s="24" t="str">
        <f t="shared" ref="AD352:AE352" si="367">IF(I352=0,"",AA352/I352)</f>
        <v/>
      </c>
      <c r="AE352" s="24" t="str">
        <f t="shared" si="367"/>
        <v/>
      </c>
      <c r="AF352" s="21" t="str">
        <f t="shared" si="14"/>
        <v/>
      </c>
      <c r="AG352" s="24" t="str">
        <f t="shared" si="15"/>
        <v>#DIV/0!</v>
      </c>
      <c r="AH352" s="25" t="str">
        <f t="shared" si="16"/>
        <v/>
      </c>
      <c r="AI352" s="25" t="str">
        <f t="shared" si="17"/>
        <v/>
      </c>
      <c r="AJ352" s="26" t="str">
        <f t="shared" si="18"/>
        <v/>
      </c>
    </row>
    <row r="353" ht="15.75" customHeight="1">
      <c r="A353" s="3"/>
      <c r="B353" s="18" t="str">
        <f t="shared" si="2"/>
        <v/>
      </c>
      <c r="C353" s="19"/>
      <c r="D353" s="19"/>
      <c r="E353" s="19"/>
      <c r="F353" s="20"/>
      <c r="G353" s="20"/>
      <c r="H353" s="21" t="str">
        <f t="shared" si="3"/>
        <v/>
      </c>
      <c r="I353" s="20"/>
      <c r="J353" s="20"/>
      <c r="K353" s="20"/>
      <c r="L353" s="20"/>
      <c r="M353" s="21" t="str">
        <f t="shared" si="4"/>
        <v/>
      </c>
      <c r="N353" s="20"/>
      <c r="O353" s="20"/>
      <c r="P353" s="20"/>
      <c r="Q353" s="21" t="str">
        <f t="shared" si="5"/>
        <v/>
      </c>
      <c r="R353" s="21" t="str">
        <f t="shared" si="6"/>
        <v/>
      </c>
      <c r="S353" s="22"/>
      <c r="T353" s="22"/>
      <c r="U353" s="23" t="str">
        <f t="shared" si="7"/>
        <v/>
      </c>
      <c r="V353" s="21" t="str">
        <f t="shared" si="8"/>
        <v>#DIV/0!</v>
      </c>
      <c r="W353" s="24" t="str">
        <f t="shared" si="9"/>
        <v>#DIV/0!</v>
      </c>
      <c r="X353" s="24" t="str">
        <f t="shared" si="10"/>
        <v>#DIV/0!</v>
      </c>
      <c r="Y353" s="21" t="str">
        <f>IF(A353="","",SUMIFS('Labor Log'!$I$2:$I$2001,'Labor Log'!$A$2:$A$2001,A353))</f>
        <v/>
      </c>
      <c r="Z353" s="24" t="str">
        <f t="shared" si="11"/>
        <v>#DIV/0!</v>
      </c>
      <c r="AA353" s="21" t="str">
        <f>IF(A353="","",SUMIFS('Inventory &amp; COGS'!$H$2:$H$2001,'Inventory &amp; COGS'!$A$2:$A$2001,A353,'Inventory &amp; COGS'!$B$2:$B$2001,"Food"))</f>
        <v/>
      </c>
      <c r="AB353" s="21" t="str">
        <f>IF(A353="","",SUMIFS('Inventory &amp; COGS'!$H$2:$H$2001,'Inventory &amp; COGS'!$A$2:$A$2001,A353,'Inventory &amp; COGS'!$B$2:$B$2001,"Beverage"))</f>
        <v/>
      </c>
      <c r="AC353" s="21" t="str">
        <f t="shared" si="12"/>
        <v/>
      </c>
      <c r="AD353" s="24" t="str">
        <f t="shared" ref="AD353:AE353" si="368">IF(I353=0,"",AA353/I353)</f>
        <v/>
      </c>
      <c r="AE353" s="24" t="str">
        <f t="shared" si="368"/>
        <v/>
      </c>
      <c r="AF353" s="21" t="str">
        <f t="shared" si="14"/>
        <v/>
      </c>
      <c r="AG353" s="24" t="str">
        <f t="shared" si="15"/>
        <v>#DIV/0!</v>
      </c>
      <c r="AH353" s="25" t="str">
        <f t="shared" si="16"/>
        <v/>
      </c>
      <c r="AI353" s="25" t="str">
        <f t="shared" si="17"/>
        <v/>
      </c>
      <c r="AJ353" s="26" t="str">
        <f t="shared" si="18"/>
        <v/>
      </c>
    </row>
    <row r="354" ht="15.75" customHeight="1">
      <c r="A354" s="3"/>
      <c r="B354" s="18" t="str">
        <f t="shared" si="2"/>
        <v/>
      </c>
      <c r="C354" s="19"/>
      <c r="D354" s="19"/>
      <c r="E354" s="19"/>
      <c r="F354" s="20"/>
      <c r="G354" s="20"/>
      <c r="H354" s="21" t="str">
        <f t="shared" si="3"/>
        <v/>
      </c>
      <c r="I354" s="20"/>
      <c r="J354" s="20"/>
      <c r="K354" s="20"/>
      <c r="L354" s="20"/>
      <c r="M354" s="21" t="str">
        <f t="shared" si="4"/>
        <v/>
      </c>
      <c r="N354" s="20"/>
      <c r="O354" s="20"/>
      <c r="P354" s="20"/>
      <c r="Q354" s="21" t="str">
        <f t="shared" si="5"/>
        <v/>
      </c>
      <c r="R354" s="21" t="str">
        <f t="shared" si="6"/>
        <v/>
      </c>
      <c r="S354" s="22"/>
      <c r="T354" s="22"/>
      <c r="U354" s="23" t="str">
        <f t="shared" si="7"/>
        <v/>
      </c>
      <c r="V354" s="21" t="str">
        <f t="shared" si="8"/>
        <v>#DIV/0!</v>
      </c>
      <c r="W354" s="24" t="str">
        <f t="shared" si="9"/>
        <v>#DIV/0!</v>
      </c>
      <c r="X354" s="24" t="str">
        <f t="shared" si="10"/>
        <v>#DIV/0!</v>
      </c>
      <c r="Y354" s="21" t="str">
        <f>IF(A354="","",SUMIFS('Labor Log'!$I$2:$I$2001,'Labor Log'!$A$2:$A$2001,A354))</f>
        <v/>
      </c>
      <c r="Z354" s="24" t="str">
        <f t="shared" si="11"/>
        <v>#DIV/0!</v>
      </c>
      <c r="AA354" s="21" t="str">
        <f>IF(A354="","",SUMIFS('Inventory &amp; COGS'!$H$2:$H$2001,'Inventory &amp; COGS'!$A$2:$A$2001,A354,'Inventory &amp; COGS'!$B$2:$B$2001,"Food"))</f>
        <v/>
      </c>
      <c r="AB354" s="21" t="str">
        <f>IF(A354="","",SUMIFS('Inventory &amp; COGS'!$H$2:$H$2001,'Inventory &amp; COGS'!$A$2:$A$2001,A354,'Inventory &amp; COGS'!$B$2:$B$2001,"Beverage"))</f>
        <v/>
      </c>
      <c r="AC354" s="21" t="str">
        <f t="shared" si="12"/>
        <v/>
      </c>
      <c r="AD354" s="24" t="str">
        <f t="shared" ref="AD354:AE354" si="369">IF(I354=0,"",AA354/I354)</f>
        <v/>
      </c>
      <c r="AE354" s="24" t="str">
        <f t="shared" si="369"/>
        <v/>
      </c>
      <c r="AF354" s="21" t="str">
        <f t="shared" si="14"/>
        <v/>
      </c>
      <c r="AG354" s="24" t="str">
        <f t="shared" si="15"/>
        <v>#DIV/0!</v>
      </c>
      <c r="AH354" s="25" t="str">
        <f t="shared" si="16"/>
        <v/>
      </c>
      <c r="AI354" s="25" t="str">
        <f t="shared" si="17"/>
        <v/>
      </c>
      <c r="AJ354" s="26" t="str">
        <f t="shared" si="18"/>
        <v/>
      </c>
    </row>
    <row r="355" ht="15.75" customHeight="1">
      <c r="A355" s="3"/>
      <c r="B355" s="18" t="str">
        <f t="shared" si="2"/>
        <v/>
      </c>
      <c r="C355" s="19"/>
      <c r="D355" s="19"/>
      <c r="E355" s="19"/>
      <c r="F355" s="20"/>
      <c r="G355" s="20"/>
      <c r="H355" s="21" t="str">
        <f t="shared" si="3"/>
        <v/>
      </c>
      <c r="I355" s="20"/>
      <c r="J355" s="20"/>
      <c r="K355" s="20"/>
      <c r="L355" s="20"/>
      <c r="M355" s="21" t="str">
        <f t="shared" si="4"/>
        <v/>
      </c>
      <c r="N355" s="20"/>
      <c r="O355" s="20"/>
      <c r="P355" s="20"/>
      <c r="Q355" s="21" t="str">
        <f t="shared" si="5"/>
        <v/>
      </c>
      <c r="R355" s="21" t="str">
        <f t="shared" si="6"/>
        <v/>
      </c>
      <c r="S355" s="22"/>
      <c r="T355" s="22"/>
      <c r="U355" s="23" t="str">
        <f t="shared" si="7"/>
        <v/>
      </c>
      <c r="V355" s="21" t="str">
        <f t="shared" si="8"/>
        <v>#DIV/0!</v>
      </c>
      <c r="W355" s="24" t="str">
        <f t="shared" si="9"/>
        <v>#DIV/0!</v>
      </c>
      <c r="X355" s="24" t="str">
        <f t="shared" si="10"/>
        <v>#DIV/0!</v>
      </c>
      <c r="Y355" s="21" t="str">
        <f>IF(A355="","",SUMIFS('Labor Log'!$I$2:$I$2001,'Labor Log'!$A$2:$A$2001,A355))</f>
        <v/>
      </c>
      <c r="Z355" s="24" t="str">
        <f t="shared" si="11"/>
        <v>#DIV/0!</v>
      </c>
      <c r="AA355" s="21" t="str">
        <f>IF(A355="","",SUMIFS('Inventory &amp; COGS'!$H$2:$H$2001,'Inventory &amp; COGS'!$A$2:$A$2001,A355,'Inventory &amp; COGS'!$B$2:$B$2001,"Food"))</f>
        <v/>
      </c>
      <c r="AB355" s="21" t="str">
        <f>IF(A355="","",SUMIFS('Inventory &amp; COGS'!$H$2:$H$2001,'Inventory &amp; COGS'!$A$2:$A$2001,A355,'Inventory &amp; COGS'!$B$2:$B$2001,"Beverage"))</f>
        <v/>
      </c>
      <c r="AC355" s="21" t="str">
        <f t="shared" si="12"/>
        <v/>
      </c>
      <c r="AD355" s="24" t="str">
        <f t="shared" ref="AD355:AE355" si="370">IF(I355=0,"",AA355/I355)</f>
        <v/>
      </c>
      <c r="AE355" s="24" t="str">
        <f t="shared" si="370"/>
        <v/>
      </c>
      <c r="AF355" s="21" t="str">
        <f t="shared" si="14"/>
        <v/>
      </c>
      <c r="AG355" s="24" t="str">
        <f t="shared" si="15"/>
        <v>#DIV/0!</v>
      </c>
      <c r="AH355" s="25" t="str">
        <f t="shared" si="16"/>
        <v/>
      </c>
      <c r="AI355" s="25" t="str">
        <f t="shared" si="17"/>
        <v/>
      </c>
      <c r="AJ355" s="26" t="str">
        <f t="shared" si="18"/>
        <v/>
      </c>
    </row>
    <row r="356" ht="15.75" customHeight="1">
      <c r="A356" s="3"/>
      <c r="B356" s="18" t="str">
        <f t="shared" si="2"/>
        <v/>
      </c>
      <c r="C356" s="19"/>
      <c r="D356" s="19"/>
      <c r="E356" s="19"/>
      <c r="F356" s="20"/>
      <c r="G356" s="20"/>
      <c r="H356" s="21" t="str">
        <f t="shared" si="3"/>
        <v/>
      </c>
      <c r="I356" s="20"/>
      <c r="J356" s="20"/>
      <c r="K356" s="20"/>
      <c r="L356" s="20"/>
      <c r="M356" s="21" t="str">
        <f t="shared" si="4"/>
        <v/>
      </c>
      <c r="N356" s="20"/>
      <c r="O356" s="20"/>
      <c r="P356" s="20"/>
      <c r="Q356" s="21" t="str">
        <f t="shared" si="5"/>
        <v/>
      </c>
      <c r="R356" s="21" t="str">
        <f t="shared" si="6"/>
        <v/>
      </c>
      <c r="S356" s="22"/>
      <c r="T356" s="22"/>
      <c r="U356" s="23" t="str">
        <f t="shared" si="7"/>
        <v/>
      </c>
      <c r="V356" s="21" t="str">
        <f t="shared" si="8"/>
        <v>#DIV/0!</v>
      </c>
      <c r="W356" s="24" t="str">
        <f t="shared" si="9"/>
        <v>#DIV/0!</v>
      </c>
      <c r="X356" s="24" t="str">
        <f t="shared" si="10"/>
        <v>#DIV/0!</v>
      </c>
      <c r="Y356" s="21" t="str">
        <f>IF(A356="","",SUMIFS('Labor Log'!$I$2:$I$2001,'Labor Log'!$A$2:$A$2001,A356))</f>
        <v/>
      </c>
      <c r="Z356" s="24" t="str">
        <f t="shared" si="11"/>
        <v>#DIV/0!</v>
      </c>
      <c r="AA356" s="21" t="str">
        <f>IF(A356="","",SUMIFS('Inventory &amp; COGS'!$H$2:$H$2001,'Inventory &amp; COGS'!$A$2:$A$2001,A356,'Inventory &amp; COGS'!$B$2:$B$2001,"Food"))</f>
        <v/>
      </c>
      <c r="AB356" s="21" t="str">
        <f>IF(A356="","",SUMIFS('Inventory &amp; COGS'!$H$2:$H$2001,'Inventory &amp; COGS'!$A$2:$A$2001,A356,'Inventory &amp; COGS'!$B$2:$B$2001,"Beverage"))</f>
        <v/>
      </c>
      <c r="AC356" s="21" t="str">
        <f t="shared" si="12"/>
        <v/>
      </c>
      <c r="AD356" s="24" t="str">
        <f t="shared" ref="AD356:AE356" si="371">IF(I356=0,"",AA356/I356)</f>
        <v/>
      </c>
      <c r="AE356" s="24" t="str">
        <f t="shared" si="371"/>
        <v/>
      </c>
      <c r="AF356" s="21" t="str">
        <f t="shared" si="14"/>
        <v/>
      </c>
      <c r="AG356" s="24" t="str">
        <f t="shared" si="15"/>
        <v>#DIV/0!</v>
      </c>
      <c r="AH356" s="25" t="str">
        <f t="shared" si="16"/>
        <v/>
      </c>
      <c r="AI356" s="25" t="str">
        <f t="shared" si="17"/>
        <v/>
      </c>
      <c r="AJ356" s="26" t="str">
        <f t="shared" si="18"/>
        <v/>
      </c>
    </row>
    <row r="357" ht="15.75" customHeight="1">
      <c r="A357" s="3"/>
      <c r="B357" s="18" t="str">
        <f t="shared" si="2"/>
        <v/>
      </c>
      <c r="C357" s="19"/>
      <c r="D357" s="19"/>
      <c r="E357" s="19"/>
      <c r="F357" s="20"/>
      <c r="G357" s="20"/>
      <c r="H357" s="21" t="str">
        <f t="shared" si="3"/>
        <v/>
      </c>
      <c r="I357" s="20"/>
      <c r="J357" s="20"/>
      <c r="K357" s="20"/>
      <c r="L357" s="20"/>
      <c r="M357" s="21" t="str">
        <f t="shared" si="4"/>
        <v/>
      </c>
      <c r="N357" s="20"/>
      <c r="O357" s="20"/>
      <c r="P357" s="20"/>
      <c r="Q357" s="21" t="str">
        <f t="shared" si="5"/>
        <v/>
      </c>
      <c r="R357" s="21" t="str">
        <f t="shared" si="6"/>
        <v/>
      </c>
      <c r="S357" s="22"/>
      <c r="T357" s="22"/>
      <c r="U357" s="23" t="str">
        <f t="shared" si="7"/>
        <v/>
      </c>
      <c r="V357" s="21" t="str">
        <f t="shared" si="8"/>
        <v>#DIV/0!</v>
      </c>
      <c r="W357" s="24" t="str">
        <f t="shared" si="9"/>
        <v>#DIV/0!</v>
      </c>
      <c r="X357" s="24" t="str">
        <f t="shared" si="10"/>
        <v>#DIV/0!</v>
      </c>
      <c r="Y357" s="21" t="str">
        <f>IF(A357="","",SUMIFS('Labor Log'!$I$2:$I$2001,'Labor Log'!$A$2:$A$2001,A357))</f>
        <v/>
      </c>
      <c r="Z357" s="24" t="str">
        <f t="shared" si="11"/>
        <v>#DIV/0!</v>
      </c>
      <c r="AA357" s="21" t="str">
        <f>IF(A357="","",SUMIFS('Inventory &amp; COGS'!$H$2:$H$2001,'Inventory &amp; COGS'!$A$2:$A$2001,A357,'Inventory &amp; COGS'!$B$2:$B$2001,"Food"))</f>
        <v/>
      </c>
      <c r="AB357" s="21" t="str">
        <f>IF(A357="","",SUMIFS('Inventory &amp; COGS'!$H$2:$H$2001,'Inventory &amp; COGS'!$A$2:$A$2001,A357,'Inventory &amp; COGS'!$B$2:$B$2001,"Beverage"))</f>
        <v/>
      </c>
      <c r="AC357" s="21" t="str">
        <f t="shared" si="12"/>
        <v/>
      </c>
      <c r="AD357" s="24" t="str">
        <f t="shared" ref="AD357:AE357" si="372">IF(I357=0,"",AA357/I357)</f>
        <v/>
      </c>
      <c r="AE357" s="24" t="str">
        <f t="shared" si="372"/>
        <v/>
      </c>
      <c r="AF357" s="21" t="str">
        <f t="shared" si="14"/>
        <v/>
      </c>
      <c r="AG357" s="24" t="str">
        <f t="shared" si="15"/>
        <v>#DIV/0!</v>
      </c>
      <c r="AH357" s="25" t="str">
        <f t="shared" si="16"/>
        <v/>
      </c>
      <c r="AI357" s="25" t="str">
        <f t="shared" si="17"/>
        <v/>
      </c>
      <c r="AJ357" s="26" t="str">
        <f t="shared" si="18"/>
        <v/>
      </c>
    </row>
    <row r="358" ht="15.75" customHeight="1">
      <c r="A358" s="3"/>
      <c r="B358" s="18" t="str">
        <f t="shared" si="2"/>
        <v/>
      </c>
      <c r="C358" s="19"/>
      <c r="D358" s="19"/>
      <c r="E358" s="19"/>
      <c r="F358" s="20"/>
      <c r="G358" s="20"/>
      <c r="H358" s="21" t="str">
        <f t="shared" si="3"/>
        <v/>
      </c>
      <c r="I358" s="20"/>
      <c r="J358" s="20"/>
      <c r="K358" s="20"/>
      <c r="L358" s="20"/>
      <c r="M358" s="21" t="str">
        <f t="shared" si="4"/>
        <v/>
      </c>
      <c r="N358" s="20"/>
      <c r="O358" s="20"/>
      <c r="P358" s="20"/>
      <c r="Q358" s="21" t="str">
        <f t="shared" si="5"/>
        <v/>
      </c>
      <c r="R358" s="21" t="str">
        <f t="shared" si="6"/>
        <v/>
      </c>
      <c r="S358" s="22"/>
      <c r="T358" s="22"/>
      <c r="U358" s="23" t="str">
        <f t="shared" si="7"/>
        <v/>
      </c>
      <c r="V358" s="21" t="str">
        <f t="shared" si="8"/>
        <v>#DIV/0!</v>
      </c>
      <c r="W358" s="24" t="str">
        <f t="shared" si="9"/>
        <v>#DIV/0!</v>
      </c>
      <c r="X358" s="24" t="str">
        <f t="shared" si="10"/>
        <v>#DIV/0!</v>
      </c>
      <c r="Y358" s="21" t="str">
        <f>IF(A358="","",SUMIFS('Labor Log'!$I$2:$I$2001,'Labor Log'!$A$2:$A$2001,A358))</f>
        <v/>
      </c>
      <c r="Z358" s="24" t="str">
        <f t="shared" si="11"/>
        <v>#DIV/0!</v>
      </c>
      <c r="AA358" s="21" t="str">
        <f>IF(A358="","",SUMIFS('Inventory &amp; COGS'!$H$2:$H$2001,'Inventory &amp; COGS'!$A$2:$A$2001,A358,'Inventory &amp; COGS'!$B$2:$B$2001,"Food"))</f>
        <v/>
      </c>
      <c r="AB358" s="21" t="str">
        <f>IF(A358="","",SUMIFS('Inventory &amp; COGS'!$H$2:$H$2001,'Inventory &amp; COGS'!$A$2:$A$2001,A358,'Inventory &amp; COGS'!$B$2:$B$2001,"Beverage"))</f>
        <v/>
      </c>
      <c r="AC358" s="21" t="str">
        <f t="shared" si="12"/>
        <v/>
      </c>
      <c r="AD358" s="24" t="str">
        <f t="shared" ref="AD358:AE358" si="373">IF(I358=0,"",AA358/I358)</f>
        <v/>
      </c>
      <c r="AE358" s="24" t="str">
        <f t="shared" si="373"/>
        <v/>
      </c>
      <c r="AF358" s="21" t="str">
        <f t="shared" si="14"/>
        <v/>
      </c>
      <c r="AG358" s="24" t="str">
        <f t="shared" si="15"/>
        <v>#DIV/0!</v>
      </c>
      <c r="AH358" s="25" t="str">
        <f t="shared" si="16"/>
        <v/>
      </c>
      <c r="AI358" s="25" t="str">
        <f t="shared" si="17"/>
        <v/>
      </c>
      <c r="AJ358" s="26" t="str">
        <f t="shared" si="18"/>
        <v/>
      </c>
    </row>
    <row r="359" ht="15.75" customHeight="1">
      <c r="A359" s="3"/>
      <c r="B359" s="18" t="str">
        <f t="shared" si="2"/>
        <v/>
      </c>
      <c r="C359" s="19"/>
      <c r="D359" s="19"/>
      <c r="E359" s="19"/>
      <c r="F359" s="20"/>
      <c r="G359" s="20"/>
      <c r="H359" s="21" t="str">
        <f t="shared" si="3"/>
        <v/>
      </c>
      <c r="I359" s="20"/>
      <c r="J359" s="20"/>
      <c r="K359" s="20"/>
      <c r="L359" s="20"/>
      <c r="M359" s="21" t="str">
        <f t="shared" si="4"/>
        <v/>
      </c>
      <c r="N359" s="20"/>
      <c r="O359" s="20"/>
      <c r="P359" s="20"/>
      <c r="Q359" s="21" t="str">
        <f t="shared" si="5"/>
        <v/>
      </c>
      <c r="R359" s="21" t="str">
        <f t="shared" si="6"/>
        <v/>
      </c>
      <c r="S359" s="22"/>
      <c r="T359" s="22"/>
      <c r="U359" s="23" t="str">
        <f t="shared" si="7"/>
        <v/>
      </c>
      <c r="V359" s="21" t="str">
        <f t="shared" si="8"/>
        <v>#DIV/0!</v>
      </c>
      <c r="W359" s="24" t="str">
        <f t="shared" si="9"/>
        <v>#DIV/0!</v>
      </c>
      <c r="X359" s="24" t="str">
        <f t="shared" si="10"/>
        <v>#DIV/0!</v>
      </c>
      <c r="Y359" s="21" t="str">
        <f>IF(A359="","",SUMIFS('Labor Log'!$I$2:$I$2001,'Labor Log'!$A$2:$A$2001,A359))</f>
        <v/>
      </c>
      <c r="Z359" s="24" t="str">
        <f t="shared" si="11"/>
        <v>#DIV/0!</v>
      </c>
      <c r="AA359" s="21" t="str">
        <f>IF(A359="","",SUMIFS('Inventory &amp; COGS'!$H$2:$H$2001,'Inventory &amp; COGS'!$A$2:$A$2001,A359,'Inventory &amp; COGS'!$B$2:$B$2001,"Food"))</f>
        <v/>
      </c>
      <c r="AB359" s="21" t="str">
        <f>IF(A359="","",SUMIFS('Inventory &amp; COGS'!$H$2:$H$2001,'Inventory &amp; COGS'!$A$2:$A$2001,A359,'Inventory &amp; COGS'!$B$2:$B$2001,"Beverage"))</f>
        <v/>
      </c>
      <c r="AC359" s="21" t="str">
        <f t="shared" si="12"/>
        <v/>
      </c>
      <c r="AD359" s="24" t="str">
        <f t="shared" ref="AD359:AE359" si="374">IF(I359=0,"",AA359/I359)</f>
        <v/>
      </c>
      <c r="AE359" s="24" t="str">
        <f t="shared" si="374"/>
        <v/>
      </c>
      <c r="AF359" s="21" t="str">
        <f t="shared" si="14"/>
        <v/>
      </c>
      <c r="AG359" s="24" t="str">
        <f t="shared" si="15"/>
        <v>#DIV/0!</v>
      </c>
      <c r="AH359" s="25" t="str">
        <f t="shared" si="16"/>
        <v/>
      </c>
      <c r="AI359" s="25" t="str">
        <f t="shared" si="17"/>
        <v/>
      </c>
      <c r="AJ359" s="26" t="str">
        <f t="shared" si="18"/>
        <v/>
      </c>
    </row>
    <row r="360" ht="15.75" customHeight="1">
      <c r="A360" s="3"/>
      <c r="B360" s="18" t="str">
        <f t="shared" si="2"/>
        <v/>
      </c>
      <c r="C360" s="19"/>
      <c r="D360" s="19"/>
      <c r="E360" s="19"/>
      <c r="F360" s="20"/>
      <c r="G360" s="20"/>
      <c r="H360" s="21" t="str">
        <f t="shared" si="3"/>
        <v/>
      </c>
      <c r="I360" s="20"/>
      <c r="J360" s="20"/>
      <c r="K360" s="20"/>
      <c r="L360" s="20"/>
      <c r="M360" s="21" t="str">
        <f t="shared" si="4"/>
        <v/>
      </c>
      <c r="N360" s="20"/>
      <c r="O360" s="20"/>
      <c r="P360" s="20"/>
      <c r="Q360" s="21" t="str">
        <f t="shared" si="5"/>
        <v/>
      </c>
      <c r="R360" s="21" t="str">
        <f t="shared" si="6"/>
        <v/>
      </c>
      <c r="S360" s="22"/>
      <c r="T360" s="22"/>
      <c r="U360" s="23" t="str">
        <f t="shared" si="7"/>
        <v/>
      </c>
      <c r="V360" s="21" t="str">
        <f t="shared" si="8"/>
        <v>#DIV/0!</v>
      </c>
      <c r="W360" s="24" t="str">
        <f t="shared" si="9"/>
        <v>#DIV/0!</v>
      </c>
      <c r="X360" s="24" t="str">
        <f t="shared" si="10"/>
        <v>#DIV/0!</v>
      </c>
      <c r="Y360" s="21" t="str">
        <f>IF(A360="","",SUMIFS('Labor Log'!$I$2:$I$2001,'Labor Log'!$A$2:$A$2001,A360))</f>
        <v/>
      </c>
      <c r="Z360" s="24" t="str">
        <f t="shared" si="11"/>
        <v>#DIV/0!</v>
      </c>
      <c r="AA360" s="21" t="str">
        <f>IF(A360="","",SUMIFS('Inventory &amp; COGS'!$H$2:$H$2001,'Inventory &amp; COGS'!$A$2:$A$2001,A360,'Inventory &amp; COGS'!$B$2:$B$2001,"Food"))</f>
        <v/>
      </c>
      <c r="AB360" s="21" t="str">
        <f>IF(A360="","",SUMIFS('Inventory &amp; COGS'!$H$2:$H$2001,'Inventory &amp; COGS'!$A$2:$A$2001,A360,'Inventory &amp; COGS'!$B$2:$B$2001,"Beverage"))</f>
        <v/>
      </c>
      <c r="AC360" s="21" t="str">
        <f t="shared" si="12"/>
        <v/>
      </c>
      <c r="AD360" s="24" t="str">
        <f t="shared" ref="AD360:AE360" si="375">IF(I360=0,"",AA360/I360)</f>
        <v/>
      </c>
      <c r="AE360" s="24" t="str">
        <f t="shared" si="375"/>
        <v/>
      </c>
      <c r="AF360" s="21" t="str">
        <f t="shared" si="14"/>
        <v/>
      </c>
      <c r="AG360" s="24" t="str">
        <f t="shared" si="15"/>
        <v>#DIV/0!</v>
      </c>
      <c r="AH360" s="25" t="str">
        <f t="shared" si="16"/>
        <v/>
      </c>
      <c r="AI360" s="25" t="str">
        <f t="shared" si="17"/>
        <v/>
      </c>
      <c r="AJ360" s="26" t="str">
        <f t="shared" si="18"/>
        <v/>
      </c>
    </row>
    <row r="361" ht="15.75" customHeight="1">
      <c r="A361" s="3"/>
      <c r="B361" s="18" t="str">
        <f t="shared" si="2"/>
        <v/>
      </c>
      <c r="C361" s="19"/>
      <c r="D361" s="19"/>
      <c r="E361" s="19"/>
      <c r="F361" s="20"/>
      <c r="G361" s="20"/>
      <c r="H361" s="21" t="str">
        <f t="shared" si="3"/>
        <v/>
      </c>
      <c r="I361" s="20"/>
      <c r="J361" s="20"/>
      <c r="K361" s="20"/>
      <c r="L361" s="20"/>
      <c r="M361" s="21" t="str">
        <f t="shared" si="4"/>
        <v/>
      </c>
      <c r="N361" s="20"/>
      <c r="O361" s="20"/>
      <c r="P361" s="20"/>
      <c r="Q361" s="21" t="str">
        <f t="shared" si="5"/>
        <v/>
      </c>
      <c r="R361" s="21" t="str">
        <f t="shared" si="6"/>
        <v/>
      </c>
      <c r="S361" s="22"/>
      <c r="T361" s="22"/>
      <c r="U361" s="23" t="str">
        <f t="shared" si="7"/>
        <v/>
      </c>
      <c r="V361" s="21" t="str">
        <f t="shared" si="8"/>
        <v>#DIV/0!</v>
      </c>
      <c r="W361" s="24" t="str">
        <f t="shared" si="9"/>
        <v>#DIV/0!</v>
      </c>
      <c r="X361" s="24" t="str">
        <f t="shared" si="10"/>
        <v>#DIV/0!</v>
      </c>
      <c r="Y361" s="21" t="str">
        <f>IF(A361="","",SUMIFS('Labor Log'!$I$2:$I$2001,'Labor Log'!$A$2:$A$2001,A361))</f>
        <v/>
      </c>
      <c r="Z361" s="24" t="str">
        <f t="shared" si="11"/>
        <v>#DIV/0!</v>
      </c>
      <c r="AA361" s="21" t="str">
        <f>IF(A361="","",SUMIFS('Inventory &amp; COGS'!$H$2:$H$2001,'Inventory &amp; COGS'!$A$2:$A$2001,A361,'Inventory &amp; COGS'!$B$2:$B$2001,"Food"))</f>
        <v/>
      </c>
      <c r="AB361" s="21" t="str">
        <f>IF(A361="","",SUMIFS('Inventory &amp; COGS'!$H$2:$H$2001,'Inventory &amp; COGS'!$A$2:$A$2001,A361,'Inventory &amp; COGS'!$B$2:$B$2001,"Beverage"))</f>
        <v/>
      </c>
      <c r="AC361" s="21" t="str">
        <f t="shared" si="12"/>
        <v/>
      </c>
      <c r="AD361" s="24" t="str">
        <f t="shared" ref="AD361:AE361" si="376">IF(I361=0,"",AA361/I361)</f>
        <v/>
      </c>
      <c r="AE361" s="24" t="str">
        <f t="shared" si="376"/>
        <v/>
      </c>
      <c r="AF361" s="21" t="str">
        <f t="shared" si="14"/>
        <v/>
      </c>
      <c r="AG361" s="24" t="str">
        <f t="shared" si="15"/>
        <v>#DIV/0!</v>
      </c>
      <c r="AH361" s="25" t="str">
        <f t="shared" si="16"/>
        <v/>
      </c>
      <c r="AI361" s="25" t="str">
        <f t="shared" si="17"/>
        <v/>
      </c>
      <c r="AJ361" s="26" t="str">
        <f t="shared" si="18"/>
        <v/>
      </c>
    </row>
    <row r="362" ht="15.75" customHeight="1">
      <c r="A362" s="3"/>
      <c r="B362" s="18" t="str">
        <f t="shared" si="2"/>
        <v/>
      </c>
      <c r="C362" s="19"/>
      <c r="D362" s="19"/>
      <c r="E362" s="19"/>
      <c r="F362" s="20"/>
      <c r="G362" s="20"/>
      <c r="H362" s="21" t="str">
        <f t="shared" si="3"/>
        <v/>
      </c>
      <c r="I362" s="20"/>
      <c r="J362" s="20"/>
      <c r="K362" s="20"/>
      <c r="L362" s="20"/>
      <c r="M362" s="21" t="str">
        <f t="shared" si="4"/>
        <v/>
      </c>
      <c r="N362" s="20"/>
      <c r="O362" s="20"/>
      <c r="P362" s="20"/>
      <c r="Q362" s="21" t="str">
        <f t="shared" si="5"/>
        <v/>
      </c>
      <c r="R362" s="21" t="str">
        <f t="shared" si="6"/>
        <v/>
      </c>
      <c r="S362" s="22"/>
      <c r="T362" s="22"/>
      <c r="U362" s="23" t="str">
        <f t="shared" si="7"/>
        <v/>
      </c>
      <c r="V362" s="21" t="str">
        <f t="shared" si="8"/>
        <v>#DIV/0!</v>
      </c>
      <c r="W362" s="24" t="str">
        <f t="shared" si="9"/>
        <v>#DIV/0!</v>
      </c>
      <c r="X362" s="24" t="str">
        <f t="shared" si="10"/>
        <v>#DIV/0!</v>
      </c>
      <c r="Y362" s="21" t="str">
        <f>IF(A362="","",SUMIFS('Labor Log'!$I$2:$I$2001,'Labor Log'!$A$2:$A$2001,A362))</f>
        <v/>
      </c>
      <c r="Z362" s="24" t="str">
        <f t="shared" si="11"/>
        <v>#DIV/0!</v>
      </c>
      <c r="AA362" s="21" t="str">
        <f>IF(A362="","",SUMIFS('Inventory &amp; COGS'!$H$2:$H$2001,'Inventory &amp; COGS'!$A$2:$A$2001,A362,'Inventory &amp; COGS'!$B$2:$B$2001,"Food"))</f>
        <v/>
      </c>
      <c r="AB362" s="21" t="str">
        <f>IF(A362="","",SUMIFS('Inventory &amp; COGS'!$H$2:$H$2001,'Inventory &amp; COGS'!$A$2:$A$2001,A362,'Inventory &amp; COGS'!$B$2:$B$2001,"Beverage"))</f>
        <v/>
      </c>
      <c r="AC362" s="21" t="str">
        <f t="shared" si="12"/>
        <v/>
      </c>
      <c r="AD362" s="24" t="str">
        <f t="shared" ref="AD362:AE362" si="377">IF(I362=0,"",AA362/I362)</f>
        <v/>
      </c>
      <c r="AE362" s="24" t="str">
        <f t="shared" si="377"/>
        <v/>
      </c>
      <c r="AF362" s="21" t="str">
        <f t="shared" si="14"/>
        <v/>
      </c>
      <c r="AG362" s="24" t="str">
        <f t="shared" si="15"/>
        <v>#DIV/0!</v>
      </c>
      <c r="AH362" s="25" t="str">
        <f t="shared" si="16"/>
        <v/>
      </c>
      <c r="AI362" s="25" t="str">
        <f t="shared" si="17"/>
        <v/>
      </c>
      <c r="AJ362" s="26" t="str">
        <f t="shared" si="18"/>
        <v/>
      </c>
    </row>
    <row r="363" ht="15.75" customHeight="1">
      <c r="A363" s="3"/>
      <c r="B363" s="18" t="str">
        <f t="shared" si="2"/>
        <v/>
      </c>
      <c r="C363" s="19"/>
      <c r="D363" s="19"/>
      <c r="E363" s="19"/>
      <c r="F363" s="20"/>
      <c r="G363" s="20"/>
      <c r="H363" s="21" t="str">
        <f t="shared" si="3"/>
        <v/>
      </c>
      <c r="I363" s="20"/>
      <c r="J363" s="20"/>
      <c r="K363" s="20"/>
      <c r="L363" s="20"/>
      <c r="M363" s="21" t="str">
        <f t="shared" si="4"/>
        <v/>
      </c>
      <c r="N363" s="20"/>
      <c r="O363" s="20"/>
      <c r="P363" s="20"/>
      <c r="Q363" s="21" t="str">
        <f t="shared" si="5"/>
        <v/>
      </c>
      <c r="R363" s="21" t="str">
        <f t="shared" si="6"/>
        <v/>
      </c>
      <c r="S363" s="22"/>
      <c r="T363" s="22"/>
      <c r="U363" s="23" t="str">
        <f t="shared" si="7"/>
        <v/>
      </c>
      <c r="V363" s="21" t="str">
        <f t="shared" si="8"/>
        <v>#DIV/0!</v>
      </c>
      <c r="W363" s="24" t="str">
        <f t="shared" si="9"/>
        <v>#DIV/0!</v>
      </c>
      <c r="X363" s="24" t="str">
        <f t="shared" si="10"/>
        <v>#DIV/0!</v>
      </c>
      <c r="Y363" s="21" t="str">
        <f>IF(A363="","",SUMIFS('Labor Log'!$I$2:$I$2001,'Labor Log'!$A$2:$A$2001,A363))</f>
        <v/>
      </c>
      <c r="Z363" s="24" t="str">
        <f t="shared" si="11"/>
        <v>#DIV/0!</v>
      </c>
      <c r="AA363" s="21" t="str">
        <f>IF(A363="","",SUMIFS('Inventory &amp; COGS'!$H$2:$H$2001,'Inventory &amp; COGS'!$A$2:$A$2001,A363,'Inventory &amp; COGS'!$B$2:$B$2001,"Food"))</f>
        <v/>
      </c>
      <c r="AB363" s="21" t="str">
        <f>IF(A363="","",SUMIFS('Inventory &amp; COGS'!$H$2:$H$2001,'Inventory &amp; COGS'!$A$2:$A$2001,A363,'Inventory &amp; COGS'!$B$2:$B$2001,"Beverage"))</f>
        <v/>
      </c>
      <c r="AC363" s="21" t="str">
        <f t="shared" si="12"/>
        <v/>
      </c>
      <c r="AD363" s="24" t="str">
        <f t="shared" ref="AD363:AE363" si="378">IF(I363=0,"",AA363/I363)</f>
        <v/>
      </c>
      <c r="AE363" s="24" t="str">
        <f t="shared" si="378"/>
        <v/>
      </c>
      <c r="AF363" s="21" t="str">
        <f t="shared" si="14"/>
        <v/>
      </c>
      <c r="AG363" s="24" t="str">
        <f t="shared" si="15"/>
        <v>#DIV/0!</v>
      </c>
      <c r="AH363" s="25" t="str">
        <f t="shared" si="16"/>
        <v/>
      </c>
      <c r="AI363" s="25" t="str">
        <f t="shared" si="17"/>
        <v/>
      </c>
      <c r="AJ363" s="26" t="str">
        <f t="shared" si="18"/>
        <v/>
      </c>
    </row>
    <row r="364" ht="15.75" customHeight="1">
      <c r="A364" s="3"/>
      <c r="B364" s="18" t="str">
        <f t="shared" si="2"/>
        <v/>
      </c>
      <c r="C364" s="19"/>
      <c r="D364" s="19"/>
      <c r="E364" s="19"/>
      <c r="F364" s="20"/>
      <c r="G364" s="20"/>
      <c r="H364" s="21" t="str">
        <f t="shared" si="3"/>
        <v/>
      </c>
      <c r="I364" s="20"/>
      <c r="J364" s="20"/>
      <c r="K364" s="20"/>
      <c r="L364" s="20"/>
      <c r="M364" s="21" t="str">
        <f t="shared" si="4"/>
        <v/>
      </c>
      <c r="N364" s="20"/>
      <c r="O364" s="20"/>
      <c r="P364" s="20"/>
      <c r="Q364" s="21" t="str">
        <f t="shared" si="5"/>
        <v/>
      </c>
      <c r="R364" s="21" t="str">
        <f t="shared" si="6"/>
        <v/>
      </c>
      <c r="S364" s="22"/>
      <c r="T364" s="22"/>
      <c r="U364" s="23" t="str">
        <f t="shared" si="7"/>
        <v/>
      </c>
      <c r="V364" s="21" t="str">
        <f t="shared" si="8"/>
        <v>#DIV/0!</v>
      </c>
      <c r="W364" s="24" t="str">
        <f t="shared" si="9"/>
        <v>#DIV/0!</v>
      </c>
      <c r="X364" s="24" t="str">
        <f t="shared" si="10"/>
        <v>#DIV/0!</v>
      </c>
      <c r="Y364" s="21" t="str">
        <f>IF(A364="","",SUMIFS('Labor Log'!$I$2:$I$2001,'Labor Log'!$A$2:$A$2001,A364))</f>
        <v/>
      </c>
      <c r="Z364" s="24" t="str">
        <f t="shared" si="11"/>
        <v>#DIV/0!</v>
      </c>
      <c r="AA364" s="21" t="str">
        <f>IF(A364="","",SUMIFS('Inventory &amp; COGS'!$H$2:$H$2001,'Inventory &amp; COGS'!$A$2:$A$2001,A364,'Inventory &amp; COGS'!$B$2:$B$2001,"Food"))</f>
        <v/>
      </c>
      <c r="AB364" s="21" t="str">
        <f>IF(A364="","",SUMIFS('Inventory &amp; COGS'!$H$2:$H$2001,'Inventory &amp; COGS'!$A$2:$A$2001,A364,'Inventory &amp; COGS'!$B$2:$B$2001,"Beverage"))</f>
        <v/>
      </c>
      <c r="AC364" s="21" t="str">
        <f t="shared" si="12"/>
        <v/>
      </c>
      <c r="AD364" s="24" t="str">
        <f t="shared" ref="AD364:AE364" si="379">IF(I364=0,"",AA364/I364)</f>
        <v/>
      </c>
      <c r="AE364" s="24" t="str">
        <f t="shared" si="379"/>
        <v/>
      </c>
      <c r="AF364" s="21" t="str">
        <f t="shared" si="14"/>
        <v/>
      </c>
      <c r="AG364" s="24" t="str">
        <f t="shared" si="15"/>
        <v>#DIV/0!</v>
      </c>
      <c r="AH364" s="25" t="str">
        <f t="shared" si="16"/>
        <v/>
      </c>
      <c r="AI364" s="25" t="str">
        <f t="shared" si="17"/>
        <v/>
      </c>
      <c r="AJ364" s="26" t="str">
        <f t="shared" si="18"/>
        <v/>
      </c>
    </row>
    <row r="365" ht="15.75" customHeight="1">
      <c r="A365" s="3"/>
      <c r="B365" s="18" t="str">
        <f t="shared" si="2"/>
        <v/>
      </c>
      <c r="C365" s="19"/>
      <c r="D365" s="19"/>
      <c r="E365" s="19"/>
      <c r="F365" s="20"/>
      <c r="G365" s="20"/>
      <c r="H365" s="21" t="str">
        <f t="shared" si="3"/>
        <v/>
      </c>
      <c r="I365" s="20"/>
      <c r="J365" s="20"/>
      <c r="K365" s="20"/>
      <c r="L365" s="20"/>
      <c r="M365" s="21" t="str">
        <f t="shared" si="4"/>
        <v/>
      </c>
      <c r="N365" s="20"/>
      <c r="O365" s="20"/>
      <c r="P365" s="20"/>
      <c r="Q365" s="21" t="str">
        <f t="shared" si="5"/>
        <v/>
      </c>
      <c r="R365" s="21" t="str">
        <f t="shared" si="6"/>
        <v/>
      </c>
      <c r="S365" s="22"/>
      <c r="T365" s="22"/>
      <c r="U365" s="23" t="str">
        <f t="shared" si="7"/>
        <v/>
      </c>
      <c r="V365" s="21" t="str">
        <f t="shared" si="8"/>
        <v>#DIV/0!</v>
      </c>
      <c r="W365" s="24" t="str">
        <f t="shared" si="9"/>
        <v>#DIV/0!</v>
      </c>
      <c r="X365" s="24" t="str">
        <f t="shared" si="10"/>
        <v>#DIV/0!</v>
      </c>
      <c r="Y365" s="21" t="str">
        <f>IF(A365="","",SUMIFS('Labor Log'!$I$2:$I$2001,'Labor Log'!$A$2:$A$2001,A365))</f>
        <v/>
      </c>
      <c r="Z365" s="24" t="str">
        <f t="shared" si="11"/>
        <v>#DIV/0!</v>
      </c>
      <c r="AA365" s="21" t="str">
        <f>IF(A365="","",SUMIFS('Inventory &amp; COGS'!$H$2:$H$2001,'Inventory &amp; COGS'!$A$2:$A$2001,A365,'Inventory &amp; COGS'!$B$2:$B$2001,"Food"))</f>
        <v/>
      </c>
      <c r="AB365" s="21" t="str">
        <f>IF(A365="","",SUMIFS('Inventory &amp; COGS'!$H$2:$H$2001,'Inventory &amp; COGS'!$A$2:$A$2001,A365,'Inventory &amp; COGS'!$B$2:$B$2001,"Beverage"))</f>
        <v/>
      </c>
      <c r="AC365" s="21" t="str">
        <f t="shared" si="12"/>
        <v/>
      </c>
      <c r="AD365" s="24" t="str">
        <f t="shared" ref="AD365:AE365" si="380">IF(I365=0,"",AA365/I365)</f>
        <v/>
      </c>
      <c r="AE365" s="24" t="str">
        <f t="shared" si="380"/>
        <v/>
      </c>
      <c r="AF365" s="21" t="str">
        <f t="shared" si="14"/>
        <v/>
      </c>
      <c r="AG365" s="24" t="str">
        <f t="shared" si="15"/>
        <v>#DIV/0!</v>
      </c>
      <c r="AH365" s="25" t="str">
        <f t="shared" si="16"/>
        <v/>
      </c>
      <c r="AI365" s="25" t="str">
        <f t="shared" si="17"/>
        <v/>
      </c>
      <c r="AJ365" s="26" t="str">
        <f t="shared" si="18"/>
        <v/>
      </c>
    </row>
    <row r="366" ht="15.75" customHeight="1">
      <c r="A366" s="3"/>
      <c r="B366" s="18" t="str">
        <f t="shared" si="2"/>
        <v/>
      </c>
      <c r="C366" s="19"/>
      <c r="D366" s="19"/>
      <c r="E366" s="19"/>
      <c r="F366" s="20"/>
      <c r="G366" s="20"/>
      <c r="H366" s="21" t="str">
        <f t="shared" si="3"/>
        <v/>
      </c>
      <c r="I366" s="20"/>
      <c r="J366" s="20"/>
      <c r="K366" s="20"/>
      <c r="L366" s="20"/>
      <c r="M366" s="21" t="str">
        <f t="shared" si="4"/>
        <v/>
      </c>
      <c r="N366" s="20"/>
      <c r="O366" s="20"/>
      <c r="P366" s="20"/>
      <c r="Q366" s="21" t="str">
        <f t="shared" si="5"/>
        <v/>
      </c>
      <c r="R366" s="21" t="str">
        <f t="shared" si="6"/>
        <v/>
      </c>
      <c r="S366" s="22"/>
      <c r="T366" s="22"/>
      <c r="U366" s="23" t="str">
        <f t="shared" si="7"/>
        <v/>
      </c>
      <c r="V366" s="21" t="str">
        <f t="shared" si="8"/>
        <v>#DIV/0!</v>
      </c>
      <c r="W366" s="24" t="str">
        <f t="shared" si="9"/>
        <v>#DIV/0!</v>
      </c>
      <c r="X366" s="24" t="str">
        <f t="shared" si="10"/>
        <v>#DIV/0!</v>
      </c>
      <c r="Y366" s="21" t="str">
        <f>IF(A366="","",SUMIFS('Labor Log'!$I$2:$I$2001,'Labor Log'!$A$2:$A$2001,A366))</f>
        <v/>
      </c>
      <c r="Z366" s="24" t="str">
        <f t="shared" si="11"/>
        <v>#DIV/0!</v>
      </c>
      <c r="AA366" s="21" t="str">
        <f>IF(A366="","",SUMIFS('Inventory &amp; COGS'!$H$2:$H$2001,'Inventory &amp; COGS'!$A$2:$A$2001,A366,'Inventory &amp; COGS'!$B$2:$B$2001,"Food"))</f>
        <v/>
      </c>
      <c r="AB366" s="21" t="str">
        <f>IF(A366="","",SUMIFS('Inventory &amp; COGS'!$H$2:$H$2001,'Inventory &amp; COGS'!$A$2:$A$2001,A366,'Inventory &amp; COGS'!$B$2:$B$2001,"Beverage"))</f>
        <v/>
      </c>
      <c r="AC366" s="21" t="str">
        <f t="shared" si="12"/>
        <v/>
      </c>
      <c r="AD366" s="24" t="str">
        <f t="shared" ref="AD366:AE366" si="381">IF(I366=0,"",AA366/I366)</f>
        <v/>
      </c>
      <c r="AE366" s="24" t="str">
        <f t="shared" si="381"/>
        <v/>
      </c>
      <c r="AF366" s="21" t="str">
        <f t="shared" si="14"/>
        <v/>
      </c>
      <c r="AG366" s="24" t="str">
        <f t="shared" si="15"/>
        <v>#DIV/0!</v>
      </c>
      <c r="AH366" s="25" t="str">
        <f t="shared" si="16"/>
        <v/>
      </c>
      <c r="AI366" s="25" t="str">
        <f t="shared" si="17"/>
        <v/>
      </c>
      <c r="AJ366" s="26" t="str">
        <f t="shared" si="18"/>
        <v/>
      </c>
    </row>
    <row r="367" ht="15.75" customHeight="1">
      <c r="A367" s="3"/>
      <c r="B367" s="18" t="str">
        <f t="shared" si="2"/>
        <v/>
      </c>
      <c r="C367" s="19"/>
      <c r="D367" s="19"/>
      <c r="E367" s="19"/>
      <c r="F367" s="20"/>
      <c r="G367" s="20"/>
      <c r="H367" s="21" t="str">
        <f t="shared" si="3"/>
        <v/>
      </c>
      <c r="I367" s="20"/>
      <c r="J367" s="20"/>
      <c r="K367" s="20"/>
      <c r="L367" s="20"/>
      <c r="M367" s="21" t="str">
        <f t="shared" si="4"/>
        <v/>
      </c>
      <c r="N367" s="20"/>
      <c r="O367" s="20"/>
      <c r="P367" s="20"/>
      <c r="Q367" s="21" t="str">
        <f t="shared" si="5"/>
        <v/>
      </c>
      <c r="R367" s="21" t="str">
        <f t="shared" si="6"/>
        <v/>
      </c>
      <c r="S367" s="22"/>
      <c r="T367" s="22"/>
      <c r="U367" s="23" t="str">
        <f t="shared" si="7"/>
        <v/>
      </c>
      <c r="V367" s="21" t="str">
        <f t="shared" si="8"/>
        <v>#DIV/0!</v>
      </c>
      <c r="W367" s="24" t="str">
        <f t="shared" si="9"/>
        <v>#DIV/0!</v>
      </c>
      <c r="X367" s="24" t="str">
        <f t="shared" si="10"/>
        <v>#DIV/0!</v>
      </c>
      <c r="Y367" s="21" t="str">
        <f>IF(A367="","",SUMIFS('Labor Log'!$I$2:$I$2001,'Labor Log'!$A$2:$A$2001,A367))</f>
        <v/>
      </c>
      <c r="Z367" s="24" t="str">
        <f t="shared" si="11"/>
        <v>#DIV/0!</v>
      </c>
      <c r="AA367" s="21" t="str">
        <f>IF(A367="","",SUMIFS('Inventory &amp; COGS'!$H$2:$H$2001,'Inventory &amp; COGS'!$A$2:$A$2001,A367,'Inventory &amp; COGS'!$B$2:$B$2001,"Food"))</f>
        <v/>
      </c>
      <c r="AB367" s="21" t="str">
        <f>IF(A367="","",SUMIFS('Inventory &amp; COGS'!$H$2:$H$2001,'Inventory &amp; COGS'!$A$2:$A$2001,A367,'Inventory &amp; COGS'!$B$2:$B$2001,"Beverage"))</f>
        <v/>
      </c>
      <c r="AC367" s="21" t="str">
        <f t="shared" si="12"/>
        <v/>
      </c>
      <c r="AD367" s="24" t="str">
        <f t="shared" ref="AD367:AE367" si="382">IF(I367=0,"",AA367/I367)</f>
        <v/>
      </c>
      <c r="AE367" s="24" t="str">
        <f t="shared" si="382"/>
        <v/>
      </c>
      <c r="AF367" s="21" t="str">
        <f t="shared" si="14"/>
        <v/>
      </c>
      <c r="AG367" s="24" t="str">
        <f t="shared" si="15"/>
        <v>#DIV/0!</v>
      </c>
      <c r="AH367" s="25" t="str">
        <f t="shared" si="16"/>
        <v/>
      </c>
      <c r="AI367" s="25" t="str">
        <f t="shared" si="17"/>
        <v/>
      </c>
      <c r="AJ367" s="26" t="str">
        <f t="shared" si="18"/>
        <v/>
      </c>
    </row>
    <row r="368" ht="15.75" customHeight="1">
      <c r="A368" s="3"/>
      <c r="B368" s="18" t="str">
        <f t="shared" si="2"/>
        <v/>
      </c>
      <c r="C368" s="19"/>
      <c r="D368" s="19"/>
      <c r="E368" s="19"/>
      <c r="F368" s="20"/>
      <c r="G368" s="20"/>
      <c r="H368" s="21" t="str">
        <f t="shared" si="3"/>
        <v/>
      </c>
      <c r="I368" s="20"/>
      <c r="J368" s="20"/>
      <c r="K368" s="20"/>
      <c r="L368" s="20"/>
      <c r="M368" s="21" t="str">
        <f t="shared" si="4"/>
        <v/>
      </c>
      <c r="N368" s="20"/>
      <c r="O368" s="20"/>
      <c r="P368" s="20"/>
      <c r="Q368" s="21" t="str">
        <f t="shared" si="5"/>
        <v/>
      </c>
      <c r="R368" s="21" t="str">
        <f t="shared" si="6"/>
        <v/>
      </c>
      <c r="S368" s="22"/>
      <c r="T368" s="22"/>
      <c r="U368" s="23" t="str">
        <f t="shared" si="7"/>
        <v/>
      </c>
      <c r="V368" s="21" t="str">
        <f t="shared" si="8"/>
        <v>#DIV/0!</v>
      </c>
      <c r="W368" s="24" t="str">
        <f t="shared" si="9"/>
        <v>#DIV/0!</v>
      </c>
      <c r="X368" s="24" t="str">
        <f t="shared" si="10"/>
        <v>#DIV/0!</v>
      </c>
      <c r="Y368" s="21" t="str">
        <f>IF(A368="","",SUMIFS('Labor Log'!$I$2:$I$2001,'Labor Log'!$A$2:$A$2001,A368))</f>
        <v/>
      </c>
      <c r="Z368" s="24" t="str">
        <f t="shared" si="11"/>
        <v>#DIV/0!</v>
      </c>
      <c r="AA368" s="21" t="str">
        <f>IF(A368="","",SUMIFS('Inventory &amp; COGS'!$H$2:$H$2001,'Inventory &amp; COGS'!$A$2:$A$2001,A368,'Inventory &amp; COGS'!$B$2:$B$2001,"Food"))</f>
        <v/>
      </c>
      <c r="AB368" s="21" t="str">
        <f>IF(A368="","",SUMIFS('Inventory &amp; COGS'!$H$2:$H$2001,'Inventory &amp; COGS'!$A$2:$A$2001,A368,'Inventory &amp; COGS'!$B$2:$B$2001,"Beverage"))</f>
        <v/>
      </c>
      <c r="AC368" s="21" t="str">
        <f t="shared" si="12"/>
        <v/>
      </c>
      <c r="AD368" s="24" t="str">
        <f t="shared" ref="AD368:AE368" si="383">IF(I368=0,"",AA368/I368)</f>
        <v/>
      </c>
      <c r="AE368" s="24" t="str">
        <f t="shared" si="383"/>
        <v/>
      </c>
      <c r="AF368" s="21" t="str">
        <f t="shared" si="14"/>
        <v/>
      </c>
      <c r="AG368" s="24" t="str">
        <f t="shared" si="15"/>
        <v>#DIV/0!</v>
      </c>
      <c r="AH368" s="25" t="str">
        <f t="shared" si="16"/>
        <v/>
      </c>
      <c r="AI368" s="25" t="str">
        <f t="shared" si="17"/>
        <v/>
      </c>
      <c r="AJ368" s="26" t="str">
        <f t="shared" si="18"/>
        <v/>
      </c>
    </row>
    <row r="369" ht="15.75" customHeight="1">
      <c r="A369" s="3"/>
      <c r="B369" s="18" t="str">
        <f t="shared" si="2"/>
        <v/>
      </c>
      <c r="C369" s="19"/>
      <c r="D369" s="19"/>
      <c r="E369" s="19"/>
      <c r="F369" s="20"/>
      <c r="G369" s="20"/>
      <c r="H369" s="21" t="str">
        <f t="shared" si="3"/>
        <v/>
      </c>
      <c r="I369" s="20"/>
      <c r="J369" s="20"/>
      <c r="K369" s="20"/>
      <c r="L369" s="20"/>
      <c r="M369" s="21" t="str">
        <f t="shared" si="4"/>
        <v/>
      </c>
      <c r="N369" s="20"/>
      <c r="O369" s="20"/>
      <c r="P369" s="20"/>
      <c r="Q369" s="21" t="str">
        <f t="shared" si="5"/>
        <v/>
      </c>
      <c r="R369" s="21" t="str">
        <f t="shared" si="6"/>
        <v/>
      </c>
      <c r="S369" s="22"/>
      <c r="T369" s="22"/>
      <c r="U369" s="23" t="str">
        <f t="shared" si="7"/>
        <v/>
      </c>
      <c r="V369" s="21" t="str">
        <f t="shared" si="8"/>
        <v>#DIV/0!</v>
      </c>
      <c r="W369" s="24" t="str">
        <f t="shared" si="9"/>
        <v>#DIV/0!</v>
      </c>
      <c r="X369" s="24" t="str">
        <f t="shared" si="10"/>
        <v>#DIV/0!</v>
      </c>
      <c r="Y369" s="21" t="str">
        <f>IF(A369="","",SUMIFS('Labor Log'!$I$2:$I$2001,'Labor Log'!$A$2:$A$2001,A369))</f>
        <v/>
      </c>
      <c r="Z369" s="24" t="str">
        <f t="shared" si="11"/>
        <v>#DIV/0!</v>
      </c>
      <c r="AA369" s="21" t="str">
        <f>IF(A369="","",SUMIFS('Inventory &amp; COGS'!$H$2:$H$2001,'Inventory &amp; COGS'!$A$2:$A$2001,A369,'Inventory &amp; COGS'!$B$2:$B$2001,"Food"))</f>
        <v/>
      </c>
      <c r="AB369" s="21" t="str">
        <f>IF(A369="","",SUMIFS('Inventory &amp; COGS'!$H$2:$H$2001,'Inventory &amp; COGS'!$A$2:$A$2001,A369,'Inventory &amp; COGS'!$B$2:$B$2001,"Beverage"))</f>
        <v/>
      </c>
      <c r="AC369" s="21" t="str">
        <f t="shared" si="12"/>
        <v/>
      </c>
      <c r="AD369" s="24" t="str">
        <f t="shared" ref="AD369:AE369" si="384">IF(I369=0,"",AA369/I369)</f>
        <v/>
      </c>
      <c r="AE369" s="24" t="str">
        <f t="shared" si="384"/>
        <v/>
      </c>
      <c r="AF369" s="21" t="str">
        <f t="shared" si="14"/>
        <v/>
      </c>
      <c r="AG369" s="24" t="str">
        <f t="shared" si="15"/>
        <v>#DIV/0!</v>
      </c>
      <c r="AH369" s="25" t="str">
        <f t="shared" si="16"/>
        <v/>
      </c>
      <c r="AI369" s="25" t="str">
        <f t="shared" si="17"/>
        <v/>
      </c>
      <c r="AJ369" s="26" t="str">
        <f t="shared" si="18"/>
        <v/>
      </c>
    </row>
    <row r="370" ht="15.75" customHeight="1">
      <c r="A370" s="3"/>
      <c r="B370" s="18" t="str">
        <f t="shared" si="2"/>
        <v/>
      </c>
      <c r="C370" s="19"/>
      <c r="D370" s="19"/>
      <c r="E370" s="19"/>
      <c r="F370" s="20"/>
      <c r="G370" s="20"/>
      <c r="H370" s="21" t="str">
        <f t="shared" si="3"/>
        <v/>
      </c>
      <c r="I370" s="20"/>
      <c r="J370" s="20"/>
      <c r="K370" s="20"/>
      <c r="L370" s="20"/>
      <c r="M370" s="21" t="str">
        <f t="shared" si="4"/>
        <v/>
      </c>
      <c r="N370" s="20"/>
      <c r="O370" s="20"/>
      <c r="P370" s="20"/>
      <c r="Q370" s="21" t="str">
        <f t="shared" si="5"/>
        <v/>
      </c>
      <c r="R370" s="21" t="str">
        <f t="shared" si="6"/>
        <v/>
      </c>
      <c r="S370" s="22"/>
      <c r="T370" s="22"/>
      <c r="U370" s="23" t="str">
        <f t="shared" si="7"/>
        <v/>
      </c>
      <c r="V370" s="21" t="str">
        <f t="shared" si="8"/>
        <v>#DIV/0!</v>
      </c>
      <c r="W370" s="24" t="str">
        <f t="shared" si="9"/>
        <v>#DIV/0!</v>
      </c>
      <c r="X370" s="24" t="str">
        <f t="shared" si="10"/>
        <v>#DIV/0!</v>
      </c>
      <c r="Y370" s="21" t="str">
        <f>IF(A370="","",SUMIFS('Labor Log'!$I$2:$I$2001,'Labor Log'!$A$2:$A$2001,A370))</f>
        <v/>
      </c>
      <c r="Z370" s="24" t="str">
        <f t="shared" si="11"/>
        <v>#DIV/0!</v>
      </c>
      <c r="AA370" s="21" t="str">
        <f>IF(A370="","",SUMIFS('Inventory &amp; COGS'!$H$2:$H$2001,'Inventory &amp; COGS'!$A$2:$A$2001,A370,'Inventory &amp; COGS'!$B$2:$B$2001,"Food"))</f>
        <v/>
      </c>
      <c r="AB370" s="21" t="str">
        <f>IF(A370="","",SUMIFS('Inventory &amp; COGS'!$H$2:$H$2001,'Inventory &amp; COGS'!$A$2:$A$2001,A370,'Inventory &amp; COGS'!$B$2:$B$2001,"Beverage"))</f>
        <v/>
      </c>
      <c r="AC370" s="21" t="str">
        <f t="shared" si="12"/>
        <v/>
      </c>
      <c r="AD370" s="24" t="str">
        <f t="shared" ref="AD370:AE370" si="385">IF(I370=0,"",AA370/I370)</f>
        <v/>
      </c>
      <c r="AE370" s="24" t="str">
        <f t="shared" si="385"/>
        <v/>
      </c>
      <c r="AF370" s="21" t="str">
        <f t="shared" si="14"/>
        <v/>
      </c>
      <c r="AG370" s="24" t="str">
        <f t="shared" si="15"/>
        <v>#DIV/0!</v>
      </c>
      <c r="AH370" s="25" t="str">
        <f t="shared" si="16"/>
        <v/>
      </c>
      <c r="AI370" s="25" t="str">
        <f t="shared" si="17"/>
        <v/>
      </c>
      <c r="AJ370" s="26" t="str">
        <f t="shared" si="18"/>
        <v/>
      </c>
    </row>
    <row r="371" ht="15.75" customHeight="1">
      <c r="A371" s="3"/>
      <c r="B371" s="18" t="str">
        <f t="shared" si="2"/>
        <v/>
      </c>
      <c r="C371" s="19"/>
      <c r="D371" s="19"/>
      <c r="E371" s="19"/>
      <c r="F371" s="20"/>
      <c r="G371" s="20"/>
      <c r="H371" s="21" t="str">
        <f t="shared" si="3"/>
        <v/>
      </c>
      <c r="I371" s="20"/>
      <c r="J371" s="20"/>
      <c r="K371" s="20"/>
      <c r="L371" s="20"/>
      <c r="M371" s="21" t="str">
        <f t="shared" si="4"/>
        <v/>
      </c>
      <c r="N371" s="20"/>
      <c r="O371" s="20"/>
      <c r="P371" s="20"/>
      <c r="Q371" s="21" t="str">
        <f t="shared" si="5"/>
        <v/>
      </c>
      <c r="R371" s="21" t="str">
        <f t="shared" si="6"/>
        <v/>
      </c>
      <c r="S371" s="22"/>
      <c r="T371" s="22"/>
      <c r="U371" s="23" t="str">
        <f t="shared" si="7"/>
        <v/>
      </c>
      <c r="V371" s="21" t="str">
        <f t="shared" si="8"/>
        <v>#DIV/0!</v>
      </c>
      <c r="W371" s="24" t="str">
        <f t="shared" si="9"/>
        <v>#DIV/0!</v>
      </c>
      <c r="X371" s="24" t="str">
        <f t="shared" si="10"/>
        <v>#DIV/0!</v>
      </c>
      <c r="Y371" s="21" t="str">
        <f>IF(A371="","",SUMIFS('Labor Log'!$I$2:$I$2001,'Labor Log'!$A$2:$A$2001,A371))</f>
        <v/>
      </c>
      <c r="Z371" s="24" t="str">
        <f t="shared" si="11"/>
        <v>#DIV/0!</v>
      </c>
      <c r="AA371" s="21" t="str">
        <f>IF(A371="","",SUMIFS('Inventory &amp; COGS'!$H$2:$H$2001,'Inventory &amp; COGS'!$A$2:$A$2001,A371,'Inventory &amp; COGS'!$B$2:$B$2001,"Food"))</f>
        <v/>
      </c>
      <c r="AB371" s="21" t="str">
        <f>IF(A371="","",SUMIFS('Inventory &amp; COGS'!$H$2:$H$2001,'Inventory &amp; COGS'!$A$2:$A$2001,A371,'Inventory &amp; COGS'!$B$2:$B$2001,"Beverage"))</f>
        <v/>
      </c>
      <c r="AC371" s="21" t="str">
        <f t="shared" si="12"/>
        <v/>
      </c>
      <c r="AD371" s="24" t="str">
        <f t="shared" ref="AD371:AE371" si="386">IF(I371=0,"",AA371/I371)</f>
        <v/>
      </c>
      <c r="AE371" s="24" t="str">
        <f t="shared" si="386"/>
        <v/>
      </c>
      <c r="AF371" s="21" t="str">
        <f t="shared" si="14"/>
        <v/>
      </c>
      <c r="AG371" s="24" t="str">
        <f t="shared" si="15"/>
        <v>#DIV/0!</v>
      </c>
      <c r="AH371" s="25" t="str">
        <f t="shared" si="16"/>
        <v/>
      </c>
      <c r="AI371" s="25" t="str">
        <f t="shared" si="17"/>
        <v/>
      </c>
      <c r="AJ371" s="26" t="str">
        <f t="shared" si="18"/>
        <v/>
      </c>
    </row>
    <row r="372" ht="15.75" customHeight="1">
      <c r="A372" s="3"/>
      <c r="B372" s="18" t="str">
        <f t="shared" si="2"/>
        <v/>
      </c>
      <c r="C372" s="19"/>
      <c r="D372" s="19"/>
      <c r="E372" s="19"/>
      <c r="F372" s="20"/>
      <c r="G372" s="20"/>
      <c r="H372" s="21" t="str">
        <f t="shared" si="3"/>
        <v/>
      </c>
      <c r="I372" s="20"/>
      <c r="J372" s="20"/>
      <c r="K372" s="20"/>
      <c r="L372" s="20"/>
      <c r="M372" s="21" t="str">
        <f t="shared" si="4"/>
        <v/>
      </c>
      <c r="N372" s="20"/>
      <c r="O372" s="20"/>
      <c r="P372" s="20"/>
      <c r="Q372" s="21" t="str">
        <f t="shared" si="5"/>
        <v/>
      </c>
      <c r="R372" s="21" t="str">
        <f t="shared" si="6"/>
        <v/>
      </c>
      <c r="S372" s="22"/>
      <c r="T372" s="22"/>
      <c r="U372" s="23" t="str">
        <f t="shared" si="7"/>
        <v/>
      </c>
      <c r="V372" s="21" t="str">
        <f t="shared" si="8"/>
        <v>#DIV/0!</v>
      </c>
      <c r="W372" s="24" t="str">
        <f t="shared" si="9"/>
        <v>#DIV/0!</v>
      </c>
      <c r="X372" s="24" t="str">
        <f t="shared" si="10"/>
        <v>#DIV/0!</v>
      </c>
      <c r="Y372" s="21" t="str">
        <f>IF(A372="","",SUMIFS('Labor Log'!$I$2:$I$2001,'Labor Log'!$A$2:$A$2001,A372))</f>
        <v/>
      </c>
      <c r="Z372" s="24" t="str">
        <f t="shared" si="11"/>
        <v>#DIV/0!</v>
      </c>
      <c r="AA372" s="21" t="str">
        <f>IF(A372="","",SUMIFS('Inventory &amp; COGS'!$H$2:$H$2001,'Inventory &amp; COGS'!$A$2:$A$2001,A372,'Inventory &amp; COGS'!$B$2:$B$2001,"Food"))</f>
        <v/>
      </c>
      <c r="AB372" s="21" t="str">
        <f>IF(A372="","",SUMIFS('Inventory &amp; COGS'!$H$2:$H$2001,'Inventory &amp; COGS'!$A$2:$A$2001,A372,'Inventory &amp; COGS'!$B$2:$B$2001,"Beverage"))</f>
        <v/>
      </c>
      <c r="AC372" s="21" t="str">
        <f t="shared" si="12"/>
        <v/>
      </c>
      <c r="AD372" s="24" t="str">
        <f t="shared" ref="AD372:AE372" si="387">IF(I372=0,"",AA372/I372)</f>
        <v/>
      </c>
      <c r="AE372" s="24" t="str">
        <f t="shared" si="387"/>
        <v/>
      </c>
      <c r="AF372" s="21" t="str">
        <f t="shared" si="14"/>
        <v/>
      </c>
      <c r="AG372" s="24" t="str">
        <f t="shared" si="15"/>
        <v>#DIV/0!</v>
      </c>
      <c r="AH372" s="25" t="str">
        <f t="shared" si="16"/>
        <v/>
      </c>
      <c r="AI372" s="25" t="str">
        <f t="shared" si="17"/>
        <v/>
      </c>
      <c r="AJ372" s="26" t="str">
        <f t="shared" si="18"/>
        <v/>
      </c>
    </row>
    <row r="373" ht="15.75" customHeight="1">
      <c r="A373" s="3"/>
      <c r="B373" s="18" t="str">
        <f t="shared" si="2"/>
        <v/>
      </c>
      <c r="C373" s="19"/>
      <c r="D373" s="19"/>
      <c r="E373" s="19"/>
      <c r="F373" s="20"/>
      <c r="G373" s="20"/>
      <c r="H373" s="21" t="str">
        <f t="shared" si="3"/>
        <v/>
      </c>
      <c r="I373" s="20"/>
      <c r="J373" s="20"/>
      <c r="K373" s="20"/>
      <c r="L373" s="20"/>
      <c r="M373" s="21" t="str">
        <f t="shared" si="4"/>
        <v/>
      </c>
      <c r="N373" s="20"/>
      <c r="O373" s="20"/>
      <c r="P373" s="20"/>
      <c r="Q373" s="21" t="str">
        <f t="shared" si="5"/>
        <v/>
      </c>
      <c r="R373" s="21" t="str">
        <f t="shared" si="6"/>
        <v/>
      </c>
      <c r="S373" s="22"/>
      <c r="T373" s="22"/>
      <c r="U373" s="23" t="str">
        <f t="shared" si="7"/>
        <v/>
      </c>
      <c r="V373" s="21" t="str">
        <f t="shared" si="8"/>
        <v>#DIV/0!</v>
      </c>
      <c r="W373" s="24" t="str">
        <f t="shared" si="9"/>
        <v>#DIV/0!</v>
      </c>
      <c r="X373" s="24" t="str">
        <f t="shared" si="10"/>
        <v>#DIV/0!</v>
      </c>
      <c r="Y373" s="21" t="str">
        <f>IF(A373="","",SUMIFS('Labor Log'!$I$2:$I$2001,'Labor Log'!$A$2:$A$2001,A373))</f>
        <v/>
      </c>
      <c r="Z373" s="24" t="str">
        <f t="shared" si="11"/>
        <v>#DIV/0!</v>
      </c>
      <c r="AA373" s="21" t="str">
        <f>IF(A373="","",SUMIFS('Inventory &amp; COGS'!$H$2:$H$2001,'Inventory &amp; COGS'!$A$2:$A$2001,A373,'Inventory &amp; COGS'!$B$2:$B$2001,"Food"))</f>
        <v/>
      </c>
      <c r="AB373" s="21" t="str">
        <f>IF(A373="","",SUMIFS('Inventory &amp; COGS'!$H$2:$H$2001,'Inventory &amp; COGS'!$A$2:$A$2001,A373,'Inventory &amp; COGS'!$B$2:$B$2001,"Beverage"))</f>
        <v/>
      </c>
      <c r="AC373" s="21" t="str">
        <f t="shared" si="12"/>
        <v/>
      </c>
      <c r="AD373" s="24" t="str">
        <f t="shared" ref="AD373:AE373" si="388">IF(I373=0,"",AA373/I373)</f>
        <v/>
      </c>
      <c r="AE373" s="24" t="str">
        <f t="shared" si="388"/>
        <v/>
      </c>
      <c r="AF373" s="21" t="str">
        <f t="shared" si="14"/>
        <v/>
      </c>
      <c r="AG373" s="24" t="str">
        <f t="shared" si="15"/>
        <v>#DIV/0!</v>
      </c>
      <c r="AH373" s="25" t="str">
        <f t="shared" si="16"/>
        <v/>
      </c>
      <c r="AI373" s="25" t="str">
        <f t="shared" si="17"/>
        <v/>
      </c>
      <c r="AJ373" s="26" t="str">
        <f t="shared" si="18"/>
        <v/>
      </c>
    </row>
    <row r="374" ht="15.75" customHeight="1">
      <c r="A374" s="3"/>
      <c r="B374" s="18" t="str">
        <f t="shared" si="2"/>
        <v/>
      </c>
      <c r="C374" s="19"/>
      <c r="D374" s="19"/>
      <c r="E374" s="19"/>
      <c r="F374" s="20"/>
      <c r="G374" s="20"/>
      <c r="H374" s="21" t="str">
        <f t="shared" si="3"/>
        <v/>
      </c>
      <c r="I374" s="20"/>
      <c r="J374" s="20"/>
      <c r="K374" s="20"/>
      <c r="L374" s="20"/>
      <c r="M374" s="21" t="str">
        <f t="shared" si="4"/>
        <v/>
      </c>
      <c r="N374" s="20"/>
      <c r="O374" s="20"/>
      <c r="P374" s="20"/>
      <c r="Q374" s="21" t="str">
        <f t="shared" si="5"/>
        <v/>
      </c>
      <c r="R374" s="21" t="str">
        <f t="shared" si="6"/>
        <v/>
      </c>
      <c r="S374" s="22"/>
      <c r="T374" s="22"/>
      <c r="U374" s="23" t="str">
        <f t="shared" si="7"/>
        <v/>
      </c>
      <c r="V374" s="21" t="str">
        <f t="shared" si="8"/>
        <v>#DIV/0!</v>
      </c>
      <c r="W374" s="24" t="str">
        <f t="shared" si="9"/>
        <v>#DIV/0!</v>
      </c>
      <c r="X374" s="24" t="str">
        <f t="shared" si="10"/>
        <v>#DIV/0!</v>
      </c>
      <c r="Y374" s="21" t="str">
        <f>IF(A374="","",SUMIFS('Labor Log'!$I$2:$I$2001,'Labor Log'!$A$2:$A$2001,A374))</f>
        <v/>
      </c>
      <c r="Z374" s="24" t="str">
        <f t="shared" si="11"/>
        <v>#DIV/0!</v>
      </c>
      <c r="AA374" s="21" t="str">
        <f>IF(A374="","",SUMIFS('Inventory &amp; COGS'!$H$2:$H$2001,'Inventory &amp; COGS'!$A$2:$A$2001,A374,'Inventory &amp; COGS'!$B$2:$B$2001,"Food"))</f>
        <v/>
      </c>
      <c r="AB374" s="21" t="str">
        <f>IF(A374="","",SUMIFS('Inventory &amp; COGS'!$H$2:$H$2001,'Inventory &amp; COGS'!$A$2:$A$2001,A374,'Inventory &amp; COGS'!$B$2:$B$2001,"Beverage"))</f>
        <v/>
      </c>
      <c r="AC374" s="21" t="str">
        <f t="shared" si="12"/>
        <v/>
      </c>
      <c r="AD374" s="24" t="str">
        <f t="shared" ref="AD374:AE374" si="389">IF(I374=0,"",AA374/I374)</f>
        <v/>
      </c>
      <c r="AE374" s="24" t="str">
        <f t="shared" si="389"/>
        <v/>
      </c>
      <c r="AF374" s="21" t="str">
        <f t="shared" si="14"/>
        <v/>
      </c>
      <c r="AG374" s="24" t="str">
        <f t="shared" si="15"/>
        <v>#DIV/0!</v>
      </c>
      <c r="AH374" s="25" t="str">
        <f t="shared" si="16"/>
        <v/>
      </c>
      <c r="AI374" s="25" t="str">
        <f t="shared" si="17"/>
        <v/>
      </c>
      <c r="AJ374" s="26" t="str">
        <f t="shared" si="18"/>
        <v/>
      </c>
    </row>
    <row r="375" ht="15.75" customHeight="1">
      <c r="A375" s="3"/>
      <c r="B375" s="18" t="str">
        <f t="shared" si="2"/>
        <v/>
      </c>
      <c r="C375" s="19"/>
      <c r="D375" s="19"/>
      <c r="E375" s="19"/>
      <c r="F375" s="20"/>
      <c r="G375" s="20"/>
      <c r="H375" s="21" t="str">
        <f t="shared" si="3"/>
        <v/>
      </c>
      <c r="I375" s="20"/>
      <c r="J375" s="20"/>
      <c r="K375" s="20"/>
      <c r="L375" s="20"/>
      <c r="M375" s="21" t="str">
        <f t="shared" si="4"/>
        <v/>
      </c>
      <c r="N375" s="20"/>
      <c r="O375" s="20"/>
      <c r="P375" s="20"/>
      <c r="Q375" s="21" t="str">
        <f t="shared" si="5"/>
        <v/>
      </c>
      <c r="R375" s="21" t="str">
        <f t="shared" si="6"/>
        <v/>
      </c>
      <c r="S375" s="22"/>
      <c r="T375" s="22"/>
      <c r="U375" s="23" t="str">
        <f t="shared" si="7"/>
        <v/>
      </c>
      <c r="V375" s="21" t="str">
        <f t="shared" si="8"/>
        <v>#DIV/0!</v>
      </c>
      <c r="W375" s="24" t="str">
        <f t="shared" si="9"/>
        <v>#DIV/0!</v>
      </c>
      <c r="X375" s="24" t="str">
        <f t="shared" si="10"/>
        <v>#DIV/0!</v>
      </c>
      <c r="Y375" s="21" t="str">
        <f>IF(A375="","",SUMIFS('Labor Log'!$I$2:$I$2001,'Labor Log'!$A$2:$A$2001,A375))</f>
        <v/>
      </c>
      <c r="Z375" s="24" t="str">
        <f t="shared" si="11"/>
        <v>#DIV/0!</v>
      </c>
      <c r="AA375" s="21" t="str">
        <f>IF(A375="","",SUMIFS('Inventory &amp; COGS'!$H$2:$H$2001,'Inventory &amp; COGS'!$A$2:$A$2001,A375,'Inventory &amp; COGS'!$B$2:$B$2001,"Food"))</f>
        <v/>
      </c>
      <c r="AB375" s="21" t="str">
        <f>IF(A375="","",SUMIFS('Inventory &amp; COGS'!$H$2:$H$2001,'Inventory &amp; COGS'!$A$2:$A$2001,A375,'Inventory &amp; COGS'!$B$2:$B$2001,"Beverage"))</f>
        <v/>
      </c>
      <c r="AC375" s="21" t="str">
        <f t="shared" si="12"/>
        <v/>
      </c>
      <c r="AD375" s="24" t="str">
        <f t="shared" ref="AD375:AE375" si="390">IF(I375=0,"",AA375/I375)</f>
        <v/>
      </c>
      <c r="AE375" s="24" t="str">
        <f t="shared" si="390"/>
        <v/>
      </c>
      <c r="AF375" s="21" t="str">
        <f t="shared" si="14"/>
        <v/>
      </c>
      <c r="AG375" s="24" t="str">
        <f t="shared" si="15"/>
        <v>#DIV/0!</v>
      </c>
      <c r="AH375" s="25" t="str">
        <f t="shared" si="16"/>
        <v/>
      </c>
      <c r="AI375" s="25" t="str">
        <f t="shared" si="17"/>
        <v/>
      </c>
      <c r="AJ375" s="26" t="str">
        <f t="shared" si="18"/>
        <v/>
      </c>
    </row>
    <row r="376" ht="15.75" customHeight="1">
      <c r="A376" s="3"/>
      <c r="B376" s="18" t="str">
        <f t="shared" si="2"/>
        <v/>
      </c>
      <c r="C376" s="19"/>
      <c r="D376" s="19"/>
      <c r="E376" s="19"/>
      <c r="F376" s="20"/>
      <c r="G376" s="20"/>
      <c r="H376" s="21" t="str">
        <f t="shared" si="3"/>
        <v/>
      </c>
      <c r="I376" s="20"/>
      <c r="J376" s="20"/>
      <c r="K376" s="20"/>
      <c r="L376" s="20"/>
      <c r="M376" s="21" t="str">
        <f t="shared" si="4"/>
        <v/>
      </c>
      <c r="N376" s="20"/>
      <c r="O376" s="20"/>
      <c r="P376" s="20"/>
      <c r="Q376" s="21" t="str">
        <f t="shared" si="5"/>
        <v/>
      </c>
      <c r="R376" s="21" t="str">
        <f t="shared" si="6"/>
        <v/>
      </c>
      <c r="S376" s="22"/>
      <c r="T376" s="22"/>
      <c r="U376" s="23" t="str">
        <f t="shared" si="7"/>
        <v/>
      </c>
      <c r="V376" s="21" t="str">
        <f t="shared" si="8"/>
        <v>#DIV/0!</v>
      </c>
      <c r="W376" s="24" t="str">
        <f t="shared" si="9"/>
        <v>#DIV/0!</v>
      </c>
      <c r="X376" s="24" t="str">
        <f t="shared" si="10"/>
        <v>#DIV/0!</v>
      </c>
      <c r="Y376" s="21" t="str">
        <f>IF(A376="","",SUMIFS('Labor Log'!$I$2:$I$2001,'Labor Log'!$A$2:$A$2001,A376))</f>
        <v/>
      </c>
      <c r="Z376" s="24" t="str">
        <f t="shared" si="11"/>
        <v>#DIV/0!</v>
      </c>
      <c r="AA376" s="21" t="str">
        <f>IF(A376="","",SUMIFS('Inventory &amp; COGS'!$H$2:$H$2001,'Inventory &amp; COGS'!$A$2:$A$2001,A376,'Inventory &amp; COGS'!$B$2:$B$2001,"Food"))</f>
        <v/>
      </c>
      <c r="AB376" s="21" t="str">
        <f>IF(A376="","",SUMIFS('Inventory &amp; COGS'!$H$2:$H$2001,'Inventory &amp; COGS'!$A$2:$A$2001,A376,'Inventory &amp; COGS'!$B$2:$B$2001,"Beverage"))</f>
        <v/>
      </c>
      <c r="AC376" s="21" t="str">
        <f t="shared" si="12"/>
        <v/>
      </c>
      <c r="AD376" s="24" t="str">
        <f t="shared" ref="AD376:AE376" si="391">IF(I376=0,"",AA376/I376)</f>
        <v/>
      </c>
      <c r="AE376" s="24" t="str">
        <f t="shared" si="391"/>
        <v/>
      </c>
      <c r="AF376" s="21" t="str">
        <f t="shared" si="14"/>
        <v/>
      </c>
      <c r="AG376" s="24" t="str">
        <f t="shared" si="15"/>
        <v>#DIV/0!</v>
      </c>
      <c r="AH376" s="25" t="str">
        <f t="shared" si="16"/>
        <v/>
      </c>
      <c r="AI376" s="25" t="str">
        <f t="shared" si="17"/>
        <v/>
      </c>
      <c r="AJ376" s="26" t="str">
        <f t="shared" si="18"/>
        <v/>
      </c>
    </row>
    <row r="377" ht="15.75" customHeight="1">
      <c r="A377" s="3"/>
      <c r="B377" s="18" t="str">
        <f t="shared" si="2"/>
        <v/>
      </c>
      <c r="C377" s="19"/>
      <c r="D377" s="19"/>
      <c r="E377" s="19"/>
      <c r="F377" s="20"/>
      <c r="G377" s="20"/>
      <c r="H377" s="21" t="str">
        <f t="shared" si="3"/>
        <v/>
      </c>
      <c r="I377" s="20"/>
      <c r="J377" s="20"/>
      <c r="K377" s="20"/>
      <c r="L377" s="20"/>
      <c r="M377" s="21" t="str">
        <f t="shared" si="4"/>
        <v/>
      </c>
      <c r="N377" s="20"/>
      <c r="O377" s="20"/>
      <c r="P377" s="20"/>
      <c r="Q377" s="21" t="str">
        <f t="shared" si="5"/>
        <v/>
      </c>
      <c r="R377" s="21" t="str">
        <f t="shared" si="6"/>
        <v/>
      </c>
      <c r="S377" s="22"/>
      <c r="T377" s="22"/>
      <c r="U377" s="23" t="str">
        <f t="shared" si="7"/>
        <v/>
      </c>
      <c r="V377" s="21" t="str">
        <f t="shared" si="8"/>
        <v>#DIV/0!</v>
      </c>
      <c r="W377" s="24" t="str">
        <f t="shared" si="9"/>
        <v>#DIV/0!</v>
      </c>
      <c r="X377" s="24" t="str">
        <f t="shared" si="10"/>
        <v>#DIV/0!</v>
      </c>
      <c r="Y377" s="21" t="str">
        <f>IF(A377="","",SUMIFS('Labor Log'!$I$2:$I$2001,'Labor Log'!$A$2:$A$2001,A377))</f>
        <v/>
      </c>
      <c r="Z377" s="24" t="str">
        <f t="shared" si="11"/>
        <v>#DIV/0!</v>
      </c>
      <c r="AA377" s="21" t="str">
        <f>IF(A377="","",SUMIFS('Inventory &amp; COGS'!$H$2:$H$2001,'Inventory &amp; COGS'!$A$2:$A$2001,A377,'Inventory &amp; COGS'!$B$2:$B$2001,"Food"))</f>
        <v/>
      </c>
      <c r="AB377" s="21" t="str">
        <f>IF(A377="","",SUMIFS('Inventory &amp; COGS'!$H$2:$H$2001,'Inventory &amp; COGS'!$A$2:$A$2001,A377,'Inventory &amp; COGS'!$B$2:$B$2001,"Beverage"))</f>
        <v/>
      </c>
      <c r="AC377" s="21" t="str">
        <f t="shared" si="12"/>
        <v/>
      </c>
      <c r="AD377" s="24" t="str">
        <f t="shared" ref="AD377:AE377" si="392">IF(I377=0,"",AA377/I377)</f>
        <v/>
      </c>
      <c r="AE377" s="24" t="str">
        <f t="shared" si="392"/>
        <v/>
      </c>
      <c r="AF377" s="21" t="str">
        <f t="shared" si="14"/>
        <v/>
      </c>
      <c r="AG377" s="24" t="str">
        <f t="shared" si="15"/>
        <v>#DIV/0!</v>
      </c>
      <c r="AH377" s="25" t="str">
        <f t="shared" si="16"/>
        <v/>
      </c>
      <c r="AI377" s="25" t="str">
        <f t="shared" si="17"/>
        <v/>
      </c>
      <c r="AJ377" s="26" t="str">
        <f t="shared" si="18"/>
        <v/>
      </c>
    </row>
    <row r="378" ht="15.75" customHeight="1">
      <c r="A378" s="3"/>
      <c r="B378" s="18" t="str">
        <f t="shared" si="2"/>
        <v/>
      </c>
      <c r="C378" s="19"/>
      <c r="D378" s="19"/>
      <c r="E378" s="19"/>
      <c r="F378" s="20"/>
      <c r="G378" s="20"/>
      <c r="H378" s="21" t="str">
        <f t="shared" si="3"/>
        <v/>
      </c>
      <c r="I378" s="20"/>
      <c r="J378" s="20"/>
      <c r="K378" s="20"/>
      <c r="L378" s="20"/>
      <c r="M378" s="21" t="str">
        <f t="shared" si="4"/>
        <v/>
      </c>
      <c r="N378" s="20"/>
      <c r="O378" s="20"/>
      <c r="P378" s="20"/>
      <c r="Q378" s="21" t="str">
        <f t="shared" si="5"/>
        <v/>
      </c>
      <c r="R378" s="21" t="str">
        <f t="shared" si="6"/>
        <v/>
      </c>
      <c r="S378" s="22"/>
      <c r="T378" s="22"/>
      <c r="U378" s="23" t="str">
        <f t="shared" si="7"/>
        <v/>
      </c>
      <c r="V378" s="21" t="str">
        <f t="shared" si="8"/>
        <v>#DIV/0!</v>
      </c>
      <c r="W378" s="24" t="str">
        <f t="shared" si="9"/>
        <v>#DIV/0!</v>
      </c>
      <c r="X378" s="24" t="str">
        <f t="shared" si="10"/>
        <v>#DIV/0!</v>
      </c>
      <c r="Y378" s="21" t="str">
        <f>IF(A378="","",SUMIFS('Labor Log'!$I$2:$I$2001,'Labor Log'!$A$2:$A$2001,A378))</f>
        <v/>
      </c>
      <c r="Z378" s="24" t="str">
        <f t="shared" si="11"/>
        <v>#DIV/0!</v>
      </c>
      <c r="AA378" s="21" t="str">
        <f>IF(A378="","",SUMIFS('Inventory &amp; COGS'!$H$2:$H$2001,'Inventory &amp; COGS'!$A$2:$A$2001,A378,'Inventory &amp; COGS'!$B$2:$B$2001,"Food"))</f>
        <v/>
      </c>
      <c r="AB378" s="21" t="str">
        <f>IF(A378="","",SUMIFS('Inventory &amp; COGS'!$H$2:$H$2001,'Inventory &amp; COGS'!$A$2:$A$2001,A378,'Inventory &amp; COGS'!$B$2:$B$2001,"Beverage"))</f>
        <v/>
      </c>
      <c r="AC378" s="21" t="str">
        <f t="shared" si="12"/>
        <v/>
      </c>
      <c r="AD378" s="24" t="str">
        <f t="shared" ref="AD378:AE378" si="393">IF(I378=0,"",AA378/I378)</f>
        <v/>
      </c>
      <c r="AE378" s="24" t="str">
        <f t="shared" si="393"/>
        <v/>
      </c>
      <c r="AF378" s="21" t="str">
        <f t="shared" si="14"/>
        <v/>
      </c>
      <c r="AG378" s="24" t="str">
        <f t="shared" si="15"/>
        <v>#DIV/0!</v>
      </c>
      <c r="AH378" s="25" t="str">
        <f t="shared" si="16"/>
        <v/>
      </c>
      <c r="AI378" s="25" t="str">
        <f t="shared" si="17"/>
        <v/>
      </c>
      <c r="AJ378" s="26" t="str">
        <f t="shared" si="18"/>
        <v/>
      </c>
    </row>
    <row r="379" ht="15.75" customHeight="1">
      <c r="A379" s="3"/>
      <c r="B379" s="18" t="str">
        <f t="shared" si="2"/>
        <v/>
      </c>
      <c r="C379" s="19"/>
      <c r="D379" s="19"/>
      <c r="E379" s="19"/>
      <c r="F379" s="20"/>
      <c r="G379" s="20"/>
      <c r="H379" s="21" t="str">
        <f t="shared" si="3"/>
        <v/>
      </c>
      <c r="I379" s="20"/>
      <c r="J379" s="20"/>
      <c r="K379" s="20"/>
      <c r="L379" s="20"/>
      <c r="M379" s="21" t="str">
        <f t="shared" si="4"/>
        <v/>
      </c>
      <c r="N379" s="20"/>
      <c r="O379" s="20"/>
      <c r="P379" s="20"/>
      <c r="Q379" s="21" t="str">
        <f t="shared" si="5"/>
        <v/>
      </c>
      <c r="R379" s="21" t="str">
        <f t="shared" si="6"/>
        <v/>
      </c>
      <c r="S379" s="22"/>
      <c r="T379" s="22"/>
      <c r="U379" s="23" t="str">
        <f t="shared" si="7"/>
        <v/>
      </c>
      <c r="V379" s="21" t="str">
        <f t="shared" si="8"/>
        <v>#DIV/0!</v>
      </c>
      <c r="W379" s="24" t="str">
        <f t="shared" si="9"/>
        <v>#DIV/0!</v>
      </c>
      <c r="X379" s="24" t="str">
        <f t="shared" si="10"/>
        <v>#DIV/0!</v>
      </c>
      <c r="Y379" s="21" t="str">
        <f>IF(A379="","",SUMIFS('Labor Log'!$I$2:$I$2001,'Labor Log'!$A$2:$A$2001,A379))</f>
        <v/>
      </c>
      <c r="Z379" s="24" t="str">
        <f t="shared" si="11"/>
        <v>#DIV/0!</v>
      </c>
      <c r="AA379" s="21" t="str">
        <f>IF(A379="","",SUMIFS('Inventory &amp; COGS'!$H$2:$H$2001,'Inventory &amp; COGS'!$A$2:$A$2001,A379,'Inventory &amp; COGS'!$B$2:$B$2001,"Food"))</f>
        <v/>
      </c>
      <c r="AB379" s="21" t="str">
        <f>IF(A379="","",SUMIFS('Inventory &amp; COGS'!$H$2:$H$2001,'Inventory &amp; COGS'!$A$2:$A$2001,A379,'Inventory &amp; COGS'!$B$2:$B$2001,"Beverage"))</f>
        <v/>
      </c>
      <c r="AC379" s="21" t="str">
        <f t="shared" si="12"/>
        <v/>
      </c>
      <c r="AD379" s="24" t="str">
        <f t="shared" ref="AD379:AE379" si="394">IF(I379=0,"",AA379/I379)</f>
        <v/>
      </c>
      <c r="AE379" s="24" t="str">
        <f t="shared" si="394"/>
        <v/>
      </c>
      <c r="AF379" s="21" t="str">
        <f t="shared" si="14"/>
        <v/>
      </c>
      <c r="AG379" s="24" t="str">
        <f t="shared" si="15"/>
        <v>#DIV/0!</v>
      </c>
      <c r="AH379" s="25" t="str">
        <f t="shared" si="16"/>
        <v/>
      </c>
      <c r="AI379" s="25" t="str">
        <f t="shared" si="17"/>
        <v/>
      </c>
      <c r="AJ379" s="26" t="str">
        <f t="shared" si="18"/>
        <v/>
      </c>
    </row>
    <row r="380" ht="15.75" customHeight="1">
      <c r="A380" s="3"/>
      <c r="B380" s="18" t="str">
        <f t="shared" si="2"/>
        <v/>
      </c>
      <c r="C380" s="19"/>
      <c r="D380" s="19"/>
      <c r="E380" s="19"/>
      <c r="F380" s="20"/>
      <c r="G380" s="20"/>
      <c r="H380" s="21" t="str">
        <f t="shared" si="3"/>
        <v/>
      </c>
      <c r="I380" s="20"/>
      <c r="J380" s="20"/>
      <c r="K380" s="20"/>
      <c r="L380" s="20"/>
      <c r="M380" s="21" t="str">
        <f t="shared" si="4"/>
        <v/>
      </c>
      <c r="N380" s="20"/>
      <c r="O380" s="20"/>
      <c r="P380" s="20"/>
      <c r="Q380" s="21" t="str">
        <f t="shared" si="5"/>
        <v/>
      </c>
      <c r="R380" s="21" t="str">
        <f t="shared" si="6"/>
        <v/>
      </c>
      <c r="S380" s="22"/>
      <c r="T380" s="22"/>
      <c r="U380" s="23" t="str">
        <f t="shared" si="7"/>
        <v/>
      </c>
      <c r="V380" s="21" t="str">
        <f t="shared" si="8"/>
        <v>#DIV/0!</v>
      </c>
      <c r="W380" s="24" t="str">
        <f t="shared" si="9"/>
        <v>#DIV/0!</v>
      </c>
      <c r="X380" s="24" t="str">
        <f t="shared" si="10"/>
        <v>#DIV/0!</v>
      </c>
      <c r="Y380" s="21" t="str">
        <f>IF(A380="","",SUMIFS('Labor Log'!$I$2:$I$2001,'Labor Log'!$A$2:$A$2001,A380))</f>
        <v/>
      </c>
      <c r="Z380" s="24" t="str">
        <f t="shared" si="11"/>
        <v>#DIV/0!</v>
      </c>
      <c r="AA380" s="21" t="str">
        <f>IF(A380="","",SUMIFS('Inventory &amp; COGS'!$H$2:$H$2001,'Inventory &amp; COGS'!$A$2:$A$2001,A380,'Inventory &amp; COGS'!$B$2:$B$2001,"Food"))</f>
        <v/>
      </c>
      <c r="AB380" s="21" t="str">
        <f>IF(A380="","",SUMIFS('Inventory &amp; COGS'!$H$2:$H$2001,'Inventory &amp; COGS'!$A$2:$A$2001,A380,'Inventory &amp; COGS'!$B$2:$B$2001,"Beverage"))</f>
        <v/>
      </c>
      <c r="AC380" s="21" t="str">
        <f t="shared" si="12"/>
        <v/>
      </c>
      <c r="AD380" s="24" t="str">
        <f t="shared" ref="AD380:AE380" si="395">IF(I380=0,"",AA380/I380)</f>
        <v/>
      </c>
      <c r="AE380" s="24" t="str">
        <f t="shared" si="395"/>
        <v/>
      </c>
      <c r="AF380" s="21" t="str">
        <f t="shared" si="14"/>
        <v/>
      </c>
      <c r="AG380" s="24" t="str">
        <f t="shared" si="15"/>
        <v>#DIV/0!</v>
      </c>
      <c r="AH380" s="25" t="str">
        <f t="shared" si="16"/>
        <v/>
      </c>
      <c r="AI380" s="25" t="str">
        <f t="shared" si="17"/>
        <v/>
      </c>
      <c r="AJ380" s="26" t="str">
        <f t="shared" si="18"/>
        <v/>
      </c>
    </row>
    <row r="381" ht="15.75" customHeight="1">
      <c r="A381" s="3"/>
      <c r="B381" s="18" t="str">
        <f t="shared" si="2"/>
        <v/>
      </c>
      <c r="C381" s="19"/>
      <c r="D381" s="19"/>
      <c r="E381" s="19"/>
      <c r="F381" s="20"/>
      <c r="G381" s="20"/>
      <c r="H381" s="21" t="str">
        <f t="shared" si="3"/>
        <v/>
      </c>
      <c r="I381" s="20"/>
      <c r="J381" s="20"/>
      <c r="K381" s="20"/>
      <c r="L381" s="20"/>
      <c r="M381" s="21" t="str">
        <f t="shared" si="4"/>
        <v/>
      </c>
      <c r="N381" s="20"/>
      <c r="O381" s="20"/>
      <c r="P381" s="20"/>
      <c r="Q381" s="21" t="str">
        <f t="shared" si="5"/>
        <v/>
      </c>
      <c r="R381" s="21" t="str">
        <f t="shared" si="6"/>
        <v/>
      </c>
      <c r="S381" s="22"/>
      <c r="T381" s="22"/>
      <c r="U381" s="23" t="str">
        <f t="shared" si="7"/>
        <v/>
      </c>
      <c r="V381" s="21" t="str">
        <f t="shared" si="8"/>
        <v>#DIV/0!</v>
      </c>
      <c r="W381" s="24" t="str">
        <f t="shared" si="9"/>
        <v>#DIV/0!</v>
      </c>
      <c r="X381" s="24" t="str">
        <f t="shared" si="10"/>
        <v>#DIV/0!</v>
      </c>
      <c r="Y381" s="21" t="str">
        <f>IF(A381="","",SUMIFS('Labor Log'!$I$2:$I$2001,'Labor Log'!$A$2:$A$2001,A381))</f>
        <v/>
      </c>
      <c r="Z381" s="24" t="str">
        <f t="shared" si="11"/>
        <v>#DIV/0!</v>
      </c>
      <c r="AA381" s="21" t="str">
        <f>IF(A381="","",SUMIFS('Inventory &amp; COGS'!$H$2:$H$2001,'Inventory &amp; COGS'!$A$2:$A$2001,A381,'Inventory &amp; COGS'!$B$2:$B$2001,"Food"))</f>
        <v/>
      </c>
      <c r="AB381" s="21" t="str">
        <f>IF(A381="","",SUMIFS('Inventory &amp; COGS'!$H$2:$H$2001,'Inventory &amp; COGS'!$A$2:$A$2001,A381,'Inventory &amp; COGS'!$B$2:$B$2001,"Beverage"))</f>
        <v/>
      </c>
      <c r="AC381" s="21" t="str">
        <f t="shared" si="12"/>
        <v/>
      </c>
      <c r="AD381" s="24" t="str">
        <f t="shared" ref="AD381:AE381" si="396">IF(I381=0,"",AA381/I381)</f>
        <v/>
      </c>
      <c r="AE381" s="24" t="str">
        <f t="shared" si="396"/>
        <v/>
      </c>
      <c r="AF381" s="21" t="str">
        <f t="shared" si="14"/>
        <v/>
      </c>
      <c r="AG381" s="24" t="str">
        <f t="shared" si="15"/>
        <v>#DIV/0!</v>
      </c>
      <c r="AH381" s="25" t="str">
        <f t="shared" si="16"/>
        <v/>
      </c>
      <c r="AI381" s="25" t="str">
        <f t="shared" si="17"/>
        <v/>
      </c>
      <c r="AJ381" s="26" t="str">
        <f t="shared" si="18"/>
        <v/>
      </c>
    </row>
    <row r="382" ht="15.75" customHeight="1">
      <c r="A382" s="3"/>
      <c r="B382" s="18" t="str">
        <f t="shared" si="2"/>
        <v/>
      </c>
      <c r="C382" s="19"/>
      <c r="D382" s="19"/>
      <c r="E382" s="19"/>
      <c r="F382" s="20"/>
      <c r="G382" s="20"/>
      <c r="H382" s="21" t="str">
        <f t="shared" si="3"/>
        <v/>
      </c>
      <c r="I382" s="20"/>
      <c r="J382" s="20"/>
      <c r="K382" s="20"/>
      <c r="L382" s="20"/>
      <c r="M382" s="21" t="str">
        <f t="shared" si="4"/>
        <v/>
      </c>
      <c r="N382" s="20"/>
      <c r="O382" s="20"/>
      <c r="P382" s="20"/>
      <c r="Q382" s="21" t="str">
        <f t="shared" si="5"/>
        <v/>
      </c>
      <c r="R382" s="21" t="str">
        <f t="shared" si="6"/>
        <v/>
      </c>
      <c r="S382" s="22"/>
      <c r="T382" s="22"/>
      <c r="U382" s="23" t="str">
        <f t="shared" si="7"/>
        <v/>
      </c>
      <c r="V382" s="21" t="str">
        <f t="shared" si="8"/>
        <v>#DIV/0!</v>
      </c>
      <c r="W382" s="24" t="str">
        <f t="shared" si="9"/>
        <v>#DIV/0!</v>
      </c>
      <c r="X382" s="24" t="str">
        <f t="shared" si="10"/>
        <v>#DIV/0!</v>
      </c>
      <c r="Y382" s="21" t="str">
        <f>IF(A382="","",SUMIFS('Labor Log'!$I$2:$I$2001,'Labor Log'!$A$2:$A$2001,A382))</f>
        <v/>
      </c>
      <c r="Z382" s="24" t="str">
        <f t="shared" si="11"/>
        <v>#DIV/0!</v>
      </c>
      <c r="AA382" s="21" t="str">
        <f>IF(A382="","",SUMIFS('Inventory &amp; COGS'!$H$2:$H$2001,'Inventory &amp; COGS'!$A$2:$A$2001,A382,'Inventory &amp; COGS'!$B$2:$B$2001,"Food"))</f>
        <v/>
      </c>
      <c r="AB382" s="21" t="str">
        <f>IF(A382="","",SUMIFS('Inventory &amp; COGS'!$H$2:$H$2001,'Inventory &amp; COGS'!$A$2:$A$2001,A382,'Inventory &amp; COGS'!$B$2:$B$2001,"Beverage"))</f>
        <v/>
      </c>
      <c r="AC382" s="21" t="str">
        <f t="shared" si="12"/>
        <v/>
      </c>
      <c r="AD382" s="24" t="str">
        <f t="shared" ref="AD382:AE382" si="397">IF(I382=0,"",AA382/I382)</f>
        <v/>
      </c>
      <c r="AE382" s="24" t="str">
        <f t="shared" si="397"/>
        <v/>
      </c>
      <c r="AF382" s="21" t="str">
        <f t="shared" si="14"/>
        <v/>
      </c>
      <c r="AG382" s="24" t="str">
        <f t="shared" si="15"/>
        <v>#DIV/0!</v>
      </c>
      <c r="AH382" s="25" t="str">
        <f t="shared" si="16"/>
        <v/>
      </c>
      <c r="AI382" s="25" t="str">
        <f t="shared" si="17"/>
        <v/>
      </c>
      <c r="AJ382" s="26" t="str">
        <f t="shared" si="18"/>
        <v/>
      </c>
    </row>
    <row r="383" ht="15.75" customHeight="1">
      <c r="A383" s="3"/>
      <c r="B383" s="18" t="str">
        <f t="shared" si="2"/>
        <v/>
      </c>
      <c r="C383" s="19"/>
      <c r="D383" s="19"/>
      <c r="E383" s="19"/>
      <c r="F383" s="20"/>
      <c r="G383" s="20"/>
      <c r="H383" s="21" t="str">
        <f t="shared" si="3"/>
        <v/>
      </c>
      <c r="I383" s="20"/>
      <c r="J383" s="20"/>
      <c r="K383" s="20"/>
      <c r="L383" s="20"/>
      <c r="M383" s="21" t="str">
        <f t="shared" si="4"/>
        <v/>
      </c>
      <c r="N383" s="20"/>
      <c r="O383" s="20"/>
      <c r="P383" s="20"/>
      <c r="Q383" s="21" t="str">
        <f t="shared" si="5"/>
        <v/>
      </c>
      <c r="R383" s="21" t="str">
        <f t="shared" si="6"/>
        <v/>
      </c>
      <c r="S383" s="22"/>
      <c r="T383" s="22"/>
      <c r="U383" s="23" t="str">
        <f t="shared" si="7"/>
        <v/>
      </c>
      <c r="V383" s="21" t="str">
        <f t="shared" si="8"/>
        <v>#DIV/0!</v>
      </c>
      <c r="W383" s="24" t="str">
        <f t="shared" si="9"/>
        <v>#DIV/0!</v>
      </c>
      <c r="X383" s="24" t="str">
        <f t="shared" si="10"/>
        <v>#DIV/0!</v>
      </c>
      <c r="Y383" s="21" t="str">
        <f>IF(A383="","",SUMIFS('Labor Log'!$I$2:$I$2001,'Labor Log'!$A$2:$A$2001,A383))</f>
        <v/>
      </c>
      <c r="Z383" s="24" t="str">
        <f t="shared" si="11"/>
        <v>#DIV/0!</v>
      </c>
      <c r="AA383" s="21" t="str">
        <f>IF(A383="","",SUMIFS('Inventory &amp; COGS'!$H$2:$H$2001,'Inventory &amp; COGS'!$A$2:$A$2001,A383,'Inventory &amp; COGS'!$B$2:$B$2001,"Food"))</f>
        <v/>
      </c>
      <c r="AB383" s="21" t="str">
        <f>IF(A383="","",SUMIFS('Inventory &amp; COGS'!$H$2:$H$2001,'Inventory &amp; COGS'!$A$2:$A$2001,A383,'Inventory &amp; COGS'!$B$2:$B$2001,"Beverage"))</f>
        <v/>
      </c>
      <c r="AC383" s="21" t="str">
        <f t="shared" si="12"/>
        <v/>
      </c>
      <c r="AD383" s="24" t="str">
        <f t="shared" ref="AD383:AE383" si="398">IF(I383=0,"",AA383/I383)</f>
        <v/>
      </c>
      <c r="AE383" s="24" t="str">
        <f t="shared" si="398"/>
        <v/>
      </c>
      <c r="AF383" s="21" t="str">
        <f t="shared" si="14"/>
        <v/>
      </c>
      <c r="AG383" s="24" t="str">
        <f t="shared" si="15"/>
        <v>#DIV/0!</v>
      </c>
      <c r="AH383" s="25" t="str">
        <f t="shared" si="16"/>
        <v/>
      </c>
      <c r="AI383" s="25" t="str">
        <f t="shared" si="17"/>
        <v/>
      </c>
      <c r="AJ383" s="26" t="str">
        <f t="shared" si="18"/>
        <v/>
      </c>
    </row>
    <row r="384" ht="15.75" customHeight="1">
      <c r="A384" s="3"/>
      <c r="B384" s="18" t="str">
        <f t="shared" si="2"/>
        <v/>
      </c>
      <c r="C384" s="19"/>
      <c r="D384" s="19"/>
      <c r="E384" s="19"/>
      <c r="F384" s="20"/>
      <c r="G384" s="20"/>
      <c r="H384" s="21" t="str">
        <f t="shared" si="3"/>
        <v/>
      </c>
      <c r="I384" s="20"/>
      <c r="J384" s="20"/>
      <c r="K384" s="20"/>
      <c r="L384" s="20"/>
      <c r="M384" s="21" t="str">
        <f t="shared" si="4"/>
        <v/>
      </c>
      <c r="N384" s="20"/>
      <c r="O384" s="20"/>
      <c r="P384" s="20"/>
      <c r="Q384" s="21" t="str">
        <f t="shared" si="5"/>
        <v/>
      </c>
      <c r="R384" s="21" t="str">
        <f t="shared" si="6"/>
        <v/>
      </c>
      <c r="S384" s="22"/>
      <c r="T384" s="22"/>
      <c r="U384" s="23" t="str">
        <f t="shared" si="7"/>
        <v/>
      </c>
      <c r="V384" s="21" t="str">
        <f t="shared" si="8"/>
        <v>#DIV/0!</v>
      </c>
      <c r="W384" s="24" t="str">
        <f t="shared" si="9"/>
        <v>#DIV/0!</v>
      </c>
      <c r="X384" s="24" t="str">
        <f t="shared" si="10"/>
        <v>#DIV/0!</v>
      </c>
      <c r="Y384" s="21" t="str">
        <f>IF(A384="","",SUMIFS('Labor Log'!$I$2:$I$2001,'Labor Log'!$A$2:$A$2001,A384))</f>
        <v/>
      </c>
      <c r="Z384" s="24" t="str">
        <f t="shared" si="11"/>
        <v>#DIV/0!</v>
      </c>
      <c r="AA384" s="21" t="str">
        <f>IF(A384="","",SUMIFS('Inventory &amp; COGS'!$H$2:$H$2001,'Inventory &amp; COGS'!$A$2:$A$2001,A384,'Inventory &amp; COGS'!$B$2:$B$2001,"Food"))</f>
        <v/>
      </c>
      <c r="AB384" s="21" t="str">
        <f>IF(A384="","",SUMIFS('Inventory &amp; COGS'!$H$2:$H$2001,'Inventory &amp; COGS'!$A$2:$A$2001,A384,'Inventory &amp; COGS'!$B$2:$B$2001,"Beverage"))</f>
        <v/>
      </c>
      <c r="AC384" s="21" t="str">
        <f t="shared" si="12"/>
        <v/>
      </c>
      <c r="AD384" s="24" t="str">
        <f t="shared" ref="AD384:AE384" si="399">IF(I384=0,"",AA384/I384)</f>
        <v/>
      </c>
      <c r="AE384" s="24" t="str">
        <f t="shared" si="399"/>
        <v/>
      </c>
      <c r="AF384" s="21" t="str">
        <f t="shared" si="14"/>
        <v/>
      </c>
      <c r="AG384" s="24" t="str">
        <f t="shared" si="15"/>
        <v>#DIV/0!</v>
      </c>
      <c r="AH384" s="25" t="str">
        <f t="shared" si="16"/>
        <v/>
      </c>
      <c r="AI384" s="25" t="str">
        <f t="shared" si="17"/>
        <v/>
      </c>
      <c r="AJ384" s="26" t="str">
        <f t="shared" si="18"/>
        <v/>
      </c>
    </row>
    <row r="385" ht="15.75" customHeight="1">
      <c r="A385" s="3"/>
      <c r="B385" s="18" t="str">
        <f t="shared" si="2"/>
        <v/>
      </c>
      <c r="C385" s="19"/>
      <c r="D385" s="19"/>
      <c r="E385" s="19"/>
      <c r="F385" s="20"/>
      <c r="G385" s="20"/>
      <c r="H385" s="21" t="str">
        <f t="shared" si="3"/>
        <v/>
      </c>
      <c r="I385" s="20"/>
      <c r="J385" s="20"/>
      <c r="K385" s="20"/>
      <c r="L385" s="20"/>
      <c r="M385" s="21" t="str">
        <f t="shared" si="4"/>
        <v/>
      </c>
      <c r="N385" s="20"/>
      <c r="O385" s="20"/>
      <c r="P385" s="20"/>
      <c r="Q385" s="21" t="str">
        <f t="shared" si="5"/>
        <v/>
      </c>
      <c r="R385" s="21" t="str">
        <f t="shared" si="6"/>
        <v/>
      </c>
      <c r="S385" s="22"/>
      <c r="T385" s="22"/>
      <c r="U385" s="23" t="str">
        <f t="shared" si="7"/>
        <v/>
      </c>
      <c r="V385" s="21" t="str">
        <f t="shared" si="8"/>
        <v>#DIV/0!</v>
      </c>
      <c r="W385" s="24" t="str">
        <f t="shared" si="9"/>
        <v>#DIV/0!</v>
      </c>
      <c r="X385" s="24" t="str">
        <f t="shared" si="10"/>
        <v>#DIV/0!</v>
      </c>
      <c r="Y385" s="21" t="str">
        <f>IF(A385="","",SUMIFS('Labor Log'!$I$2:$I$2001,'Labor Log'!$A$2:$A$2001,A385))</f>
        <v/>
      </c>
      <c r="Z385" s="24" t="str">
        <f t="shared" si="11"/>
        <v>#DIV/0!</v>
      </c>
      <c r="AA385" s="21" t="str">
        <f>IF(A385="","",SUMIFS('Inventory &amp; COGS'!$H$2:$H$2001,'Inventory &amp; COGS'!$A$2:$A$2001,A385,'Inventory &amp; COGS'!$B$2:$B$2001,"Food"))</f>
        <v/>
      </c>
      <c r="AB385" s="21" t="str">
        <f>IF(A385="","",SUMIFS('Inventory &amp; COGS'!$H$2:$H$2001,'Inventory &amp; COGS'!$A$2:$A$2001,A385,'Inventory &amp; COGS'!$B$2:$B$2001,"Beverage"))</f>
        <v/>
      </c>
      <c r="AC385" s="21" t="str">
        <f t="shared" si="12"/>
        <v/>
      </c>
      <c r="AD385" s="24" t="str">
        <f t="shared" ref="AD385:AE385" si="400">IF(I385=0,"",AA385/I385)</f>
        <v/>
      </c>
      <c r="AE385" s="24" t="str">
        <f t="shared" si="400"/>
        <v/>
      </c>
      <c r="AF385" s="21" t="str">
        <f t="shared" si="14"/>
        <v/>
      </c>
      <c r="AG385" s="24" t="str">
        <f t="shared" si="15"/>
        <v>#DIV/0!</v>
      </c>
      <c r="AH385" s="25" t="str">
        <f t="shared" si="16"/>
        <v/>
      </c>
      <c r="AI385" s="25" t="str">
        <f t="shared" si="17"/>
        <v/>
      </c>
      <c r="AJ385" s="26" t="str">
        <f t="shared" si="18"/>
        <v/>
      </c>
    </row>
    <row r="386" ht="15.75" customHeight="1">
      <c r="A386" s="3"/>
      <c r="B386" s="18" t="str">
        <f t="shared" si="2"/>
        <v/>
      </c>
      <c r="C386" s="19"/>
      <c r="D386" s="19"/>
      <c r="E386" s="19"/>
      <c r="F386" s="20"/>
      <c r="G386" s="20"/>
      <c r="H386" s="21" t="str">
        <f t="shared" si="3"/>
        <v/>
      </c>
      <c r="I386" s="20"/>
      <c r="J386" s="20"/>
      <c r="K386" s="20"/>
      <c r="L386" s="20"/>
      <c r="M386" s="21" t="str">
        <f t="shared" si="4"/>
        <v/>
      </c>
      <c r="N386" s="20"/>
      <c r="O386" s="20"/>
      <c r="P386" s="20"/>
      <c r="Q386" s="21" t="str">
        <f t="shared" si="5"/>
        <v/>
      </c>
      <c r="R386" s="21" t="str">
        <f t="shared" si="6"/>
        <v/>
      </c>
      <c r="S386" s="22"/>
      <c r="T386" s="22"/>
      <c r="U386" s="23" t="str">
        <f t="shared" si="7"/>
        <v/>
      </c>
      <c r="V386" s="21" t="str">
        <f t="shared" si="8"/>
        <v>#DIV/0!</v>
      </c>
      <c r="W386" s="24" t="str">
        <f t="shared" si="9"/>
        <v>#DIV/0!</v>
      </c>
      <c r="X386" s="24" t="str">
        <f t="shared" si="10"/>
        <v>#DIV/0!</v>
      </c>
      <c r="Y386" s="21" t="str">
        <f>IF(A386="","",SUMIFS('Labor Log'!$I$2:$I$2001,'Labor Log'!$A$2:$A$2001,A386))</f>
        <v/>
      </c>
      <c r="Z386" s="24" t="str">
        <f t="shared" si="11"/>
        <v>#DIV/0!</v>
      </c>
      <c r="AA386" s="21" t="str">
        <f>IF(A386="","",SUMIFS('Inventory &amp; COGS'!$H$2:$H$2001,'Inventory &amp; COGS'!$A$2:$A$2001,A386,'Inventory &amp; COGS'!$B$2:$B$2001,"Food"))</f>
        <v/>
      </c>
      <c r="AB386" s="21" t="str">
        <f>IF(A386="","",SUMIFS('Inventory &amp; COGS'!$H$2:$H$2001,'Inventory &amp; COGS'!$A$2:$A$2001,A386,'Inventory &amp; COGS'!$B$2:$B$2001,"Beverage"))</f>
        <v/>
      </c>
      <c r="AC386" s="21" t="str">
        <f t="shared" si="12"/>
        <v/>
      </c>
      <c r="AD386" s="24" t="str">
        <f t="shared" ref="AD386:AE386" si="401">IF(I386=0,"",AA386/I386)</f>
        <v/>
      </c>
      <c r="AE386" s="24" t="str">
        <f t="shared" si="401"/>
        <v/>
      </c>
      <c r="AF386" s="21" t="str">
        <f t="shared" si="14"/>
        <v/>
      </c>
      <c r="AG386" s="24" t="str">
        <f t="shared" si="15"/>
        <v>#DIV/0!</v>
      </c>
      <c r="AH386" s="25" t="str">
        <f t="shared" si="16"/>
        <v/>
      </c>
      <c r="AI386" s="25" t="str">
        <f t="shared" si="17"/>
        <v/>
      </c>
      <c r="AJ386" s="26" t="str">
        <f t="shared" si="18"/>
        <v/>
      </c>
    </row>
    <row r="387" ht="15.75" customHeight="1">
      <c r="A387" s="3"/>
      <c r="B387" s="18" t="str">
        <f t="shared" si="2"/>
        <v/>
      </c>
      <c r="C387" s="19"/>
      <c r="D387" s="19"/>
      <c r="E387" s="19"/>
      <c r="F387" s="20"/>
      <c r="G387" s="20"/>
      <c r="H387" s="21" t="str">
        <f t="shared" si="3"/>
        <v/>
      </c>
      <c r="I387" s="20"/>
      <c r="J387" s="20"/>
      <c r="K387" s="20"/>
      <c r="L387" s="20"/>
      <c r="M387" s="21" t="str">
        <f t="shared" si="4"/>
        <v/>
      </c>
      <c r="N387" s="20"/>
      <c r="O387" s="20"/>
      <c r="P387" s="20"/>
      <c r="Q387" s="21" t="str">
        <f t="shared" si="5"/>
        <v/>
      </c>
      <c r="R387" s="21" t="str">
        <f t="shared" si="6"/>
        <v/>
      </c>
      <c r="S387" s="22"/>
      <c r="T387" s="22"/>
      <c r="U387" s="23" t="str">
        <f t="shared" si="7"/>
        <v/>
      </c>
      <c r="V387" s="21" t="str">
        <f t="shared" si="8"/>
        <v>#DIV/0!</v>
      </c>
      <c r="W387" s="24" t="str">
        <f t="shared" si="9"/>
        <v>#DIV/0!</v>
      </c>
      <c r="X387" s="24" t="str">
        <f t="shared" si="10"/>
        <v>#DIV/0!</v>
      </c>
      <c r="Y387" s="21" t="str">
        <f>IF(A387="","",SUMIFS('Labor Log'!$I$2:$I$2001,'Labor Log'!$A$2:$A$2001,A387))</f>
        <v/>
      </c>
      <c r="Z387" s="24" t="str">
        <f t="shared" si="11"/>
        <v>#DIV/0!</v>
      </c>
      <c r="AA387" s="21" t="str">
        <f>IF(A387="","",SUMIFS('Inventory &amp; COGS'!$H$2:$H$2001,'Inventory &amp; COGS'!$A$2:$A$2001,A387,'Inventory &amp; COGS'!$B$2:$B$2001,"Food"))</f>
        <v/>
      </c>
      <c r="AB387" s="21" t="str">
        <f>IF(A387="","",SUMIFS('Inventory &amp; COGS'!$H$2:$H$2001,'Inventory &amp; COGS'!$A$2:$A$2001,A387,'Inventory &amp; COGS'!$B$2:$B$2001,"Beverage"))</f>
        <v/>
      </c>
      <c r="AC387" s="21" t="str">
        <f t="shared" si="12"/>
        <v/>
      </c>
      <c r="AD387" s="24" t="str">
        <f t="shared" ref="AD387:AE387" si="402">IF(I387=0,"",AA387/I387)</f>
        <v/>
      </c>
      <c r="AE387" s="24" t="str">
        <f t="shared" si="402"/>
        <v/>
      </c>
      <c r="AF387" s="21" t="str">
        <f t="shared" si="14"/>
        <v/>
      </c>
      <c r="AG387" s="24" t="str">
        <f t="shared" si="15"/>
        <v>#DIV/0!</v>
      </c>
      <c r="AH387" s="25" t="str">
        <f t="shared" si="16"/>
        <v/>
      </c>
      <c r="AI387" s="25" t="str">
        <f t="shared" si="17"/>
        <v/>
      </c>
      <c r="AJ387" s="26" t="str">
        <f t="shared" si="18"/>
        <v/>
      </c>
    </row>
    <row r="388" ht="15.75" customHeight="1">
      <c r="A388" s="3"/>
      <c r="B388" s="18" t="str">
        <f t="shared" si="2"/>
        <v/>
      </c>
      <c r="C388" s="19"/>
      <c r="D388" s="19"/>
      <c r="E388" s="19"/>
      <c r="F388" s="20"/>
      <c r="G388" s="20"/>
      <c r="H388" s="21" t="str">
        <f t="shared" si="3"/>
        <v/>
      </c>
      <c r="I388" s="20"/>
      <c r="J388" s="20"/>
      <c r="K388" s="20"/>
      <c r="L388" s="20"/>
      <c r="M388" s="21" t="str">
        <f t="shared" si="4"/>
        <v/>
      </c>
      <c r="N388" s="20"/>
      <c r="O388" s="20"/>
      <c r="P388" s="20"/>
      <c r="Q388" s="21" t="str">
        <f t="shared" si="5"/>
        <v/>
      </c>
      <c r="R388" s="21" t="str">
        <f t="shared" si="6"/>
        <v/>
      </c>
      <c r="S388" s="22"/>
      <c r="T388" s="22"/>
      <c r="U388" s="23" t="str">
        <f t="shared" si="7"/>
        <v/>
      </c>
      <c r="V388" s="21" t="str">
        <f t="shared" si="8"/>
        <v>#DIV/0!</v>
      </c>
      <c r="W388" s="24" t="str">
        <f t="shared" si="9"/>
        <v>#DIV/0!</v>
      </c>
      <c r="X388" s="24" t="str">
        <f t="shared" si="10"/>
        <v>#DIV/0!</v>
      </c>
      <c r="Y388" s="21" t="str">
        <f>IF(A388="","",SUMIFS('Labor Log'!$I$2:$I$2001,'Labor Log'!$A$2:$A$2001,A388))</f>
        <v/>
      </c>
      <c r="Z388" s="24" t="str">
        <f t="shared" si="11"/>
        <v>#DIV/0!</v>
      </c>
      <c r="AA388" s="21" t="str">
        <f>IF(A388="","",SUMIFS('Inventory &amp; COGS'!$H$2:$H$2001,'Inventory &amp; COGS'!$A$2:$A$2001,A388,'Inventory &amp; COGS'!$B$2:$B$2001,"Food"))</f>
        <v/>
      </c>
      <c r="AB388" s="21" t="str">
        <f>IF(A388="","",SUMIFS('Inventory &amp; COGS'!$H$2:$H$2001,'Inventory &amp; COGS'!$A$2:$A$2001,A388,'Inventory &amp; COGS'!$B$2:$B$2001,"Beverage"))</f>
        <v/>
      </c>
      <c r="AC388" s="21" t="str">
        <f t="shared" si="12"/>
        <v/>
      </c>
      <c r="AD388" s="24" t="str">
        <f t="shared" ref="AD388:AE388" si="403">IF(I388=0,"",AA388/I388)</f>
        <v/>
      </c>
      <c r="AE388" s="24" t="str">
        <f t="shared" si="403"/>
        <v/>
      </c>
      <c r="AF388" s="21" t="str">
        <f t="shared" si="14"/>
        <v/>
      </c>
      <c r="AG388" s="24" t="str">
        <f t="shared" si="15"/>
        <v>#DIV/0!</v>
      </c>
      <c r="AH388" s="25" t="str">
        <f t="shared" si="16"/>
        <v/>
      </c>
      <c r="AI388" s="25" t="str">
        <f t="shared" si="17"/>
        <v/>
      </c>
      <c r="AJ388" s="26" t="str">
        <f t="shared" si="18"/>
        <v/>
      </c>
    </row>
    <row r="389" ht="15.75" customHeight="1">
      <c r="A389" s="3"/>
      <c r="B389" s="18" t="str">
        <f t="shared" si="2"/>
        <v/>
      </c>
      <c r="C389" s="19"/>
      <c r="D389" s="19"/>
      <c r="E389" s="19"/>
      <c r="F389" s="20"/>
      <c r="G389" s="20"/>
      <c r="H389" s="21" t="str">
        <f t="shared" si="3"/>
        <v/>
      </c>
      <c r="I389" s="20"/>
      <c r="J389" s="20"/>
      <c r="K389" s="20"/>
      <c r="L389" s="20"/>
      <c r="M389" s="21" t="str">
        <f t="shared" si="4"/>
        <v/>
      </c>
      <c r="N389" s="20"/>
      <c r="O389" s="20"/>
      <c r="P389" s="20"/>
      <c r="Q389" s="21" t="str">
        <f t="shared" si="5"/>
        <v/>
      </c>
      <c r="R389" s="21" t="str">
        <f t="shared" si="6"/>
        <v/>
      </c>
      <c r="S389" s="22"/>
      <c r="T389" s="22"/>
      <c r="U389" s="23" t="str">
        <f t="shared" si="7"/>
        <v/>
      </c>
      <c r="V389" s="21" t="str">
        <f t="shared" si="8"/>
        <v>#DIV/0!</v>
      </c>
      <c r="W389" s="24" t="str">
        <f t="shared" si="9"/>
        <v>#DIV/0!</v>
      </c>
      <c r="X389" s="24" t="str">
        <f t="shared" si="10"/>
        <v>#DIV/0!</v>
      </c>
      <c r="Y389" s="21" t="str">
        <f>IF(A389="","",SUMIFS('Labor Log'!$I$2:$I$2001,'Labor Log'!$A$2:$A$2001,A389))</f>
        <v/>
      </c>
      <c r="Z389" s="24" t="str">
        <f t="shared" si="11"/>
        <v>#DIV/0!</v>
      </c>
      <c r="AA389" s="21" t="str">
        <f>IF(A389="","",SUMIFS('Inventory &amp; COGS'!$H$2:$H$2001,'Inventory &amp; COGS'!$A$2:$A$2001,A389,'Inventory &amp; COGS'!$B$2:$B$2001,"Food"))</f>
        <v/>
      </c>
      <c r="AB389" s="21" t="str">
        <f>IF(A389="","",SUMIFS('Inventory &amp; COGS'!$H$2:$H$2001,'Inventory &amp; COGS'!$A$2:$A$2001,A389,'Inventory &amp; COGS'!$B$2:$B$2001,"Beverage"))</f>
        <v/>
      </c>
      <c r="AC389" s="21" t="str">
        <f t="shared" si="12"/>
        <v/>
      </c>
      <c r="AD389" s="24" t="str">
        <f t="shared" ref="AD389:AE389" si="404">IF(I389=0,"",AA389/I389)</f>
        <v/>
      </c>
      <c r="AE389" s="24" t="str">
        <f t="shared" si="404"/>
        <v/>
      </c>
      <c r="AF389" s="21" t="str">
        <f t="shared" si="14"/>
        <v/>
      </c>
      <c r="AG389" s="24" t="str">
        <f t="shared" si="15"/>
        <v>#DIV/0!</v>
      </c>
      <c r="AH389" s="25" t="str">
        <f t="shared" si="16"/>
        <v/>
      </c>
      <c r="AI389" s="25" t="str">
        <f t="shared" si="17"/>
        <v/>
      </c>
      <c r="AJ389" s="26" t="str">
        <f t="shared" si="18"/>
        <v/>
      </c>
    </row>
    <row r="390" ht="15.75" customHeight="1">
      <c r="A390" s="3"/>
      <c r="B390" s="18" t="str">
        <f t="shared" si="2"/>
        <v/>
      </c>
      <c r="C390" s="19"/>
      <c r="D390" s="19"/>
      <c r="E390" s="19"/>
      <c r="F390" s="20"/>
      <c r="G390" s="20"/>
      <c r="H390" s="21" t="str">
        <f t="shared" si="3"/>
        <v/>
      </c>
      <c r="I390" s="20"/>
      <c r="J390" s="20"/>
      <c r="K390" s="20"/>
      <c r="L390" s="20"/>
      <c r="M390" s="21" t="str">
        <f t="shared" si="4"/>
        <v/>
      </c>
      <c r="N390" s="20"/>
      <c r="O390" s="20"/>
      <c r="P390" s="20"/>
      <c r="Q390" s="21" t="str">
        <f t="shared" si="5"/>
        <v/>
      </c>
      <c r="R390" s="21" t="str">
        <f t="shared" si="6"/>
        <v/>
      </c>
      <c r="S390" s="22"/>
      <c r="T390" s="22"/>
      <c r="U390" s="23" t="str">
        <f t="shared" si="7"/>
        <v/>
      </c>
      <c r="V390" s="21" t="str">
        <f t="shared" si="8"/>
        <v>#DIV/0!</v>
      </c>
      <c r="W390" s="24" t="str">
        <f t="shared" si="9"/>
        <v>#DIV/0!</v>
      </c>
      <c r="X390" s="24" t="str">
        <f t="shared" si="10"/>
        <v>#DIV/0!</v>
      </c>
      <c r="Y390" s="21" t="str">
        <f>IF(A390="","",SUMIFS('Labor Log'!$I$2:$I$2001,'Labor Log'!$A$2:$A$2001,A390))</f>
        <v/>
      </c>
      <c r="Z390" s="24" t="str">
        <f t="shared" si="11"/>
        <v>#DIV/0!</v>
      </c>
      <c r="AA390" s="21" t="str">
        <f>IF(A390="","",SUMIFS('Inventory &amp; COGS'!$H$2:$H$2001,'Inventory &amp; COGS'!$A$2:$A$2001,A390,'Inventory &amp; COGS'!$B$2:$B$2001,"Food"))</f>
        <v/>
      </c>
      <c r="AB390" s="21" t="str">
        <f>IF(A390="","",SUMIFS('Inventory &amp; COGS'!$H$2:$H$2001,'Inventory &amp; COGS'!$A$2:$A$2001,A390,'Inventory &amp; COGS'!$B$2:$B$2001,"Beverage"))</f>
        <v/>
      </c>
      <c r="AC390" s="21" t="str">
        <f t="shared" si="12"/>
        <v/>
      </c>
      <c r="AD390" s="24" t="str">
        <f t="shared" ref="AD390:AE390" si="405">IF(I390=0,"",AA390/I390)</f>
        <v/>
      </c>
      <c r="AE390" s="24" t="str">
        <f t="shared" si="405"/>
        <v/>
      </c>
      <c r="AF390" s="21" t="str">
        <f t="shared" si="14"/>
        <v/>
      </c>
      <c r="AG390" s="24" t="str">
        <f t="shared" si="15"/>
        <v>#DIV/0!</v>
      </c>
      <c r="AH390" s="25" t="str">
        <f t="shared" si="16"/>
        <v/>
      </c>
      <c r="AI390" s="25" t="str">
        <f t="shared" si="17"/>
        <v/>
      </c>
      <c r="AJ390" s="26" t="str">
        <f t="shared" si="18"/>
        <v/>
      </c>
    </row>
    <row r="391" ht="15.75" customHeight="1">
      <c r="A391" s="3"/>
      <c r="B391" s="18" t="str">
        <f t="shared" si="2"/>
        <v/>
      </c>
      <c r="C391" s="19"/>
      <c r="D391" s="19"/>
      <c r="E391" s="19"/>
      <c r="F391" s="20"/>
      <c r="G391" s="20"/>
      <c r="H391" s="21" t="str">
        <f t="shared" si="3"/>
        <v/>
      </c>
      <c r="I391" s="20"/>
      <c r="J391" s="20"/>
      <c r="K391" s="20"/>
      <c r="L391" s="20"/>
      <c r="M391" s="21" t="str">
        <f t="shared" si="4"/>
        <v/>
      </c>
      <c r="N391" s="20"/>
      <c r="O391" s="20"/>
      <c r="P391" s="20"/>
      <c r="Q391" s="21" t="str">
        <f t="shared" si="5"/>
        <v/>
      </c>
      <c r="R391" s="21" t="str">
        <f t="shared" si="6"/>
        <v/>
      </c>
      <c r="S391" s="22"/>
      <c r="T391" s="22"/>
      <c r="U391" s="23" t="str">
        <f t="shared" si="7"/>
        <v/>
      </c>
      <c r="V391" s="21" t="str">
        <f t="shared" si="8"/>
        <v>#DIV/0!</v>
      </c>
      <c r="W391" s="24" t="str">
        <f t="shared" si="9"/>
        <v>#DIV/0!</v>
      </c>
      <c r="X391" s="24" t="str">
        <f t="shared" si="10"/>
        <v>#DIV/0!</v>
      </c>
      <c r="Y391" s="21" t="str">
        <f>IF(A391="","",SUMIFS('Labor Log'!$I$2:$I$2001,'Labor Log'!$A$2:$A$2001,A391))</f>
        <v/>
      </c>
      <c r="Z391" s="24" t="str">
        <f t="shared" si="11"/>
        <v>#DIV/0!</v>
      </c>
      <c r="AA391" s="21" t="str">
        <f>IF(A391="","",SUMIFS('Inventory &amp; COGS'!$H$2:$H$2001,'Inventory &amp; COGS'!$A$2:$A$2001,A391,'Inventory &amp; COGS'!$B$2:$B$2001,"Food"))</f>
        <v/>
      </c>
      <c r="AB391" s="21" t="str">
        <f>IF(A391="","",SUMIFS('Inventory &amp; COGS'!$H$2:$H$2001,'Inventory &amp; COGS'!$A$2:$A$2001,A391,'Inventory &amp; COGS'!$B$2:$B$2001,"Beverage"))</f>
        <v/>
      </c>
      <c r="AC391" s="21" t="str">
        <f t="shared" si="12"/>
        <v/>
      </c>
      <c r="AD391" s="24" t="str">
        <f t="shared" ref="AD391:AE391" si="406">IF(I391=0,"",AA391/I391)</f>
        <v/>
      </c>
      <c r="AE391" s="24" t="str">
        <f t="shared" si="406"/>
        <v/>
      </c>
      <c r="AF391" s="21" t="str">
        <f t="shared" si="14"/>
        <v/>
      </c>
      <c r="AG391" s="24" t="str">
        <f t="shared" si="15"/>
        <v>#DIV/0!</v>
      </c>
      <c r="AH391" s="25" t="str">
        <f t="shared" si="16"/>
        <v/>
      </c>
      <c r="AI391" s="25" t="str">
        <f t="shared" si="17"/>
        <v/>
      </c>
      <c r="AJ391" s="26" t="str">
        <f t="shared" si="18"/>
        <v/>
      </c>
    </row>
    <row r="392" ht="15.75" customHeight="1">
      <c r="A392" s="3"/>
      <c r="B392" s="18" t="str">
        <f t="shared" si="2"/>
        <v/>
      </c>
      <c r="C392" s="19"/>
      <c r="D392" s="19"/>
      <c r="E392" s="19"/>
      <c r="F392" s="20"/>
      <c r="G392" s="20"/>
      <c r="H392" s="21" t="str">
        <f t="shared" si="3"/>
        <v/>
      </c>
      <c r="I392" s="20"/>
      <c r="J392" s="20"/>
      <c r="K392" s="20"/>
      <c r="L392" s="20"/>
      <c r="M392" s="21" t="str">
        <f t="shared" si="4"/>
        <v/>
      </c>
      <c r="N392" s="20"/>
      <c r="O392" s="20"/>
      <c r="P392" s="20"/>
      <c r="Q392" s="21" t="str">
        <f t="shared" si="5"/>
        <v/>
      </c>
      <c r="R392" s="21" t="str">
        <f t="shared" si="6"/>
        <v/>
      </c>
      <c r="S392" s="22"/>
      <c r="T392" s="22"/>
      <c r="U392" s="23" t="str">
        <f t="shared" si="7"/>
        <v/>
      </c>
      <c r="V392" s="21" t="str">
        <f t="shared" si="8"/>
        <v>#DIV/0!</v>
      </c>
      <c r="W392" s="24" t="str">
        <f t="shared" si="9"/>
        <v>#DIV/0!</v>
      </c>
      <c r="X392" s="24" t="str">
        <f t="shared" si="10"/>
        <v>#DIV/0!</v>
      </c>
      <c r="Y392" s="21" t="str">
        <f>IF(A392="","",SUMIFS('Labor Log'!$I$2:$I$2001,'Labor Log'!$A$2:$A$2001,A392))</f>
        <v/>
      </c>
      <c r="Z392" s="24" t="str">
        <f t="shared" si="11"/>
        <v>#DIV/0!</v>
      </c>
      <c r="AA392" s="21" t="str">
        <f>IF(A392="","",SUMIFS('Inventory &amp; COGS'!$H$2:$H$2001,'Inventory &amp; COGS'!$A$2:$A$2001,A392,'Inventory &amp; COGS'!$B$2:$B$2001,"Food"))</f>
        <v/>
      </c>
      <c r="AB392" s="21" t="str">
        <f>IF(A392="","",SUMIFS('Inventory &amp; COGS'!$H$2:$H$2001,'Inventory &amp; COGS'!$A$2:$A$2001,A392,'Inventory &amp; COGS'!$B$2:$B$2001,"Beverage"))</f>
        <v/>
      </c>
      <c r="AC392" s="21" t="str">
        <f t="shared" si="12"/>
        <v/>
      </c>
      <c r="AD392" s="24" t="str">
        <f t="shared" ref="AD392:AE392" si="407">IF(I392=0,"",AA392/I392)</f>
        <v/>
      </c>
      <c r="AE392" s="24" t="str">
        <f t="shared" si="407"/>
        <v/>
      </c>
      <c r="AF392" s="21" t="str">
        <f t="shared" si="14"/>
        <v/>
      </c>
      <c r="AG392" s="24" t="str">
        <f t="shared" si="15"/>
        <v>#DIV/0!</v>
      </c>
      <c r="AH392" s="25" t="str">
        <f t="shared" si="16"/>
        <v/>
      </c>
      <c r="AI392" s="25" t="str">
        <f t="shared" si="17"/>
        <v/>
      </c>
      <c r="AJ392" s="26" t="str">
        <f t="shared" si="18"/>
        <v/>
      </c>
    </row>
    <row r="393" ht="15.75" customHeight="1">
      <c r="A393" s="3"/>
      <c r="B393" s="18" t="str">
        <f t="shared" si="2"/>
        <v/>
      </c>
      <c r="C393" s="19"/>
      <c r="D393" s="19"/>
      <c r="E393" s="19"/>
      <c r="F393" s="20"/>
      <c r="G393" s="20"/>
      <c r="H393" s="21" t="str">
        <f t="shared" si="3"/>
        <v/>
      </c>
      <c r="I393" s="20"/>
      <c r="J393" s="20"/>
      <c r="K393" s="20"/>
      <c r="L393" s="20"/>
      <c r="M393" s="21" t="str">
        <f t="shared" si="4"/>
        <v/>
      </c>
      <c r="N393" s="20"/>
      <c r="O393" s="20"/>
      <c r="P393" s="20"/>
      <c r="Q393" s="21" t="str">
        <f t="shared" si="5"/>
        <v/>
      </c>
      <c r="R393" s="21" t="str">
        <f t="shared" si="6"/>
        <v/>
      </c>
      <c r="S393" s="22"/>
      <c r="T393" s="22"/>
      <c r="U393" s="23" t="str">
        <f t="shared" si="7"/>
        <v/>
      </c>
      <c r="V393" s="21" t="str">
        <f t="shared" si="8"/>
        <v>#DIV/0!</v>
      </c>
      <c r="W393" s="24" t="str">
        <f t="shared" si="9"/>
        <v>#DIV/0!</v>
      </c>
      <c r="X393" s="24" t="str">
        <f t="shared" si="10"/>
        <v>#DIV/0!</v>
      </c>
      <c r="Y393" s="21" t="str">
        <f>IF(A393="","",SUMIFS('Labor Log'!$I$2:$I$2001,'Labor Log'!$A$2:$A$2001,A393))</f>
        <v/>
      </c>
      <c r="Z393" s="24" t="str">
        <f t="shared" si="11"/>
        <v>#DIV/0!</v>
      </c>
      <c r="AA393" s="21" t="str">
        <f>IF(A393="","",SUMIFS('Inventory &amp; COGS'!$H$2:$H$2001,'Inventory &amp; COGS'!$A$2:$A$2001,A393,'Inventory &amp; COGS'!$B$2:$B$2001,"Food"))</f>
        <v/>
      </c>
      <c r="AB393" s="21" t="str">
        <f>IF(A393="","",SUMIFS('Inventory &amp; COGS'!$H$2:$H$2001,'Inventory &amp; COGS'!$A$2:$A$2001,A393,'Inventory &amp; COGS'!$B$2:$B$2001,"Beverage"))</f>
        <v/>
      </c>
      <c r="AC393" s="21" t="str">
        <f t="shared" si="12"/>
        <v/>
      </c>
      <c r="AD393" s="24" t="str">
        <f t="shared" ref="AD393:AE393" si="408">IF(I393=0,"",AA393/I393)</f>
        <v/>
      </c>
      <c r="AE393" s="24" t="str">
        <f t="shared" si="408"/>
        <v/>
      </c>
      <c r="AF393" s="21" t="str">
        <f t="shared" si="14"/>
        <v/>
      </c>
      <c r="AG393" s="24" t="str">
        <f t="shared" si="15"/>
        <v>#DIV/0!</v>
      </c>
      <c r="AH393" s="25" t="str">
        <f t="shared" si="16"/>
        <v/>
      </c>
      <c r="AI393" s="25" t="str">
        <f t="shared" si="17"/>
        <v/>
      </c>
      <c r="AJ393" s="26" t="str">
        <f t="shared" si="18"/>
        <v/>
      </c>
    </row>
    <row r="394" ht="15.75" customHeight="1">
      <c r="A394" s="3"/>
      <c r="B394" s="18" t="str">
        <f t="shared" si="2"/>
        <v/>
      </c>
      <c r="C394" s="19"/>
      <c r="D394" s="19"/>
      <c r="E394" s="19"/>
      <c r="F394" s="20"/>
      <c r="G394" s="20"/>
      <c r="H394" s="21" t="str">
        <f t="shared" si="3"/>
        <v/>
      </c>
      <c r="I394" s="20"/>
      <c r="J394" s="20"/>
      <c r="K394" s="20"/>
      <c r="L394" s="20"/>
      <c r="M394" s="21" t="str">
        <f t="shared" si="4"/>
        <v/>
      </c>
      <c r="N394" s="20"/>
      <c r="O394" s="20"/>
      <c r="P394" s="20"/>
      <c r="Q394" s="21" t="str">
        <f t="shared" si="5"/>
        <v/>
      </c>
      <c r="R394" s="21" t="str">
        <f t="shared" si="6"/>
        <v/>
      </c>
      <c r="S394" s="22"/>
      <c r="T394" s="22"/>
      <c r="U394" s="23" t="str">
        <f t="shared" si="7"/>
        <v/>
      </c>
      <c r="V394" s="21" t="str">
        <f t="shared" si="8"/>
        <v>#DIV/0!</v>
      </c>
      <c r="W394" s="24" t="str">
        <f t="shared" si="9"/>
        <v>#DIV/0!</v>
      </c>
      <c r="X394" s="24" t="str">
        <f t="shared" si="10"/>
        <v>#DIV/0!</v>
      </c>
      <c r="Y394" s="21" t="str">
        <f>IF(A394="","",SUMIFS('Labor Log'!$I$2:$I$2001,'Labor Log'!$A$2:$A$2001,A394))</f>
        <v/>
      </c>
      <c r="Z394" s="24" t="str">
        <f t="shared" si="11"/>
        <v>#DIV/0!</v>
      </c>
      <c r="AA394" s="21" t="str">
        <f>IF(A394="","",SUMIFS('Inventory &amp; COGS'!$H$2:$H$2001,'Inventory &amp; COGS'!$A$2:$A$2001,A394,'Inventory &amp; COGS'!$B$2:$B$2001,"Food"))</f>
        <v/>
      </c>
      <c r="AB394" s="21" t="str">
        <f>IF(A394="","",SUMIFS('Inventory &amp; COGS'!$H$2:$H$2001,'Inventory &amp; COGS'!$A$2:$A$2001,A394,'Inventory &amp; COGS'!$B$2:$B$2001,"Beverage"))</f>
        <v/>
      </c>
      <c r="AC394" s="21" t="str">
        <f t="shared" si="12"/>
        <v/>
      </c>
      <c r="AD394" s="24" t="str">
        <f t="shared" ref="AD394:AE394" si="409">IF(I394=0,"",AA394/I394)</f>
        <v/>
      </c>
      <c r="AE394" s="24" t="str">
        <f t="shared" si="409"/>
        <v/>
      </c>
      <c r="AF394" s="21" t="str">
        <f t="shared" si="14"/>
        <v/>
      </c>
      <c r="AG394" s="24" t="str">
        <f t="shared" si="15"/>
        <v>#DIV/0!</v>
      </c>
      <c r="AH394" s="25" t="str">
        <f t="shared" si="16"/>
        <v/>
      </c>
      <c r="AI394" s="25" t="str">
        <f t="shared" si="17"/>
        <v/>
      </c>
      <c r="AJ394" s="26" t="str">
        <f t="shared" si="18"/>
        <v/>
      </c>
    </row>
    <row r="395" ht="15.75" customHeight="1">
      <c r="A395" s="3"/>
      <c r="B395" s="18" t="str">
        <f t="shared" si="2"/>
        <v/>
      </c>
      <c r="C395" s="19"/>
      <c r="D395" s="19"/>
      <c r="E395" s="19"/>
      <c r="F395" s="20"/>
      <c r="G395" s="20"/>
      <c r="H395" s="21" t="str">
        <f t="shared" si="3"/>
        <v/>
      </c>
      <c r="I395" s="20"/>
      <c r="J395" s="20"/>
      <c r="K395" s="20"/>
      <c r="L395" s="20"/>
      <c r="M395" s="21" t="str">
        <f t="shared" si="4"/>
        <v/>
      </c>
      <c r="N395" s="20"/>
      <c r="O395" s="20"/>
      <c r="P395" s="20"/>
      <c r="Q395" s="21" t="str">
        <f t="shared" si="5"/>
        <v/>
      </c>
      <c r="R395" s="21" t="str">
        <f t="shared" si="6"/>
        <v/>
      </c>
      <c r="S395" s="22"/>
      <c r="T395" s="22"/>
      <c r="U395" s="23" t="str">
        <f t="shared" si="7"/>
        <v/>
      </c>
      <c r="V395" s="21" t="str">
        <f t="shared" si="8"/>
        <v>#DIV/0!</v>
      </c>
      <c r="W395" s="24" t="str">
        <f t="shared" si="9"/>
        <v>#DIV/0!</v>
      </c>
      <c r="X395" s="24" t="str">
        <f t="shared" si="10"/>
        <v>#DIV/0!</v>
      </c>
      <c r="Y395" s="21" t="str">
        <f>IF(A395="","",SUMIFS('Labor Log'!$I$2:$I$2001,'Labor Log'!$A$2:$A$2001,A395))</f>
        <v/>
      </c>
      <c r="Z395" s="24" t="str">
        <f t="shared" si="11"/>
        <v>#DIV/0!</v>
      </c>
      <c r="AA395" s="21" t="str">
        <f>IF(A395="","",SUMIFS('Inventory &amp; COGS'!$H$2:$H$2001,'Inventory &amp; COGS'!$A$2:$A$2001,A395,'Inventory &amp; COGS'!$B$2:$B$2001,"Food"))</f>
        <v/>
      </c>
      <c r="AB395" s="21" t="str">
        <f>IF(A395="","",SUMIFS('Inventory &amp; COGS'!$H$2:$H$2001,'Inventory &amp; COGS'!$A$2:$A$2001,A395,'Inventory &amp; COGS'!$B$2:$B$2001,"Beverage"))</f>
        <v/>
      </c>
      <c r="AC395" s="21" t="str">
        <f t="shared" si="12"/>
        <v/>
      </c>
      <c r="AD395" s="24" t="str">
        <f t="shared" ref="AD395:AE395" si="410">IF(I395=0,"",AA395/I395)</f>
        <v/>
      </c>
      <c r="AE395" s="24" t="str">
        <f t="shared" si="410"/>
        <v/>
      </c>
      <c r="AF395" s="21" t="str">
        <f t="shared" si="14"/>
        <v/>
      </c>
      <c r="AG395" s="24" t="str">
        <f t="shared" si="15"/>
        <v>#DIV/0!</v>
      </c>
      <c r="AH395" s="25" t="str">
        <f t="shared" si="16"/>
        <v/>
      </c>
      <c r="AI395" s="25" t="str">
        <f t="shared" si="17"/>
        <v/>
      </c>
      <c r="AJ395" s="26" t="str">
        <f t="shared" si="18"/>
        <v/>
      </c>
    </row>
    <row r="396" ht="15.75" customHeight="1">
      <c r="A396" s="3"/>
      <c r="B396" s="18" t="str">
        <f t="shared" si="2"/>
        <v/>
      </c>
      <c r="C396" s="19"/>
      <c r="D396" s="19"/>
      <c r="E396" s="19"/>
      <c r="F396" s="20"/>
      <c r="G396" s="20"/>
      <c r="H396" s="21" t="str">
        <f t="shared" si="3"/>
        <v/>
      </c>
      <c r="I396" s="20"/>
      <c r="J396" s="20"/>
      <c r="K396" s="20"/>
      <c r="L396" s="20"/>
      <c r="M396" s="21" t="str">
        <f t="shared" si="4"/>
        <v/>
      </c>
      <c r="N396" s="20"/>
      <c r="O396" s="20"/>
      <c r="P396" s="20"/>
      <c r="Q396" s="21" t="str">
        <f t="shared" si="5"/>
        <v/>
      </c>
      <c r="R396" s="21" t="str">
        <f t="shared" si="6"/>
        <v/>
      </c>
      <c r="S396" s="22"/>
      <c r="T396" s="22"/>
      <c r="U396" s="23" t="str">
        <f t="shared" si="7"/>
        <v/>
      </c>
      <c r="V396" s="21" t="str">
        <f t="shared" si="8"/>
        <v>#DIV/0!</v>
      </c>
      <c r="W396" s="24" t="str">
        <f t="shared" si="9"/>
        <v>#DIV/0!</v>
      </c>
      <c r="X396" s="24" t="str">
        <f t="shared" si="10"/>
        <v>#DIV/0!</v>
      </c>
      <c r="Y396" s="21" t="str">
        <f>IF(A396="","",SUMIFS('Labor Log'!$I$2:$I$2001,'Labor Log'!$A$2:$A$2001,A396))</f>
        <v/>
      </c>
      <c r="Z396" s="24" t="str">
        <f t="shared" si="11"/>
        <v>#DIV/0!</v>
      </c>
      <c r="AA396" s="21" t="str">
        <f>IF(A396="","",SUMIFS('Inventory &amp; COGS'!$H$2:$H$2001,'Inventory &amp; COGS'!$A$2:$A$2001,A396,'Inventory &amp; COGS'!$B$2:$B$2001,"Food"))</f>
        <v/>
      </c>
      <c r="AB396" s="21" t="str">
        <f>IF(A396="","",SUMIFS('Inventory &amp; COGS'!$H$2:$H$2001,'Inventory &amp; COGS'!$A$2:$A$2001,A396,'Inventory &amp; COGS'!$B$2:$B$2001,"Beverage"))</f>
        <v/>
      </c>
      <c r="AC396" s="21" t="str">
        <f t="shared" si="12"/>
        <v/>
      </c>
      <c r="AD396" s="24" t="str">
        <f t="shared" ref="AD396:AE396" si="411">IF(I396=0,"",AA396/I396)</f>
        <v/>
      </c>
      <c r="AE396" s="24" t="str">
        <f t="shared" si="411"/>
        <v/>
      </c>
      <c r="AF396" s="21" t="str">
        <f t="shared" si="14"/>
        <v/>
      </c>
      <c r="AG396" s="24" t="str">
        <f t="shared" si="15"/>
        <v>#DIV/0!</v>
      </c>
      <c r="AH396" s="25" t="str">
        <f t="shared" si="16"/>
        <v/>
      </c>
      <c r="AI396" s="25" t="str">
        <f t="shared" si="17"/>
        <v/>
      </c>
      <c r="AJ396" s="26" t="str">
        <f t="shared" si="18"/>
        <v/>
      </c>
    </row>
    <row r="397" ht="15.75" customHeight="1">
      <c r="A397" s="3"/>
      <c r="B397" s="18" t="str">
        <f t="shared" si="2"/>
        <v/>
      </c>
      <c r="C397" s="19"/>
      <c r="D397" s="19"/>
      <c r="E397" s="19"/>
      <c r="F397" s="20"/>
      <c r="G397" s="20"/>
      <c r="H397" s="21" t="str">
        <f t="shared" si="3"/>
        <v/>
      </c>
      <c r="I397" s="20"/>
      <c r="J397" s="20"/>
      <c r="K397" s="20"/>
      <c r="L397" s="20"/>
      <c r="M397" s="21" t="str">
        <f t="shared" si="4"/>
        <v/>
      </c>
      <c r="N397" s="20"/>
      <c r="O397" s="20"/>
      <c r="P397" s="20"/>
      <c r="Q397" s="21" t="str">
        <f t="shared" si="5"/>
        <v/>
      </c>
      <c r="R397" s="21" t="str">
        <f t="shared" si="6"/>
        <v/>
      </c>
      <c r="S397" s="22"/>
      <c r="T397" s="22"/>
      <c r="U397" s="23" t="str">
        <f t="shared" si="7"/>
        <v/>
      </c>
      <c r="V397" s="21" t="str">
        <f t="shared" si="8"/>
        <v>#DIV/0!</v>
      </c>
      <c r="W397" s="24" t="str">
        <f t="shared" si="9"/>
        <v>#DIV/0!</v>
      </c>
      <c r="X397" s="24" t="str">
        <f t="shared" si="10"/>
        <v>#DIV/0!</v>
      </c>
      <c r="Y397" s="21" t="str">
        <f>IF(A397="","",SUMIFS('Labor Log'!$I$2:$I$2001,'Labor Log'!$A$2:$A$2001,A397))</f>
        <v/>
      </c>
      <c r="Z397" s="24" t="str">
        <f t="shared" si="11"/>
        <v>#DIV/0!</v>
      </c>
      <c r="AA397" s="21" t="str">
        <f>IF(A397="","",SUMIFS('Inventory &amp; COGS'!$H$2:$H$2001,'Inventory &amp; COGS'!$A$2:$A$2001,A397,'Inventory &amp; COGS'!$B$2:$B$2001,"Food"))</f>
        <v/>
      </c>
      <c r="AB397" s="21" t="str">
        <f>IF(A397="","",SUMIFS('Inventory &amp; COGS'!$H$2:$H$2001,'Inventory &amp; COGS'!$A$2:$A$2001,A397,'Inventory &amp; COGS'!$B$2:$B$2001,"Beverage"))</f>
        <v/>
      </c>
      <c r="AC397" s="21" t="str">
        <f t="shared" si="12"/>
        <v/>
      </c>
      <c r="AD397" s="24" t="str">
        <f t="shared" ref="AD397:AE397" si="412">IF(I397=0,"",AA397/I397)</f>
        <v/>
      </c>
      <c r="AE397" s="24" t="str">
        <f t="shared" si="412"/>
        <v/>
      </c>
      <c r="AF397" s="21" t="str">
        <f t="shared" si="14"/>
        <v/>
      </c>
      <c r="AG397" s="24" t="str">
        <f t="shared" si="15"/>
        <v>#DIV/0!</v>
      </c>
      <c r="AH397" s="25" t="str">
        <f t="shared" si="16"/>
        <v/>
      </c>
      <c r="AI397" s="25" t="str">
        <f t="shared" si="17"/>
        <v/>
      </c>
      <c r="AJ397" s="26" t="str">
        <f t="shared" si="18"/>
        <v/>
      </c>
    </row>
    <row r="398" ht="15.75" customHeight="1">
      <c r="A398" s="3"/>
      <c r="B398" s="18" t="str">
        <f t="shared" si="2"/>
        <v/>
      </c>
      <c r="C398" s="19"/>
      <c r="D398" s="19"/>
      <c r="E398" s="19"/>
      <c r="F398" s="20"/>
      <c r="G398" s="20"/>
      <c r="H398" s="21" t="str">
        <f t="shared" si="3"/>
        <v/>
      </c>
      <c r="I398" s="20"/>
      <c r="J398" s="20"/>
      <c r="K398" s="20"/>
      <c r="L398" s="20"/>
      <c r="M398" s="21" t="str">
        <f t="shared" si="4"/>
        <v/>
      </c>
      <c r="N398" s="20"/>
      <c r="O398" s="20"/>
      <c r="P398" s="20"/>
      <c r="Q398" s="21" t="str">
        <f t="shared" si="5"/>
        <v/>
      </c>
      <c r="R398" s="21" t="str">
        <f t="shared" si="6"/>
        <v/>
      </c>
      <c r="S398" s="22"/>
      <c r="T398" s="22"/>
      <c r="U398" s="23" t="str">
        <f t="shared" si="7"/>
        <v/>
      </c>
      <c r="V398" s="21" t="str">
        <f t="shared" si="8"/>
        <v>#DIV/0!</v>
      </c>
      <c r="W398" s="24" t="str">
        <f t="shared" si="9"/>
        <v>#DIV/0!</v>
      </c>
      <c r="X398" s="24" t="str">
        <f t="shared" si="10"/>
        <v>#DIV/0!</v>
      </c>
      <c r="Y398" s="21" t="str">
        <f>IF(A398="","",SUMIFS('Labor Log'!$I$2:$I$2001,'Labor Log'!$A$2:$A$2001,A398))</f>
        <v/>
      </c>
      <c r="Z398" s="24" t="str">
        <f t="shared" si="11"/>
        <v>#DIV/0!</v>
      </c>
      <c r="AA398" s="21" t="str">
        <f>IF(A398="","",SUMIFS('Inventory &amp; COGS'!$H$2:$H$2001,'Inventory &amp; COGS'!$A$2:$A$2001,A398,'Inventory &amp; COGS'!$B$2:$B$2001,"Food"))</f>
        <v/>
      </c>
      <c r="AB398" s="21" t="str">
        <f>IF(A398="","",SUMIFS('Inventory &amp; COGS'!$H$2:$H$2001,'Inventory &amp; COGS'!$A$2:$A$2001,A398,'Inventory &amp; COGS'!$B$2:$B$2001,"Beverage"))</f>
        <v/>
      </c>
      <c r="AC398" s="21" t="str">
        <f t="shared" si="12"/>
        <v/>
      </c>
      <c r="AD398" s="24" t="str">
        <f t="shared" ref="AD398:AE398" si="413">IF(I398=0,"",AA398/I398)</f>
        <v/>
      </c>
      <c r="AE398" s="24" t="str">
        <f t="shared" si="413"/>
        <v/>
      </c>
      <c r="AF398" s="21" t="str">
        <f t="shared" si="14"/>
        <v/>
      </c>
      <c r="AG398" s="24" t="str">
        <f t="shared" si="15"/>
        <v>#DIV/0!</v>
      </c>
      <c r="AH398" s="25" t="str">
        <f t="shared" si="16"/>
        <v/>
      </c>
      <c r="AI398" s="25" t="str">
        <f t="shared" si="17"/>
        <v/>
      </c>
      <c r="AJ398" s="26" t="str">
        <f t="shared" si="18"/>
        <v/>
      </c>
    </row>
    <row r="399" ht="15.75" customHeight="1">
      <c r="A399" s="3"/>
      <c r="B399" s="18" t="str">
        <f t="shared" si="2"/>
        <v/>
      </c>
      <c r="C399" s="19"/>
      <c r="D399" s="19"/>
      <c r="E399" s="19"/>
      <c r="F399" s="20"/>
      <c r="G399" s="20"/>
      <c r="H399" s="21" t="str">
        <f t="shared" si="3"/>
        <v/>
      </c>
      <c r="I399" s="20"/>
      <c r="J399" s="20"/>
      <c r="K399" s="20"/>
      <c r="L399" s="20"/>
      <c r="M399" s="21" t="str">
        <f t="shared" si="4"/>
        <v/>
      </c>
      <c r="N399" s="20"/>
      <c r="O399" s="20"/>
      <c r="P399" s="20"/>
      <c r="Q399" s="21" t="str">
        <f t="shared" si="5"/>
        <v/>
      </c>
      <c r="R399" s="21" t="str">
        <f t="shared" si="6"/>
        <v/>
      </c>
      <c r="S399" s="22"/>
      <c r="T399" s="22"/>
      <c r="U399" s="23" t="str">
        <f t="shared" si="7"/>
        <v/>
      </c>
      <c r="V399" s="21" t="str">
        <f t="shared" si="8"/>
        <v>#DIV/0!</v>
      </c>
      <c r="W399" s="24" t="str">
        <f t="shared" si="9"/>
        <v>#DIV/0!</v>
      </c>
      <c r="X399" s="24" t="str">
        <f t="shared" si="10"/>
        <v>#DIV/0!</v>
      </c>
      <c r="Y399" s="21" t="str">
        <f>IF(A399="","",SUMIFS('Labor Log'!$I$2:$I$2001,'Labor Log'!$A$2:$A$2001,A399))</f>
        <v/>
      </c>
      <c r="Z399" s="24" t="str">
        <f t="shared" si="11"/>
        <v>#DIV/0!</v>
      </c>
      <c r="AA399" s="21" t="str">
        <f>IF(A399="","",SUMIFS('Inventory &amp; COGS'!$H$2:$H$2001,'Inventory &amp; COGS'!$A$2:$A$2001,A399,'Inventory &amp; COGS'!$B$2:$B$2001,"Food"))</f>
        <v/>
      </c>
      <c r="AB399" s="21" t="str">
        <f>IF(A399="","",SUMIFS('Inventory &amp; COGS'!$H$2:$H$2001,'Inventory &amp; COGS'!$A$2:$A$2001,A399,'Inventory &amp; COGS'!$B$2:$B$2001,"Beverage"))</f>
        <v/>
      </c>
      <c r="AC399" s="21" t="str">
        <f t="shared" si="12"/>
        <v/>
      </c>
      <c r="AD399" s="24" t="str">
        <f t="shared" ref="AD399:AE399" si="414">IF(I399=0,"",AA399/I399)</f>
        <v/>
      </c>
      <c r="AE399" s="24" t="str">
        <f t="shared" si="414"/>
        <v/>
      </c>
      <c r="AF399" s="21" t="str">
        <f t="shared" si="14"/>
        <v/>
      </c>
      <c r="AG399" s="24" t="str">
        <f t="shared" si="15"/>
        <v>#DIV/0!</v>
      </c>
      <c r="AH399" s="25" t="str">
        <f t="shared" si="16"/>
        <v/>
      </c>
      <c r="AI399" s="25" t="str">
        <f t="shared" si="17"/>
        <v/>
      </c>
      <c r="AJ399" s="26" t="str">
        <f t="shared" si="18"/>
        <v/>
      </c>
    </row>
    <row r="400" ht="15.75" customHeight="1">
      <c r="A400" s="3"/>
      <c r="B400" s="18" t="str">
        <f t="shared" si="2"/>
        <v/>
      </c>
      <c r="C400" s="19"/>
      <c r="D400" s="19"/>
      <c r="E400" s="19"/>
      <c r="F400" s="20"/>
      <c r="G400" s="20"/>
      <c r="H400" s="21" t="str">
        <f t="shared" si="3"/>
        <v/>
      </c>
      <c r="I400" s="20"/>
      <c r="J400" s="20"/>
      <c r="K400" s="20"/>
      <c r="L400" s="20"/>
      <c r="M400" s="21" t="str">
        <f t="shared" si="4"/>
        <v/>
      </c>
      <c r="N400" s="20"/>
      <c r="O400" s="20"/>
      <c r="P400" s="20"/>
      <c r="Q400" s="21" t="str">
        <f t="shared" si="5"/>
        <v/>
      </c>
      <c r="R400" s="21" t="str">
        <f t="shared" si="6"/>
        <v/>
      </c>
      <c r="S400" s="22"/>
      <c r="T400" s="22"/>
      <c r="U400" s="23" t="str">
        <f t="shared" si="7"/>
        <v/>
      </c>
      <c r="V400" s="21" t="str">
        <f t="shared" si="8"/>
        <v>#DIV/0!</v>
      </c>
      <c r="W400" s="24" t="str">
        <f t="shared" si="9"/>
        <v>#DIV/0!</v>
      </c>
      <c r="X400" s="24" t="str">
        <f t="shared" si="10"/>
        <v>#DIV/0!</v>
      </c>
      <c r="Y400" s="21" t="str">
        <f>IF(A400="","",SUMIFS('Labor Log'!$I$2:$I$2001,'Labor Log'!$A$2:$A$2001,A400))</f>
        <v/>
      </c>
      <c r="Z400" s="24" t="str">
        <f t="shared" si="11"/>
        <v>#DIV/0!</v>
      </c>
      <c r="AA400" s="21" t="str">
        <f>IF(A400="","",SUMIFS('Inventory &amp; COGS'!$H$2:$H$2001,'Inventory &amp; COGS'!$A$2:$A$2001,A400,'Inventory &amp; COGS'!$B$2:$B$2001,"Food"))</f>
        <v/>
      </c>
      <c r="AB400" s="21" t="str">
        <f>IF(A400="","",SUMIFS('Inventory &amp; COGS'!$H$2:$H$2001,'Inventory &amp; COGS'!$A$2:$A$2001,A400,'Inventory &amp; COGS'!$B$2:$B$2001,"Beverage"))</f>
        <v/>
      </c>
      <c r="AC400" s="21" t="str">
        <f t="shared" si="12"/>
        <v/>
      </c>
      <c r="AD400" s="24" t="str">
        <f t="shared" ref="AD400:AE400" si="415">IF(I400=0,"",AA400/I400)</f>
        <v/>
      </c>
      <c r="AE400" s="24" t="str">
        <f t="shared" si="415"/>
        <v/>
      </c>
      <c r="AF400" s="21" t="str">
        <f t="shared" si="14"/>
        <v/>
      </c>
      <c r="AG400" s="24" t="str">
        <f t="shared" si="15"/>
        <v>#DIV/0!</v>
      </c>
      <c r="AH400" s="25" t="str">
        <f t="shared" si="16"/>
        <v/>
      </c>
      <c r="AI400" s="25" t="str">
        <f t="shared" si="17"/>
        <v/>
      </c>
      <c r="AJ400" s="26" t="str">
        <f t="shared" si="18"/>
        <v/>
      </c>
    </row>
    <row r="401" ht="15.75" customHeight="1">
      <c r="A401" s="3"/>
      <c r="B401" s="18" t="str">
        <f t="shared" si="2"/>
        <v/>
      </c>
      <c r="C401" s="19"/>
      <c r="D401" s="19"/>
      <c r="E401" s="19"/>
      <c r="F401" s="20"/>
      <c r="G401" s="20"/>
      <c r="H401" s="21" t="str">
        <f t="shared" si="3"/>
        <v/>
      </c>
      <c r="I401" s="20"/>
      <c r="J401" s="20"/>
      <c r="K401" s="20"/>
      <c r="L401" s="20"/>
      <c r="M401" s="21" t="str">
        <f t="shared" si="4"/>
        <v/>
      </c>
      <c r="N401" s="20"/>
      <c r="O401" s="20"/>
      <c r="P401" s="20"/>
      <c r="Q401" s="21" t="str">
        <f t="shared" si="5"/>
        <v/>
      </c>
      <c r="R401" s="21" t="str">
        <f t="shared" si="6"/>
        <v/>
      </c>
      <c r="S401" s="22"/>
      <c r="T401" s="22"/>
      <c r="U401" s="23" t="str">
        <f t="shared" si="7"/>
        <v/>
      </c>
      <c r="V401" s="21" t="str">
        <f t="shared" si="8"/>
        <v>#DIV/0!</v>
      </c>
      <c r="W401" s="24" t="str">
        <f t="shared" si="9"/>
        <v>#DIV/0!</v>
      </c>
      <c r="X401" s="24" t="str">
        <f t="shared" si="10"/>
        <v>#DIV/0!</v>
      </c>
      <c r="Y401" s="21" t="str">
        <f>IF(A401="","",SUMIFS('Labor Log'!$I$2:$I$2001,'Labor Log'!$A$2:$A$2001,A401))</f>
        <v/>
      </c>
      <c r="Z401" s="24" t="str">
        <f t="shared" si="11"/>
        <v>#DIV/0!</v>
      </c>
      <c r="AA401" s="21" t="str">
        <f>IF(A401="","",SUMIFS('Inventory &amp; COGS'!$H$2:$H$2001,'Inventory &amp; COGS'!$A$2:$A$2001,A401,'Inventory &amp; COGS'!$B$2:$B$2001,"Food"))</f>
        <v/>
      </c>
      <c r="AB401" s="21" t="str">
        <f>IF(A401="","",SUMIFS('Inventory &amp; COGS'!$H$2:$H$2001,'Inventory &amp; COGS'!$A$2:$A$2001,A401,'Inventory &amp; COGS'!$B$2:$B$2001,"Beverage"))</f>
        <v/>
      </c>
      <c r="AC401" s="21" t="str">
        <f t="shared" si="12"/>
        <v/>
      </c>
      <c r="AD401" s="24" t="str">
        <f t="shared" ref="AD401:AE401" si="416">IF(I401=0,"",AA401/I401)</f>
        <v/>
      </c>
      <c r="AE401" s="24" t="str">
        <f t="shared" si="416"/>
        <v/>
      </c>
      <c r="AF401" s="21" t="str">
        <f t="shared" si="14"/>
        <v/>
      </c>
      <c r="AG401" s="24" t="str">
        <f t="shared" si="15"/>
        <v>#DIV/0!</v>
      </c>
      <c r="AH401" s="25" t="str">
        <f t="shared" si="16"/>
        <v/>
      </c>
      <c r="AI401" s="25" t="str">
        <f t="shared" si="17"/>
        <v/>
      </c>
      <c r="AJ401" s="26" t="str">
        <f t="shared" si="18"/>
        <v/>
      </c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4.0"/>
    <col customWidth="1" min="4" max="5" width="10.0"/>
    <col customWidth="1" min="6" max="6" width="12.0"/>
    <col customWidth="1" min="7" max="7" width="10.0"/>
    <col customWidth="1" min="8" max="9" width="14.0"/>
    <col customWidth="1" min="10" max="10" width="24.0"/>
    <col customWidth="1" min="11" max="26" width="8.71"/>
  </cols>
  <sheetData>
    <row r="1">
      <c r="A1" s="17" t="s">
        <v>29</v>
      </c>
      <c r="B1" s="17" t="s">
        <v>54</v>
      </c>
      <c r="C1" s="17" t="s">
        <v>55</v>
      </c>
      <c r="D1" s="17" t="s">
        <v>56</v>
      </c>
      <c r="E1" s="17" t="s">
        <v>57</v>
      </c>
      <c r="F1" s="17" t="s">
        <v>58</v>
      </c>
      <c r="G1" s="17" t="s">
        <v>59</v>
      </c>
      <c r="H1" s="17" t="s">
        <v>60</v>
      </c>
      <c r="I1" s="17" t="s">
        <v>17</v>
      </c>
      <c r="J1" s="17" t="s">
        <v>33</v>
      </c>
    </row>
    <row r="2">
      <c r="A2" s="3"/>
      <c r="B2" s="19"/>
      <c r="C2" s="19"/>
      <c r="D2" s="27"/>
      <c r="E2" s="27"/>
      <c r="F2" s="28"/>
      <c r="G2" s="29">
        <v>12.0</v>
      </c>
      <c r="H2" s="30"/>
      <c r="I2" s="21" t="str">
        <f t="shared" ref="I2:I2001" si="1">IF(OR(G2="",H2=""),"",G2*H2)</f>
        <v/>
      </c>
      <c r="J2" s="19"/>
    </row>
    <row r="3">
      <c r="A3" s="3"/>
      <c r="B3" s="19"/>
      <c r="C3" s="19"/>
      <c r="D3" s="27"/>
      <c r="E3" s="27"/>
      <c r="F3" s="28"/>
      <c r="G3" s="31" t="str">
        <f t="shared" ref="G3:G2001" si="2">IF(OR(D3="",E3=""),"",((IF(E3&lt;D3,E3+1,E3)-D3)*24)-IF(F3="",0,F3))</f>
        <v/>
      </c>
      <c r="H3" s="30"/>
      <c r="I3" s="21" t="str">
        <f t="shared" si="1"/>
        <v/>
      </c>
      <c r="J3" s="19"/>
    </row>
    <row r="4">
      <c r="A4" s="3"/>
      <c r="B4" s="19"/>
      <c r="C4" s="19"/>
      <c r="D4" s="27"/>
      <c r="E4" s="27"/>
      <c r="F4" s="28"/>
      <c r="G4" s="31" t="str">
        <f t="shared" si="2"/>
        <v/>
      </c>
      <c r="H4" s="30"/>
      <c r="I4" s="21" t="str">
        <f t="shared" si="1"/>
        <v/>
      </c>
      <c r="J4" s="19"/>
    </row>
    <row r="5">
      <c r="A5" s="3"/>
      <c r="B5" s="19"/>
      <c r="C5" s="19"/>
      <c r="D5" s="27"/>
      <c r="E5" s="27"/>
      <c r="F5" s="28"/>
      <c r="G5" s="31" t="str">
        <f t="shared" si="2"/>
        <v/>
      </c>
      <c r="H5" s="30"/>
      <c r="I5" s="21" t="str">
        <f t="shared" si="1"/>
        <v/>
      </c>
      <c r="J5" s="19"/>
    </row>
    <row r="6">
      <c r="A6" s="3"/>
      <c r="B6" s="19"/>
      <c r="C6" s="19"/>
      <c r="D6" s="27"/>
      <c r="E6" s="27"/>
      <c r="F6" s="28"/>
      <c r="G6" s="31" t="str">
        <f t="shared" si="2"/>
        <v/>
      </c>
      <c r="H6" s="30"/>
      <c r="I6" s="21" t="str">
        <f t="shared" si="1"/>
        <v/>
      </c>
      <c r="J6" s="19"/>
    </row>
    <row r="7">
      <c r="A7" s="3"/>
      <c r="B7" s="19"/>
      <c r="C7" s="19"/>
      <c r="D7" s="27"/>
      <c r="E7" s="27"/>
      <c r="F7" s="28"/>
      <c r="G7" s="31" t="str">
        <f t="shared" si="2"/>
        <v/>
      </c>
      <c r="H7" s="30"/>
      <c r="I7" s="21" t="str">
        <f t="shared" si="1"/>
        <v/>
      </c>
      <c r="J7" s="19"/>
    </row>
    <row r="8">
      <c r="A8" s="3"/>
      <c r="B8" s="19"/>
      <c r="C8" s="19"/>
      <c r="D8" s="27"/>
      <c r="E8" s="27"/>
      <c r="F8" s="28"/>
      <c r="G8" s="31" t="str">
        <f t="shared" si="2"/>
        <v/>
      </c>
      <c r="H8" s="30"/>
      <c r="I8" s="21" t="str">
        <f t="shared" si="1"/>
        <v/>
      </c>
      <c r="J8" s="19"/>
    </row>
    <row r="9">
      <c r="A9" s="3"/>
      <c r="B9" s="19"/>
      <c r="C9" s="19"/>
      <c r="D9" s="27"/>
      <c r="E9" s="27"/>
      <c r="F9" s="28"/>
      <c r="G9" s="31" t="str">
        <f t="shared" si="2"/>
        <v/>
      </c>
      <c r="H9" s="30"/>
      <c r="I9" s="21" t="str">
        <f t="shared" si="1"/>
        <v/>
      </c>
      <c r="J9" s="19"/>
    </row>
    <row r="10">
      <c r="A10" s="3"/>
      <c r="B10" s="19"/>
      <c r="C10" s="19"/>
      <c r="D10" s="27"/>
      <c r="E10" s="27"/>
      <c r="F10" s="28"/>
      <c r="G10" s="31" t="str">
        <f t="shared" si="2"/>
        <v/>
      </c>
      <c r="H10" s="30"/>
      <c r="I10" s="21" t="str">
        <f t="shared" si="1"/>
        <v/>
      </c>
      <c r="J10" s="19"/>
    </row>
    <row r="11">
      <c r="A11" s="3"/>
      <c r="B11" s="19"/>
      <c r="C11" s="19"/>
      <c r="D11" s="27"/>
      <c r="E11" s="27"/>
      <c r="F11" s="28"/>
      <c r="G11" s="31" t="str">
        <f t="shared" si="2"/>
        <v/>
      </c>
      <c r="H11" s="30"/>
      <c r="I11" s="21" t="str">
        <f t="shared" si="1"/>
        <v/>
      </c>
      <c r="J11" s="19"/>
    </row>
    <row r="12">
      <c r="A12" s="3"/>
      <c r="B12" s="19"/>
      <c r="C12" s="19"/>
      <c r="D12" s="27"/>
      <c r="E12" s="27"/>
      <c r="F12" s="28"/>
      <c r="G12" s="31" t="str">
        <f t="shared" si="2"/>
        <v/>
      </c>
      <c r="H12" s="30"/>
      <c r="I12" s="21" t="str">
        <f t="shared" si="1"/>
        <v/>
      </c>
      <c r="J12" s="19"/>
    </row>
    <row r="13">
      <c r="A13" s="3"/>
      <c r="B13" s="19"/>
      <c r="C13" s="19"/>
      <c r="D13" s="27"/>
      <c r="E13" s="27"/>
      <c r="F13" s="28"/>
      <c r="G13" s="31" t="str">
        <f t="shared" si="2"/>
        <v/>
      </c>
      <c r="H13" s="30"/>
      <c r="I13" s="21" t="str">
        <f t="shared" si="1"/>
        <v/>
      </c>
      <c r="J13" s="19"/>
    </row>
    <row r="14">
      <c r="A14" s="3"/>
      <c r="B14" s="19"/>
      <c r="C14" s="19"/>
      <c r="D14" s="27"/>
      <c r="E14" s="27"/>
      <c r="F14" s="28"/>
      <c r="G14" s="31" t="str">
        <f t="shared" si="2"/>
        <v/>
      </c>
      <c r="H14" s="30"/>
      <c r="I14" s="21" t="str">
        <f t="shared" si="1"/>
        <v/>
      </c>
      <c r="J14" s="19"/>
    </row>
    <row r="15">
      <c r="A15" s="3"/>
      <c r="B15" s="19"/>
      <c r="C15" s="19"/>
      <c r="D15" s="27"/>
      <c r="E15" s="27"/>
      <c r="F15" s="28"/>
      <c r="G15" s="31" t="str">
        <f t="shared" si="2"/>
        <v/>
      </c>
      <c r="H15" s="30"/>
      <c r="I15" s="21" t="str">
        <f t="shared" si="1"/>
        <v/>
      </c>
      <c r="J15" s="19"/>
    </row>
    <row r="16">
      <c r="A16" s="3"/>
      <c r="B16" s="19"/>
      <c r="C16" s="19"/>
      <c r="D16" s="27"/>
      <c r="E16" s="27"/>
      <c r="F16" s="28"/>
      <c r="G16" s="31" t="str">
        <f t="shared" si="2"/>
        <v/>
      </c>
      <c r="H16" s="30"/>
      <c r="I16" s="21" t="str">
        <f t="shared" si="1"/>
        <v/>
      </c>
      <c r="J16" s="19"/>
    </row>
    <row r="17">
      <c r="A17" s="3"/>
      <c r="B17" s="19"/>
      <c r="C17" s="19"/>
      <c r="D17" s="27"/>
      <c r="E17" s="27"/>
      <c r="F17" s="28"/>
      <c r="G17" s="31" t="str">
        <f t="shared" si="2"/>
        <v/>
      </c>
      <c r="H17" s="30"/>
      <c r="I17" s="21" t="str">
        <f t="shared" si="1"/>
        <v/>
      </c>
      <c r="J17" s="19"/>
    </row>
    <row r="18">
      <c r="A18" s="3"/>
      <c r="B18" s="19"/>
      <c r="C18" s="19"/>
      <c r="D18" s="27"/>
      <c r="E18" s="27"/>
      <c r="F18" s="28"/>
      <c r="G18" s="31" t="str">
        <f t="shared" si="2"/>
        <v/>
      </c>
      <c r="H18" s="30"/>
      <c r="I18" s="21" t="str">
        <f t="shared" si="1"/>
        <v/>
      </c>
      <c r="J18" s="19"/>
    </row>
    <row r="19">
      <c r="A19" s="3"/>
      <c r="B19" s="19"/>
      <c r="C19" s="19"/>
      <c r="D19" s="27"/>
      <c r="E19" s="27"/>
      <c r="F19" s="28"/>
      <c r="G19" s="31" t="str">
        <f t="shared" si="2"/>
        <v/>
      </c>
      <c r="H19" s="30"/>
      <c r="I19" s="21" t="str">
        <f t="shared" si="1"/>
        <v/>
      </c>
      <c r="J19" s="19"/>
    </row>
    <row r="20">
      <c r="A20" s="3"/>
      <c r="B20" s="19"/>
      <c r="C20" s="19"/>
      <c r="D20" s="27"/>
      <c r="E20" s="27"/>
      <c r="F20" s="28"/>
      <c r="G20" s="31" t="str">
        <f t="shared" si="2"/>
        <v/>
      </c>
      <c r="H20" s="30"/>
      <c r="I20" s="21" t="str">
        <f t="shared" si="1"/>
        <v/>
      </c>
      <c r="J20" s="19"/>
    </row>
    <row r="21" ht="15.75" customHeight="1">
      <c r="A21" s="3"/>
      <c r="B21" s="19"/>
      <c r="C21" s="19"/>
      <c r="D21" s="27"/>
      <c r="E21" s="27"/>
      <c r="F21" s="28"/>
      <c r="G21" s="31" t="str">
        <f t="shared" si="2"/>
        <v/>
      </c>
      <c r="H21" s="30"/>
      <c r="I21" s="21" t="str">
        <f t="shared" si="1"/>
        <v/>
      </c>
      <c r="J21" s="19"/>
    </row>
    <row r="22" ht="15.75" customHeight="1">
      <c r="A22" s="3"/>
      <c r="B22" s="19"/>
      <c r="C22" s="19"/>
      <c r="D22" s="27"/>
      <c r="E22" s="27"/>
      <c r="F22" s="28"/>
      <c r="G22" s="31" t="str">
        <f t="shared" si="2"/>
        <v/>
      </c>
      <c r="H22" s="30"/>
      <c r="I22" s="21" t="str">
        <f t="shared" si="1"/>
        <v/>
      </c>
      <c r="J22" s="19"/>
    </row>
    <row r="23" ht="15.75" customHeight="1">
      <c r="A23" s="3"/>
      <c r="B23" s="19"/>
      <c r="C23" s="19"/>
      <c r="D23" s="27"/>
      <c r="E23" s="27"/>
      <c r="F23" s="28"/>
      <c r="G23" s="31" t="str">
        <f t="shared" si="2"/>
        <v/>
      </c>
      <c r="H23" s="30"/>
      <c r="I23" s="21" t="str">
        <f t="shared" si="1"/>
        <v/>
      </c>
      <c r="J23" s="19"/>
    </row>
    <row r="24" ht="15.75" customHeight="1">
      <c r="A24" s="3"/>
      <c r="B24" s="19"/>
      <c r="C24" s="19"/>
      <c r="D24" s="27"/>
      <c r="E24" s="27"/>
      <c r="F24" s="28"/>
      <c r="G24" s="31" t="str">
        <f t="shared" si="2"/>
        <v/>
      </c>
      <c r="H24" s="30"/>
      <c r="I24" s="21" t="str">
        <f t="shared" si="1"/>
        <v/>
      </c>
      <c r="J24" s="19"/>
    </row>
    <row r="25" ht="15.75" customHeight="1">
      <c r="A25" s="3"/>
      <c r="B25" s="19"/>
      <c r="C25" s="19"/>
      <c r="D25" s="27"/>
      <c r="E25" s="27"/>
      <c r="F25" s="28"/>
      <c r="G25" s="31" t="str">
        <f t="shared" si="2"/>
        <v/>
      </c>
      <c r="H25" s="30"/>
      <c r="I25" s="21" t="str">
        <f t="shared" si="1"/>
        <v/>
      </c>
      <c r="J25" s="19"/>
    </row>
    <row r="26" ht="15.75" customHeight="1">
      <c r="A26" s="3"/>
      <c r="B26" s="19"/>
      <c r="C26" s="19"/>
      <c r="D26" s="27"/>
      <c r="E26" s="27"/>
      <c r="F26" s="28"/>
      <c r="G26" s="31" t="str">
        <f t="shared" si="2"/>
        <v/>
      </c>
      <c r="H26" s="30"/>
      <c r="I26" s="21" t="str">
        <f t="shared" si="1"/>
        <v/>
      </c>
      <c r="J26" s="19"/>
    </row>
    <row r="27" ht="15.75" customHeight="1">
      <c r="A27" s="3"/>
      <c r="B27" s="19"/>
      <c r="C27" s="19"/>
      <c r="D27" s="27"/>
      <c r="E27" s="27"/>
      <c r="F27" s="28"/>
      <c r="G27" s="31" t="str">
        <f t="shared" si="2"/>
        <v/>
      </c>
      <c r="H27" s="30"/>
      <c r="I27" s="21" t="str">
        <f t="shared" si="1"/>
        <v/>
      </c>
      <c r="J27" s="19"/>
    </row>
    <row r="28" ht="15.75" customHeight="1">
      <c r="A28" s="3"/>
      <c r="B28" s="19"/>
      <c r="C28" s="19"/>
      <c r="D28" s="27"/>
      <c r="E28" s="27"/>
      <c r="F28" s="28"/>
      <c r="G28" s="31" t="str">
        <f t="shared" si="2"/>
        <v/>
      </c>
      <c r="H28" s="30"/>
      <c r="I28" s="21" t="str">
        <f t="shared" si="1"/>
        <v/>
      </c>
      <c r="J28" s="19"/>
    </row>
    <row r="29" ht="15.75" customHeight="1">
      <c r="A29" s="3"/>
      <c r="B29" s="19"/>
      <c r="C29" s="19"/>
      <c r="D29" s="27"/>
      <c r="E29" s="27"/>
      <c r="F29" s="28"/>
      <c r="G29" s="31" t="str">
        <f t="shared" si="2"/>
        <v/>
      </c>
      <c r="H29" s="30"/>
      <c r="I29" s="21" t="str">
        <f t="shared" si="1"/>
        <v/>
      </c>
      <c r="J29" s="19"/>
    </row>
    <row r="30" ht="15.75" customHeight="1">
      <c r="A30" s="3"/>
      <c r="B30" s="19"/>
      <c r="C30" s="19"/>
      <c r="D30" s="27"/>
      <c r="E30" s="27"/>
      <c r="F30" s="28"/>
      <c r="G30" s="31" t="str">
        <f t="shared" si="2"/>
        <v/>
      </c>
      <c r="H30" s="30"/>
      <c r="I30" s="21" t="str">
        <f t="shared" si="1"/>
        <v/>
      </c>
      <c r="J30" s="19"/>
    </row>
    <row r="31" ht="15.75" customHeight="1">
      <c r="A31" s="3"/>
      <c r="B31" s="19"/>
      <c r="C31" s="19"/>
      <c r="D31" s="27"/>
      <c r="E31" s="27"/>
      <c r="F31" s="28"/>
      <c r="G31" s="31" t="str">
        <f t="shared" si="2"/>
        <v/>
      </c>
      <c r="H31" s="30"/>
      <c r="I31" s="21" t="str">
        <f t="shared" si="1"/>
        <v/>
      </c>
      <c r="J31" s="19"/>
    </row>
    <row r="32" ht="15.75" customHeight="1">
      <c r="A32" s="3"/>
      <c r="B32" s="19"/>
      <c r="C32" s="19"/>
      <c r="D32" s="27"/>
      <c r="E32" s="27"/>
      <c r="F32" s="28"/>
      <c r="G32" s="31" t="str">
        <f t="shared" si="2"/>
        <v/>
      </c>
      <c r="H32" s="30"/>
      <c r="I32" s="21" t="str">
        <f t="shared" si="1"/>
        <v/>
      </c>
      <c r="J32" s="19"/>
    </row>
    <row r="33" ht="15.75" customHeight="1">
      <c r="A33" s="3"/>
      <c r="B33" s="19"/>
      <c r="C33" s="19"/>
      <c r="D33" s="27"/>
      <c r="E33" s="27"/>
      <c r="F33" s="28"/>
      <c r="G33" s="31" t="str">
        <f t="shared" si="2"/>
        <v/>
      </c>
      <c r="H33" s="30"/>
      <c r="I33" s="21" t="str">
        <f t="shared" si="1"/>
        <v/>
      </c>
      <c r="J33" s="19"/>
    </row>
    <row r="34" ht="15.75" customHeight="1">
      <c r="A34" s="3"/>
      <c r="B34" s="19"/>
      <c r="C34" s="19"/>
      <c r="D34" s="27"/>
      <c r="E34" s="27"/>
      <c r="F34" s="28"/>
      <c r="G34" s="31" t="str">
        <f t="shared" si="2"/>
        <v/>
      </c>
      <c r="H34" s="30"/>
      <c r="I34" s="21" t="str">
        <f t="shared" si="1"/>
        <v/>
      </c>
      <c r="J34" s="19"/>
    </row>
    <row r="35" ht="15.75" customHeight="1">
      <c r="A35" s="3"/>
      <c r="B35" s="19"/>
      <c r="C35" s="19"/>
      <c r="D35" s="27"/>
      <c r="E35" s="27"/>
      <c r="F35" s="28"/>
      <c r="G35" s="31" t="str">
        <f t="shared" si="2"/>
        <v/>
      </c>
      <c r="H35" s="30"/>
      <c r="I35" s="21" t="str">
        <f t="shared" si="1"/>
        <v/>
      </c>
      <c r="J35" s="19"/>
    </row>
    <row r="36" ht="15.75" customHeight="1">
      <c r="A36" s="3"/>
      <c r="B36" s="19"/>
      <c r="C36" s="19"/>
      <c r="D36" s="27"/>
      <c r="E36" s="27"/>
      <c r="F36" s="28"/>
      <c r="G36" s="31" t="str">
        <f t="shared" si="2"/>
        <v/>
      </c>
      <c r="H36" s="30"/>
      <c r="I36" s="21" t="str">
        <f t="shared" si="1"/>
        <v/>
      </c>
      <c r="J36" s="19"/>
    </row>
    <row r="37" ht="15.75" customHeight="1">
      <c r="A37" s="3"/>
      <c r="B37" s="19"/>
      <c r="C37" s="19"/>
      <c r="D37" s="27"/>
      <c r="E37" s="27"/>
      <c r="F37" s="28"/>
      <c r="G37" s="31" t="str">
        <f t="shared" si="2"/>
        <v/>
      </c>
      <c r="H37" s="30"/>
      <c r="I37" s="21" t="str">
        <f t="shared" si="1"/>
        <v/>
      </c>
      <c r="J37" s="19"/>
    </row>
    <row r="38" ht="15.75" customHeight="1">
      <c r="A38" s="3"/>
      <c r="B38" s="19"/>
      <c r="C38" s="19"/>
      <c r="D38" s="27"/>
      <c r="E38" s="27"/>
      <c r="F38" s="28"/>
      <c r="G38" s="31" t="str">
        <f t="shared" si="2"/>
        <v/>
      </c>
      <c r="H38" s="30"/>
      <c r="I38" s="21" t="str">
        <f t="shared" si="1"/>
        <v/>
      </c>
      <c r="J38" s="19"/>
    </row>
    <row r="39" ht="15.75" customHeight="1">
      <c r="A39" s="3"/>
      <c r="B39" s="19"/>
      <c r="C39" s="19"/>
      <c r="D39" s="27"/>
      <c r="E39" s="27"/>
      <c r="F39" s="28"/>
      <c r="G39" s="31" t="str">
        <f t="shared" si="2"/>
        <v/>
      </c>
      <c r="H39" s="30"/>
      <c r="I39" s="21" t="str">
        <f t="shared" si="1"/>
        <v/>
      </c>
      <c r="J39" s="19"/>
    </row>
    <row r="40" ht="15.75" customHeight="1">
      <c r="A40" s="3"/>
      <c r="B40" s="19"/>
      <c r="C40" s="19"/>
      <c r="D40" s="27"/>
      <c r="E40" s="27"/>
      <c r="F40" s="28"/>
      <c r="G40" s="31" t="str">
        <f t="shared" si="2"/>
        <v/>
      </c>
      <c r="H40" s="30"/>
      <c r="I40" s="21" t="str">
        <f t="shared" si="1"/>
        <v/>
      </c>
      <c r="J40" s="19"/>
    </row>
    <row r="41" ht="15.75" customHeight="1">
      <c r="A41" s="3"/>
      <c r="B41" s="19"/>
      <c r="C41" s="19"/>
      <c r="D41" s="27"/>
      <c r="E41" s="27"/>
      <c r="F41" s="28"/>
      <c r="G41" s="31" t="str">
        <f t="shared" si="2"/>
        <v/>
      </c>
      <c r="H41" s="30"/>
      <c r="I41" s="21" t="str">
        <f t="shared" si="1"/>
        <v/>
      </c>
      <c r="J41" s="19"/>
    </row>
    <row r="42" ht="15.75" customHeight="1">
      <c r="A42" s="3"/>
      <c r="B42" s="19"/>
      <c r="C42" s="19"/>
      <c r="D42" s="27"/>
      <c r="E42" s="27"/>
      <c r="F42" s="28"/>
      <c r="G42" s="31" t="str">
        <f t="shared" si="2"/>
        <v/>
      </c>
      <c r="H42" s="30"/>
      <c r="I42" s="21" t="str">
        <f t="shared" si="1"/>
        <v/>
      </c>
      <c r="J42" s="19"/>
    </row>
    <row r="43" ht="15.75" customHeight="1">
      <c r="A43" s="3"/>
      <c r="B43" s="19"/>
      <c r="C43" s="19"/>
      <c r="D43" s="27"/>
      <c r="E43" s="27"/>
      <c r="F43" s="28"/>
      <c r="G43" s="31" t="str">
        <f t="shared" si="2"/>
        <v/>
      </c>
      <c r="H43" s="30"/>
      <c r="I43" s="21" t="str">
        <f t="shared" si="1"/>
        <v/>
      </c>
      <c r="J43" s="19"/>
    </row>
    <row r="44" ht="15.75" customHeight="1">
      <c r="A44" s="3"/>
      <c r="B44" s="19"/>
      <c r="C44" s="19"/>
      <c r="D44" s="27"/>
      <c r="E44" s="27"/>
      <c r="F44" s="28"/>
      <c r="G44" s="31" t="str">
        <f t="shared" si="2"/>
        <v/>
      </c>
      <c r="H44" s="30"/>
      <c r="I44" s="21" t="str">
        <f t="shared" si="1"/>
        <v/>
      </c>
      <c r="J44" s="19"/>
    </row>
    <row r="45" ht="15.75" customHeight="1">
      <c r="A45" s="3"/>
      <c r="B45" s="19"/>
      <c r="C45" s="19"/>
      <c r="D45" s="27"/>
      <c r="E45" s="27"/>
      <c r="F45" s="28"/>
      <c r="G45" s="31" t="str">
        <f t="shared" si="2"/>
        <v/>
      </c>
      <c r="H45" s="30"/>
      <c r="I45" s="21" t="str">
        <f t="shared" si="1"/>
        <v/>
      </c>
      <c r="J45" s="19"/>
    </row>
    <row r="46" ht="15.75" customHeight="1">
      <c r="A46" s="3"/>
      <c r="B46" s="19"/>
      <c r="C46" s="19"/>
      <c r="D46" s="27"/>
      <c r="E46" s="27"/>
      <c r="F46" s="28"/>
      <c r="G46" s="31" t="str">
        <f t="shared" si="2"/>
        <v/>
      </c>
      <c r="H46" s="30"/>
      <c r="I46" s="21" t="str">
        <f t="shared" si="1"/>
        <v/>
      </c>
      <c r="J46" s="19"/>
    </row>
    <row r="47" ht="15.75" customHeight="1">
      <c r="A47" s="3"/>
      <c r="B47" s="19"/>
      <c r="C47" s="19"/>
      <c r="D47" s="27"/>
      <c r="E47" s="27"/>
      <c r="F47" s="28"/>
      <c r="G47" s="31" t="str">
        <f t="shared" si="2"/>
        <v/>
      </c>
      <c r="H47" s="30"/>
      <c r="I47" s="21" t="str">
        <f t="shared" si="1"/>
        <v/>
      </c>
      <c r="J47" s="19"/>
    </row>
    <row r="48" ht="15.75" customHeight="1">
      <c r="A48" s="3"/>
      <c r="B48" s="19"/>
      <c r="C48" s="19"/>
      <c r="D48" s="27"/>
      <c r="E48" s="27"/>
      <c r="F48" s="28"/>
      <c r="G48" s="31" t="str">
        <f t="shared" si="2"/>
        <v/>
      </c>
      <c r="H48" s="30"/>
      <c r="I48" s="21" t="str">
        <f t="shared" si="1"/>
        <v/>
      </c>
      <c r="J48" s="19"/>
    </row>
    <row r="49" ht="15.75" customHeight="1">
      <c r="A49" s="3"/>
      <c r="B49" s="19"/>
      <c r="C49" s="19"/>
      <c r="D49" s="27"/>
      <c r="E49" s="27"/>
      <c r="F49" s="28"/>
      <c r="G49" s="31" t="str">
        <f t="shared" si="2"/>
        <v/>
      </c>
      <c r="H49" s="30"/>
      <c r="I49" s="21" t="str">
        <f t="shared" si="1"/>
        <v/>
      </c>
      <c r="J49" s="19"/>
    </row>
    <row r="50" ht="15.75" customHeight="1">
      <c r="A50" s="3"/>
      <c r="B50" s="19"/>
      <c r="C50" s="19"/>
      <c r="D50" s="27"/>
      <c r="E50" s="27"/>
      <c r="F50" s="28"/>
      <c r="G50" s="31" t="str">
        <f t="shared" si="2"/>
        <v/>
      </c>
      <c r="H50" s="30"/>
      <c r="I50" s="21" t="str">
        <f t="shared" si="1"/>
        <v/>
      </c>
      <c r="J50" s="19"/>
    </row>
    <row r="51" ht="15.75" customHeight="1">
      <c r="A51" s="3"/>
      <c r="B51" s="19"/>
      <c r="C51" s="19"/>
      <c r="D51" s="27"/>
      <c r="E51" s="27"/>
      <c r="F51" s="28"/>
      <c r="G51" s="31" t="str">
        <f t="shared" si="2"/>
        <v/>
      </c>
      <c r="H51" s="30"/>
      <c r="I51" s="21" t="str">
        <f t="shared" si="1"/>
        <v/>
      </c>
      <c r="J51" s="19"/>
    </row>
    <row r="52" ht="15.75" customHeight="1">
      <c r="A52" s="3"/>
      <c r="B52" s="19"/>
      <c r="C52" s="19"/>
      <c r="D52" s="27"/>
      <c r="E52" s="27"/>
      <c r="F52" s="28"/>
      <c r="G52" s="31" t="str">
        <f t="shared" si="2"/>
        <v/>
      </c>
      <c r="H52" s="30"/>
      <c r="I52" s="21" t="str">
        <f t="shared" si="1"/>
        <v/>
      </c>
      <c r="J52" s="19"/>
    </row>
    <row r="53" ht="15.75" customHeight="1">
      <c r="A53" s="3"/>
      <c r="B53" s="19"/>
      <c r="C53" s="19"/>
      <c r="D53" s="27"/>
      <c r="E53" s="27"/>
      <c r="F53" s="28"/>
      <c r="G53" s="31" t="str">
        <f t="shared" si="2"/>
        <v/>
      </c>
      <c r="H53" s="30"/>
      <c r="I53" s="21" t="str">
        <f t="shared" si="1"/>
        <v/>
      </c>
      <c r="J53" s="19"/>
    </row>
    <row r="54" ht="15.75" customHeight="1">
      <c r="A54" s="3"/>
      <c r="B54" s="19"/>
      <c r="C54" s="19"/>
      <c r="D54" s="27"/>
      <c r="E54" s="27"/>
      <c r="F54" s="28"/>
      <c r="G54" s="31" t="str">
        <f t="shared" si="2"/>
        <v/>
      </c>
      <c r="H54" s="30"/>
      <c r="I54" s="21" t="str">
        <f t="shared" si="1"/>
        <v/>
      </c>
      <c r="J54" s="19"/>
    </row>
    <row r="55" ht="15.75" customHeight="1">
      <c r="A55" s="3"/>
      <c r="B55" s="19"/>
      <c r="C55" s="19"/>
      <c r="D55" s="27"/>
      <c r="E55" s="27"/>
      <c r="F55" s="28"/>
      <c r="G55" s="31" t="str">
        <f t="shared" si="2"/>
        <v/>
      </c>
      <c r="H55" s="30"/>
      <c r="I55" s="21" t="str">
        <f t="shared" si="1"/>
        <v/>
      </c>
      <c r="J55" s="19"/>
    </row>
    <row r="56" ht="15.75" customHeight="1">
      <c r="A56" s="3"/>
      <c r="B56" s="19"/>
      <c r="C56" s="19"/>
      <c r="D56" s="27"/>
      <c r="E56" s="27"/>
      <c r="F56" s="28"/>
      <c r="G56" s="31" t="str">
        <f t="shared" si="2"/>
        <v/>
      </c>
      <c r="H56" s="30"/>
      <c r="I56" s="21" t="str">
        <f t="shared" si="1"/>
        <v/>
      </c>
      <c r="J56" s="19"/>
    </row>
    <row r="57" ht="15.75" customHeight="1">
      <c r="A57" s="3"/>
      <c r="B57" s="19"/>
      <c r="C57" s="19"/>
      <c r="D57" s="27"/>
      <c r="E57" s="27"/>
      <c r="F57" s="28"/>
      <c r="G57" s="31" t="str">
        <f t="shared" si="2"/>
        <v/>
      </c>
      <c r="H57" s="30"/>
      <c r="I57" s="21" t="str">
        <f t="shared" si="1"/>
        <v/>
      </c>
      <c r="J57" s="19"/>
    </row>
    <row r="58" ht="15.75" customHeight="1">
      <c r="A58" s="3"/>
      <c r="B58" s="19"/>
      <c r="C58" s="19"/>
      <c r="D58" s="27"/>
      <c r="E58" s="27"/>
      <c r="F58" s="28"/>
      <c r="G58" s="31" t="str">
        <f t="shared" si="2"/>
        <v/>
      </c>
      <c r="H58" s="30"/>
      <c r="I58" s="21" t="str">
        <f t="shared" si="1"/>
        <v/>
      </c>
      <c r="J58" s="19"/>
    </row>
    <row r="59" ht="15.75" customHeight="1">
      <c r="A59" s="3"/>
      <c r="B59" s="19"/>
      <c r="C59" s="19"/>
      <c r="D59" s="27"/>
      <c r="E59" s="27"/>
      <c r="F59" s="28"/>
      <c r="G59" s="31" t="str">
        <f t="shared" si="2"/>
        <v/>
      </c>
      <c r="H59" s="30"/>
      <c r="I59" s="21" t="str">
        <f t="shared" si="1"/>
        <v/>
      </c>
      <c r="J59" s="19"/>
    </row>
    <row r="60" ht="15.75" customHeight="1">
      <c r="A60" s="3"/>
      <c r="B60" s="19"/>
      <c r="C60" s="19"/>
      <c r="D60" s="27"/>
      <c r="E60" s="27"/>
      <c r="F60" s="28"/>
      <c r="G60" s="31" t="str">
        <f t="shared" si="2"/>
        <v/>
      </c>
      <c r="H60" s="30"/>
      <c r="I60" s="21" t="str">
        <f t="shared" si="1"/>
        <v/>
      </c>
      <c r="J60" s="19"/>
    </row>
    <row r="61" ht="15.75" customHeight="1">
      <c r="A61" s="3"/>
      <c r="B61" s="19"/>
      <c r="C61" s="19"/>
      <c r="D61" s="27"/>
      <c r="E61" s="27"/>
      <c r="F61" s="28"/>
      <c r="G61" s="31" t="str">
        <f t="shared" si="2"/>
        <v/>
      </c>
      <c r="H61" s="30"/>
      <c r="I61" s="21" t="str">
        <f t="shared" si="1"/>
        <v/>
      </c>
      <c r="J61" s="19"/>
    </row>
    <row r="62" ht="15.75" customHeight="1">
      <c r="A62" s="3"/>
      <c r="B62" s="19"/>
      <c r="C62" s="19"/>
      <c r="D62" s="27"/>
      <c r="E62" s="27"/>
      <c r="F62" s="28"/>
      <c r="G62" s="31" t="str">
        <f t="shared" si="2"/>
        <v/>
      </c>
      <c r="H62" s="30"/>
      <c r="I62" s="21" t="str">
        <f t="shared" si="1"/>
        <v/>
      </c>
      <c r="J62" s="19"/>
    </row>
    <row r="63" ht="15.75" customHeight="1">
      <c r="A63" s="3"/>
      <c r="B63" s="19"/>
      <c r="C63" s="19"/>
      <c r="D63" s="27"/>
      <c r="E63" s="27"/>
      <c r="F63" s="28"/>
      <c r="G63" s="31" t="str">
        <f t="shared" si="2"/>
        <v/>
      </c>
      <c r="H63" s="30"/>
      <c r="I63" s="21" t="str">
        <f t="shared" si="1"/>
        <v/>
      </c>
      <c r="J63" s="19"/>
    </row>
    <row r="64" ht="15.75" customHeight="1">
      <c r="A64" s="3"/>
      <c r="B64" s="19"/>
      <c r="C64" s="19"/>
      <c r="D64" s="27"/>
      <c r="E64" s="27"/>
      <c r="F64" s="28"/>
      <c r="G64" s="31" t="str">
        <f t="shared" si="2"/>
        <v/>
      </c>
      <c r="H64" s="30"/>
      <c r="I64" s="21" t="str">
        <f t="shared" si="1"/>
        <v/>
      </c>
      <c r="J64" s="19"/>
    </row>
    <row r="65" ht="15.75" customHeight="1">
      <c r="A65" s="3"/>
      <c r="B65" s="19"/>
      <c r="C65" s="19"/>
      <c r="D65" s="27"/>
      <c r="E65" s="27"/>
      <c r="F65" s="28"/>
      <c r="G65" s="31" t="str">
        <f t="shared" si="2"/>
        <v/>
      </c>
      <c r="H65" s="30"/>
      <c r="I65" s="21" t="str">
        <f t="shared" si="1"/>
        <v/>
      </c>
      <c r="J65" s="19"/>
    </row>
    <row r="66" ht="15.75" customHeight="1">
      <c r="A66" s="3"/>
      <c r="B66" s="19"/>
      <c r="C66" s="19"/>
      <c r="D66" s="27"/>
      <c r="E66" s="27"/>
      <c r="F66" s="28"/>
      <c r="G66" s="31" t="str">
        <f t="shared" si="2"/>
        <v/>
      </c>
      <c r="H66" s="30"/>
      <c r="I66" s="21" t="str">
        <f t="shared" si="1"/>
        <v/>
      </c>
      <c r="J66" s="19"/>
    </row>
    <row r="67" ht="15.75" customHeight="1">
      <c r="A67" s="3"/>
      <c r="B67" s="19"/>
      <c r="C67" s="19"/>
      <c r="D67" s="27"/>
      <c r="E67" s="27"/>
      <c r="F67" s="28"/>
      <c r="G67" s="31" t="str">
        <f t="shared" si="2"/>
        <v/>
      </c>
      <c r="H67" s="30"/>
      <c r="I67" s="21" t="str">
        <f t="shared" si="1"/>
        <v/>
      </c>
      <c r="J67" s="19"/>
    </row>
    <row r="68" ht="15.75" customHeight="1">
      <c r="A68" s="3"/>
      <c r="B68" s="19"/>
      <c r="C68" s="19"/>
      <c r="D68" s="27"/>
      <c r="E68" s="27"/>
      <c r="F68" s="28"/>
      <c r="G68" s="31" t="str">
        <f t="shared" si="2"/>
        <v/>
      </c>
      <c r="H68" s="30"/>
      <c r="I68" s="21" t="str">
        <f t="shared" si="1"/>
        <v/>
      </c>
      <c r="J68" s="19"/>
    </row>
    <row r="69" ht="15.75" customHeight="1">
      <c r="A69" s="3"/>
      <c r="B69" s="19"/>
      <c r="C69" s="19"/>
      <c r="D69" s="27"/>
      <c r="E69" s="27"/>
      <c r="F69" s="28"/>
      <c r="G69" s="31" t="str">
        <f t="shared" si="2"/>
        <v/>
      </c>
      <c r="H69" s="30"/>
      <c r="I69" s="21" t="str">
        <f t="shared" si="1"/>
        <v/>
      </c>
      <c r="J69" s="19"/>
    </row>
    <row r="70" ht="15.75" customHeight="1">
      <c r="A70" s="3"/>
      <c r="B70" s="19"/>
      <c r="C70" s="19"/>
      <c r="D70" s="27"/>
      <c r="E70" s="27"/>
      <c r="F70" s="28"/>
      <c r="G70" s="31" t="str">
        <f t="shared" si="2"/>
        <v/>
      </c>
      <c r="H70" s="30"/>
      <c r="I70" s="21" t="str">
        <f t="shared" si="1"/>
        <v/>
      </c>
      <c r="J70" s="19"/>
    </row>
    <row r="71" ht="15.75" customHeight="1">
      <c r="A71" s="3"/>
      <c r="B71" s="19"/>
      <c r="C71" s="19"/>
      <c r="D71" s="27"/>
      <c r="E71" s="27"/>
      <c r="F71" s="28"/>
      <c r="G71" s="31" t="str">
        <f t="shared" si="2"/>
        <v/>
      </c>
      <c r="H71" s="30"/>
      <c r="I71" s="21" t="str">
        <f t="shared" si="1"/>
        <v/>
      </c>
      <c r="J71" s="19"/>
    </row>
    <row r="72" ht="15.75" customHeight="1">
      <c r="A72" s="3"/>
      <c r="B72" s="19"/>
      <c r="C72" s="19"/>
      <c r="D72" s="27"/>
      <c r="E72" s="27"/>
      <c r="F72" s="28"/>
      <c r="G72" s="31" t="str">
        <f t="shared" si="2"/>
        <v/>
      </c>
      <c r="H72" s="30"/>
      <c r="I72" s="21" t="str">
        <f t="shared" si="1"/>
        <v/>
      </c>
      <c r="J72" s="19"/>
    </row>
    <row r="73" ht="15.75" customHeight="1">
      <c r="A73" s="3"/>
      <c r="B73" s="19"/>
      <c r="C73" s="19"/>
      <c r="D73" s="27"/>
      <c r="E73" s="27"/>
      <c r="F73" s="28"/>
      <c r="G73" s="31" t="str">
        <f t="shared" si="2"/>
        <v/>
      </c>
      <c r="H73" s="30"/>
      <c r="I73" s="21" t="str">
        <f t="shared" si="1"/>
        <v/>
      </c>
      <c r="J73" s="19"/>
    </row>
    <row r="74" ht="15.75" customHeight="1">
      <c r="A74" s="3"/>
      <c r="B74" s="19"/>
      <c r="C74" s="19"/>
      <c r="D74" s="27"/>
      <c r="E74" s="27"/>
      <c r="F74" s="28"/>
      <c r="G74" s="31" t="str">
        <f t="shared" si="2"/>
        <v/>
      </c>
      <c r="H74" s="30"/>
      <c r="I74" s="21" t="str">
        <f t="shared" si="1"/>
        <v/>
      </c>
      <c r="J74" s="19"/>
    </row>
    <row r="75" ht="15.75" customHeight="1">
      <c r="A75" s="3"/>
      <c r="B75" s="19"/>
      <c r="C75" s="19"/>
      <c r="D75" s="27"/>
      <c r="E75" s="27"/>
      <c r="F75" s="28"/>
      <c r="G75" s="31" t="str">
        <f t="shared" si="2"/>
        <v/>
      </c>
      <c r="H75" s="30"/>
      <c r="I75" s="21" t="str">
        <f t="shared" si="1"/>
        <v/>
      </c>
      <c r="J75" s="19"/>
    </row>
    <row r="76" ht="15.75" customHeight="1">
      <c r="A76" s="3"/>
      <c r="B76" s="19"/>
      <c r="C76" s="19"/>
      <c r="D76" s="27"/>
      <c r="E76" s="27"/>
      <c r="F76" s="28"/>
      <c r="G76" s="31" t="str">
        <f t="shared" si="2"/>
        <v/>
      </c>
      <c r="H76" s="30"/>
      <c r="I76" s="21" t="str">
        <f t="shared" si="1"/>
        <v/>
      </c>
      <c r="J76" s="19"/>
    </row>
    <row r="77" ht="15.75" customHeight="1">
      <c r="A77" s="3"/>
      <c r="B77" s="19"/>
      <c r="C77" s="19"/>
      <c r="D77" s="27"/>
      <c r="E77" s="27"/>
      <c r="F77" s="28"/>
      <c r="G77" s="31" t="str">
        <f t="shared" si="2"/>
        <v/>
      </c>
      <c r="H77" s="30"/>
      <c r="I77" s="21" t="str">
        <f t="shared" si="1"/>
        <v/>
      </c>
      <c r="J77" s="19"/>
    </row>
    <row r="78" ht="15.75" customHeight="1">
      <c r="A78" s="3"/>
      <c r="B78" s="19"/>
      <c r="C78" s="19"/>
      <c r="D78" s="27"/>
      <c r="E78" s="27"/>
      <c r="F78" s="28"/>
      <c r="G78" s="31" t="str">
        <f t="shared" si="2"/>
        <v/>
      </c>
      <c r="H78" s="30"/>
      <c r="I78" s="21" t="str">
        <f t="shared" si="1"/>
        <v/>
      </c>
      <c r="J78" s="19"/>
    </row>
    <row r="79" ht="15.75" customHeight="1">
      <c r="A79" s="3"/>
      <c r="B79" s="19"/>
      <c r="C79" s="19"/>
      <c r="D79" s="27"/>
      <c r="E79" s="27"/>
      <c r="F79" s="28"/>
      <c r="G79" s="31" t="str">
        <f t="shared" si="2"/>
        <v/>
      </c>
      <c r="H79" s="30"/>
      <c r="I79" s="21" t="str">
        <f t="shared" si="1"/>
        <v/>
      </c>
      <c r="J79" s="19"/>
    </row>
    <row r="80" ht="15.75" customHeight="1">
      <c r="A80" s="3"/>
      <c r="B80" s="19"/>
      <c r="C80" s="19"/>
      <c r="D80" s="27"/>
      <c r="E80" s="27"/>
      <c r="F80" s="28"/>
      <c r="G80" s="31" t="str">
        <f t="shared" si="2"/>
        <v/>
      </c>
      <c r="H80" s="30"/>
      <c r="I80" s="21" t="str">
        <f t="shared" si="1"/>
        <v/>
      </c>
      <c r="J80" s="19"/>
    </row>
    <row r="81" ht="15.75" customHeight="1">
      <c r="A81" s="3"/>
      <c r="B81" s="19"/>
      <c r="C81" s="19"/>
      <c r="D81" s="27"/>
      <c r="E81" s="27"/>
      <c r="F81" s="28"/>
      <c r="G81" s="31" t="str">
        <f t="shared" si="2"/>
        <v/>
      </c>
      <c r="H81" s="30"/>
      <c r="I81" s="21" t="str">
        <f t="shared" si="1"/>
        <v/>
      </c>
      <c r="J81" s="19"/>
    </row>
    <row r="82" ht="15.75" customHeight="1">
      <c r="A82" s="3"/>
      <c r="B82" s="19"/>
      <c r="C82" s="19"/>
      <c r="D82" s="27"/>
      <c r="E82" s="27"/>
      <c r="F82" s="28"/>
      <c r="G82" s="31" t="str">
        <f t="shared" si="2"/>
        <v/>
      </c>
      <c r="H82" s="30"/>
      <c r="I82" s="21" t="str">
        <f t="shared" si="1"/>
        <v/>
      </c>
      <c r="J82" s="19"/>
    </row>
    <row r="83" ht="15.75" customHeight="1">
      <c r="A83" s="3"/>
      <c r="B83" s="19"/>
      <c r="C83" s="19"/>
      <c r="D83" s="27"/>
      <c r="E83" s="27"/>
      <c r="F83" s="28"/>
      <c r="G83" s="31" t="str">
        <f t="shared" si="2"/>
        <v/>
      </c>
      <c r="H83" s="30"/>
      <c r="I83" s="21" t="str">
        <f t="shared" si="1"/>
        <v/>
      </c>
      <c r="J83" s="19"/>
    </row>
    <row r="84" ht="15.75" customHeight="1">
      <c r="A84" s="3"/>
      <c r="B84" s="19"/>
      <c r="C84" s="19"/>
      <c r="D84" s="27"/>
      <c r="E84" s="27"/>
      <c r="F84" s="28"/>
      <c r="G84" s="31" t="str">
        <f t="shared" si="2"/>
        <v/>
      </c>
      <c r="H84" s="30"/>
      <c r="I84" s="21" t="str">
        <f t="shared" si="1"/>
        <v/>
      </c>
      <c r="J84" s="19"/>
    </row>
    <row r="85" ht="15.75" customHeight="1">
      <c r="A85" s="3"/>
      <c r="B85" s="19"/>
      <c r="C85" s="19"/>
      <c r="D85" s="27"/>
      <c r="E85" s="27"/>
      <c r="F85" s="28"/>
      <c r="G85" s="31" t="str">
        <f t="shared" si="2"/>
        <v/>
      </c>
      <c r="H85" s="30"/>
      <c r="I85" s="21" t="str">
        <f t="shared" si="1"/>
        <v/>
      </c>
      <c r="J85" s="19"/>
    </row>
    <row r="86" ht="15.75" customHeight="1">
      <c r="A86" s="3"/>
      <c r="B86" s="19"/>
      <c r="C86" s="19"/>
      <c r="D86" s="27"/>
      <c r="E86" s="27"/>
      <c r="F86" s="28"/>
      <c r="G86" s="31" t="str">
        <f t="shared" si="2"/>
        <v/>
      </c>
      <c r="H86" s="30"/>
      <c r="I86" s="21" t="str">
        <f t="shared" si="1"/>
        <v/>
      </c>
      <c r="J86" s="19"/>
    </row>
    <row r="87" ht="15.75" customHeight="1">
      <c r="A87" s="3"/>
      <c r="B87" s="19"/>
      <c r="C87" s="19"/>
      <c r="D87" s="27"/>
      <c r="E87" s="27"/>
      <c r="F87" s="28"/>
      <c r="G87" s="31" t="str">
        <f t="shared" si="2"/>
        <v/>
      </c>
      <c r="H87" s="30"/>
      <c r="I87" s="21" t="str">
        <f t="shared" si="1"/>
        <v/>
      </c>
      <c r="J87" s="19"/>
    </row>
    <row r="88" ht="15.75" customHeight="1">
      <c r="A88" s="3"/>
      <c r="B88" s="19"/>
      <c r="C88" s="19"/>
      <c r="D88" s="27"/>
      <c r="E88" s="27"/>
      <c r="F88" s="28"/>
      <c r="G88" s="31" t="str">
        <f t="shared" si="2"/>
        <v/>
      </c>
      <c r="H88" s="30"/>
      <c r="I88" s="21" t="str">
        <f t="shared" si="1"/>
        <v/>
      </c>
      <c r="J88" s="19"/>
    </row>
    <row r="89" ht="15.75" customHeight="1">
      <c r="A89" s="3"/>
      <c r="B89" s="19"/>
      <c r="C89" s="19"/>
      <c r="D89" s="27"/>
      <c r="E89" s="27"/>
      <c r="F89" s="28"/>
      <c r="G89" s="31" t="str">
        <f t="shared" si="2"/>
        <v/>
      </c>
      <c r="H89" s="30"/>
      <c r="I89" s="21" t="str">
        <f t="shared" si="1"/>
        <v/>
      </c>
      <c r="J89" s="19"/>
    </row>
    <row r="90" ht="15.75" customHeight="1">
      <c r="A90" s="3"/>
      <c r="B90" s="19"/>
      <c r="C90" s="19"/>
      <c r="D90" s="27"/>
      <c r="E90" s="27"/>
      <c r="F90" s="28"/>
      <c r="G90" s="31" t="str">
        <f t="shared" si="2"/>
        <v/>
      </c>
      <c r="H90" s="30"/>
      <c r="I90" s="21" t="str">
        <f t="shared" si="1"/>
        <v/>
      </c>
      <c r="J90" s="19"/>
    </row>
    <row r="91" ht="15.75" customHeight="1">
      <c r="A91" s="3"/>
      <c r="B91" s="19"/>
      <c r="C91" s="19"/>
      <c r="D91" s="27"/>
      <c r="E91" s="27"/>
      <c r="F91" s="28"/>
      <c r="G91" s="31" t="str">
        <f t="shared" si="2"/>
        <v/>
      </c>
      <c r="H91" s="30"/>
      <c r="I91" s="21" t="str">
        <f t="shared" si="1"/>
        <v/>
      </c>
      <c r="J91" s="19"/>
    </row>
    <row r="92" ht="15.75" customHeight="1">
      <c r="A92" s="3"/>
      <c r="B92" s="19"/>
      <c r="C92" s="19"/>
      <c r="D92" s="27"/>
      <c r="E92" s="27"/>
      <c r="F92" s="28"/>
      <c r="G92" s="31" t="str">
        <f t="shared" si="2"/>
        <v/>
      </c>
      <c r="H92" s="30"/>
      <c r="I92" s="21" t="str">
        <f t="shared" si="1"/>
        <v/>
      </c>
      <c r="J92" s="19"/>
    </row>
    <row r="93" ht="15.75" customHeight="1">
      <c r="A93" s="3"/>
      <c r="B93" s="19"/>
      <c r="C93" s="19"/>
      <c r="D93" s="27"/>
      <c r="E93" s="27"/>
      <c r="F93" s="28"/>
      <c r="G93" s="31" t="str">
        <f t="shared" si="2"/>
        <v/>
      </c>
      <c r="H93" s="30"/>
      <c r="I93" s="21" t="str">
        <f t="shared" si="1"/>
        <v/>
      </c>
      <c r="J93" s="19"/>
    </row>
    <row r="94" ht="15.75" customHeight="1">
      <c r="A94" s="3"/>
      <c r="B94" s="19"/>
      <c r="C94" s="19"/>
      <c r="D94" s="27"/>
      <c r="E94" s="27"/>
      <c r="F94" s="28"/>
      <c r="G94" s="31" t="str">
        <f t="shared" si="2"/>
        <v/>
      </c>
      <c r="H94" s="30"/>
      <c r="I94" s="21" t="str">
        <f t="shared" si="1"/>
        <v/>
      </c>
      <c r="J94" s="19"/>
    </row>
    <row r="95" ht="15.75" customHeight="1">
      <c r="A95" s="3"/>
      <c r="B95" s="19"/>
      <c r="C95" s="19"/>
      <c r="D95" s="27"/>
      <c r="E95" s="27"/>
      <c r="F95" s="28"/>
      <c r="G95" s="31" t="str">
        <f t="shared" si="2"/>
        <v/>
      </c>
      <c r="H95" s="30"/>
      <c r="I95" s="21" t="str">
        <f t="shared" si="1"/>
        <v/>
      </c>
      <c r="J95" s="19"/>
    </row>
    <row r="96" ht="15.75" customHeight="1">
      <c r="A96" s="3"/>
      <c r="B96" s="19"/>
      <c r="C96" s="19"/>
      <c r="D96" s="27"/>
      <c r="E96" s="27"/>
      <c r="F96" s="28"/>
      <c r="G96" s="31" t="str">
        <f t="shared" si="2"/>
        <v/>
      </c>
      <c r="H96" s="30"/>
      <c r="I96" s="21" t="str">
        <f t="shared" si="1"/>
        <v/>
      </c>
      <c r="J96" s="19"/>
    </row>
    <row r="97" ht="15.75" customHeight="1">
      <c r="A97" s="3"/>
      <c r="B97" s="19"/>
      <c r="C97" s="19"/>
      <c r="D97" s="27"/>
      <c r="E97" s="27"/>
      <c r="F97" s="28"/>
      <c r="G97" s="31" t="str">
        <f t="shared" si="2"/>
        <v/>
      </c>
      <c r="H97" s="30"/>
      <c r="I97" s="21" t="str">
        <f t="shared" si="1"/>
        <v/>
      </c>
      <c r="J97" s="19"/>
    </row>
    <row r="98" ht="15.75" customHeight="1">
      <c r="A98" s="3"/>
      <c r="B98" s="19"/>
      <c r="C98" s="19"/>
      <c r="D98" s="27"/>
      <c r="E98" s="27"/>
      <c r="F98" s="28"/>
      <c r="G98" s="31" t="str">
        <f t="shared" si="2"/>
        <v/>
      </c>
      <c r="H98" s="30"/>
      <c r="I98" s="21" t="str">
        <f t="shared" si="1"/>
        <v/>
      </c>
      <c r="J98" s="19"/>
    </row>
    <row r="99" ht="15.75" customHeight="1">
      <c r="A99" s="3"/>
      <c r="B99" s="19"/>
      <c r="C99" s="19"/>
      <c r="D99" s="27"/>
      <c r="E99" s="27"/>
      <c r="F99" s="28"/>
      <c r="G99" s="31" t="str">
        <f t="shared" si="2"/>
        <v/>
      </c>
      <c r="H99" s="30"/>
      <c r="I99" s="21" t="str">
        <f t="shared" si="1"/>
        <v/>
      </c>
      <c r="J99" s="19"/>
    </row>
    <row r="100" ht="15.75" customHeight="1">
      <c r="A100" s="3"/>
      <c r="B100" s="19"/>
      <c r="C100" s="19"/>
      <c r="D100" s="27"/>
      <c r="E100" s="27"/>
      <c r="F100" s="28"/>
      <c r="G100" s="31" t="str">
        <f t="shared" si="2"/>
        <v/>
      </c>
      <c r="H100" s="30"/>
      <c r="I100" s="21" t="str">
        <f t="shared" si="1"/>
        <v/>
      </c>
      <c r="J100" s="19"/>
    </row>
    <row r="101" ht="15.75" customHeight="1">
      <c r="A101" s="3"/>
      <c r="B101" s="19"/>
      <c r="C101" s="19"/>
      <c r="D101" s="27"/>
      <c r="E101" s="27"/>
      <c r="F101" s="28"/>
      <c r="G101" s="31" t="str">
        <f t="shared" si="2"/>
        <v/>
      </c>
      <c r="H101" s="30"/>
      <c r="I101" s="21" t="str">
        <f t="shared" si="1"/>
        <v/>
      </c>
      <c r="J101" s="19"/>
    </row>
    <row r="102" ht="15.75" customHeight="1">
      <c r="A102" s="3"/>
      <c r="B102" s="19"/>
      <c r="C102" s="19"/>
      <c r="D102" s="27"/>
      <c r="E102" s="27"/>
      <c r="F102" s="28"/>
      <c r="G102" s="31" t="str">
        <f t="shared" si="2"/>
        <v/>
      </c>
      <c r="H102" s="30"/>
      <c r="I102" s="21" t="str">
        <f t="shared" si="1"/>
        <v/>
      </c>
      <c r="J102" s="19"/>
    </row>
    <row r="103" ht="15.75" customHeight="1">
      <c r="A103" s="3"/>
      <c r="B103" s="19"/>
      <c r="C103" s="19"/>
      <c r="D103" s="27"/>
      <c r="E103" s="27"/>
      <c r="F103" s="28"/>
      <c r="G103" s="31" t="str">
        <f t="shared" si="2"/>
        <v/>
      </c>
      <c r="H103" s="30"/>
      <c r="I103" s="21" t="str">
        <f t="shared" si="1"/>
        <v/>
      </c>
      <c r="J103" s="19"/>
    </row>
    <row r="104" ht="15.75" customHeight="1">
      <c r="A104" s="3"/>
      <c r="B104" s="19"/>
      <c r="C104" s="19"/>
      <c r="D104" s="27"/>
      <c r="E104" s="27"/>
      <c r="F104" s="28"/>
      <c r="G104" s="31" t="str">
        <f t="shared" si="2"/>
        <v/>
      </c>
      <c r="H104" s="30"/>
      <c r="I104" s="21" t="str">
        <f t="shared" si="1"/>
        <v/>
      </c>
      <c r="J104" s="19"/>
    </row>
    <row r="105" ht="15.75" customHeight="1">
      <c r="A105" s="3"/>
      <c r="B105" s="19"/>
      <c r="C105" s="19"/>
      <c r="D105" s="27"/>
      <c r="E105" s="27"/>
      <c r="F105" s="28"/>
      <c r="G105" s="31" t="str">
        <f t="shared" si="2"/>
        <v/>
      </c>
      <c r="H105" s="30"/>
      <c r="I105" s="21" t="str">
        <f t="shared" si="1"/>
        <v/>
      </c>
      <c r="J105" s="19"/>
    </row>
    <row r="106" ht="15.75" customHeight="1">
      <c r="A106" s="3"/>
      <c r="B106" s="19"/>
      <c r="C106" s="19"/>
      <c r="D106" s="27"/>
      <c r="E106" s="27"/>
      <c r="F106" s="28"/>
      <c r="G106" s="31" t="str">
        <f t="shared" si="2"/>
        <v/>
      </c>
      <c r="H106" s="30"/>
      <c r="I106" s="21" t="str">
        <f t="shared" si="1"/>
        <v/>
      </c>
      <c r="J106" s="19"/>
    </row>
    <row r="107" ht="15.75" customHeight="1">
      <c r="A107" s="3"/>
      <c r="B107" s="19"/>
      <c r="C107" s="19"/>
      <c r="D107" s="27"/>
      <c r="E107" s="27"/>
      <c r="F107" s="28"/>
      <c r="G107" s="31" t="str">
        <f t="shared" si="2"/>
        <v/>
      </c>
      <c r="H107" s="30"/>
      <c r="I107" s="21" t="str">
        <f t="shared" si="1"/>
        <v/>
      </c>
      <c r="J107" s="19"/>
    </row>
    <row r="108" ht="15.75" customHeight="1">
      <c r="A108" s="3"/>
      <c r="B108" s="19"/>
      <c r="C108" s="19"/>
      <c r="D108" s="27"/>
      <c r="E108" s="27"/>
      <c r="F108" s="28"/>
      <c r="G108" s="31" t="str">
        <f t="shared" si="2"/>
        <v/>
      </c>
      <c r="H108" s="30"/>
      <c r="I108" s="21" t="str">
        <f t="shared" si="1"/>
        <v/>
      </c>
      <c r="J108" s="19"/>
    </row>
    <row r="109" ht="15.75" customHeight="1">
      <c r="A109" s="3"/>
      <c r="B109" s="19"/>
      <c r="C109" s="19"/>
      <c r="D109" s="27"/>
      <c r="E109" s="27"/>
      <c r="F109" s="28"/>
      <c r="G109" s="31" t="str">
        <f t="shared" si="2"/>
        <v/>
      </c>
      <c r="H109" s="30"/>
      <c r="I109" s="21" t="str">
        <f t="shared" si="1"/>
        <v/>
      </c>
      <c r="J109" s="19"/>
    </row>
    <row r="110" ht="15.75" customHeight="1">
      <c r="A110" s="3"/>
      <c r="B110" s="19"/>
      <c r="C110" s="19"/>
      <c r="D110" s="27"/>
      <c r="E110" s="27"/>
      <c r="F110" s="28"/>
      <c r="G110" s="31" t="str">
        <f t="shared" si="2"/>
        <v/>
      </c>
      <c r="H110" s="30"/>
      <c r="I110" s="21" t="str">
        <f t="shared" si="1"/>
        <v/>
      </c>
      <c r="J110" s="19"/>
    </row>
    <row r="111" ht="15.75" customHeight="1">
      <c r="A111" s="3"/>
      <c r="B111" s="19"/>
      <c r="C111" s="19"/>
      <c r="D111" s="27"/>
      <c r="E111" s="27"/>
      <c r="F111" s="28"/>
      <c r="G111" s="31" t="str">
        <f t="shared" si="2"/>
        <v/>
      </c>
      <c r="H111" s="30"/>
      <c r="I111" s="21" t="str">
        <f t="shared" si="1"/>
        <v/>
      </c>
      <c r="J111" s="19"/>
    </row>
    <row r="112" ht="15.75" customHeight="1">
      <c r="A112" s="3"/>
      <c r="B112" s="19"/>
      <c r="C112" s="19"/>
      <c r="D112" s="27"/>
      <c r="E112" s="27"/>
      <c r="F112" s="28"/>
      <c r="G112" s="31" t="str">
        <f t="shared" si="2"/>
        <v/>
      </c>
      <c r="H112" s="30"/>
      <c r="I112" s="21" t="str">
        <f t="shared" si="1"/>
        <v/>
      </c>
      <c r="J112" s="19"/>
    </row>
    <row r="113" ht="15.75" customHeight="1">
      <c r="A113" s="3"/>
      <c r="B113" s="19"/>
      <c r="C113" s="19"/>
      <c r="D113" s="27"/>
      <c r="E113" s="27"/>
      <c r="F113" s="28"/>
      <c r="G113" s="31" t="str">
        <f t="shared" si="2"/>
        <v/>
      </c>
      <c r="H113" s="30"/>
      <c r="I113" s="21" t="str">
        <f t="shared" si="1"/>
        <v/>
      </c>
      <c r="J113" s="19"/>
    </row>
    <row r="114" ht="15.75" customHeight="1">
      <c r="A114" s="3"/>
      <c r="B114" s="19"/>
      <c r="C114" s="19"/>
      <c r="D114" s="27"/>
      <c r="E114" s="27"/>
      <c r="F114" s="28"/>
      <c r="G114" s="31" t="str">
        <f t="shared" si="2"/>
        <v/>
      </c>
      <c r="H114" s="30"/>
      <c r="I114" s="21" t="str">
        <f t="shared" si="1"/>
        <v/>
      </c>
      <c r="J114" s="19"/>
    </row>
    <row r="115" ht="15.75" customHeight="1">
      <c r="A115" s="3"/>
      <c r="B115" s="19"/>
      <c r="C115" s="19"/>
      <c r="D115" s="27"/>
      <c r="E115" s="27"/>
      <c r="F115" s="28"/>
      <c r="G115" s="31" t="str">
        <f t="shared" si="2"/>
        <v/>
      </c>
      <c r="H115" s="30"/>
      <c r="I115" s="21" t="str">
        <f t="shared" si="1"/>
        <v/>
      </c>
      <c r="J115" s="19"/>
    </row>
    <row r="116" ht="15.75" customHeight="1">
      <c r="A116" s="3"/>
      <c r="B116" s="19"/>
      <c r="C116" s="19"/>
      <c r="D116" s="27"/>
      <c r="E116" s="27"/>
      <c r="F116" s="28"/>
      <c r="G116" s="31" t="str">
        <f t="shared" si="2"/>
        <v/>
      </c>
      <c r="H116" s="30"/>
      <c r="I116" s="21" t="str">
        <f t="shared" si="1"/>
        <v/>
      </c>
      <c r="J116" s="19"/>
    </row>
    <row r="117" ht="15.75" customHeight="1">
      <c r="A117" s="3"/>
      <c r="B117" s="19"/>
      <c r="C117" s="19"/>
      <c r="D117" s="27"/>
      <c r="E117" s="27"/>
      <c r="F117" s="28"/>
      <c r="G117" s="31" t="str">
        <f t="shared" si="2"/>
        <v/>
      </c>
      <c r="H117" s="30"/>
      <c r="I117" s="21" t="str">
        <f t="shared" si="1"/>
        <v/>
      </c>
      <c r="J117" s="19"/>
    </row>
    <row r="118" ht="15.75" customHeight="1">
      <c r="A118" s="3"/>
      <c r="B118" s="19"/>
      <c r="C118" s="19"/>
      <c r="D118" s="27"/>
      <c r="E118" s="27"/>
      <c r="F118" s="28"/>
      <c r="G118" s="31" t="str">
        <f t="shared" si="2"/>
        <v/>
      </c>
      <c r="H118" s="30"/>
      <c r="I118" s="21" t="str">
        <f t="shared" si="1"/>
        <v/>
      </c>
      <c r="J118" s="19"/>
    </row>
    <row r="119" ht="15.75" customHeight="1">
      <c r="A119" s="3"/>
      <c r="B119" s="19"/>
      <c r="C119" s="19"/>
      <c r="D119" s="27"/>
      <c r="E119" s="27"/>
      <c r="F119" s="28"/>
      <c r="G119" s="31" t="str">
        <f t="shared" si="2"/>
        <v/>
      </c>
      <c r="H119" s="30"/>
      <c r="I119" s="21" t="str">
        <f t="shared" si="1"/>
        <v/>
      </c>
      <c r="J119" s="19"/>
    </row>
    <row r="120" ht="15.75" customHeight="1">
      <c r="A120" s="3"/>
      <c r="B120" s="19"/>
      <c r="C120" s="19"/>
      <c r="D120" s="27"/>
      <c r="E120" s="27"/>
      <c r="F120" s="28"/>
      <c r="G120" s="31" t="str">
        <f t="shared" si="2"/>
        <v/>
      </c>
      <c r="H120" s="30"/>
      <c r="I120" s="21" t="str">
        <f t="shared" si="1"/>
        <v/>
      </c>
      <c r="J120" s="19"/>
    </row>
    <row r="121" ht="15.75" customHeight="1">
      <c r="A121" s="3"/>
      <c r="B121" s="19"/>
      <c r="C121" s="19"/>
      <c r="D121" s="27"/>
      <c r="E121" s="27"/>
      <c r="F121" s="28"/>
      <c r="G121" s="31" t="str">
        <f t="shared" si="2"/>
        <v/>
      </c>
      <c r="H121" s="30"/>
      <c r="I121" s="21" t="str">
        <f t="shared" si="1"/>
        <v/>
      </c>
      <c r="J121" s="19"/>
    </row>
    <row r="122" ht="15.75" customHeight="1">
      <c r="A122" s="3"/>
      <c r="B122" s="19"/>
      <c r="C122" s="19"/>
      <c r="D122" s="27"/>
      <c r="E122" s="27"/>
      <c r="F122" s="28"/>
      <c r="G122" s="31" t="str">
        <f t="shared" si="2"/>
        <v/>
      </c>
      <c r="H122" s="30"/>
      <c r="I122" s="21" t="str">
        <f t="shared" si="1"/>
        <v/>
      </c>
      <c r="J122" s="19"/>
    </row>
    <row r="123" ht="15.75" customHeight="1">
      <c r="A123" s="3"/>
      <c r="B123" s="19"/>
      <c r="C123" s="19"/>
      <c r="D123" s="27"/>
      <c r="E123" s="27"/>
      <c r="F123" s="28"/>
      <c r="G123" s="31" t="str">
        <f t="shared" si="2"/>
        <v/>
      </c>
      <c r="H123" s="30"/>
      <c r="I123" s="21" t="str">
        <f t="shared" si="1"/>
        <v/>
      </c>
      <c r="J123" s="19"/>
    </row>
    <row r="124" ht="15.75" customHeight="1">
      <c r="A124" s="3"/>
      <c r="B124" s="19"/>
      <c r="C124" s="19"/>
      <c r="D124" s="27"/>
      <c r="E124" s="27"/>
      <c r="F124" s="28"/>
      <c r="G124" s="31" t="str">
        <f t="shared" si="2"/>
        <v/>
      </c>
      <c r="H124" s="30"/>
      <c r="I124" s="21" t="str">
        <f t="shared" si="1"/>
        <v/>
      </c>
      <c r="J124" s="19"/>
    </row>
    <row r="125" ht="15.75" customHeight="1">
      <c r="A125" s="3"/>
      <c r="B125" s="19"/>
      <c r="C125" s="19"/>
      <c r="D125" s="27"/>
      <c r="E125" s="27"/>
      <c r="F125" s="28"/>
      <c r="G125" s="31" t="str">
        <f t="shared" si="2"/>
        <v/>
      </c>
      <c r="H125" s="30"/>
      <c r="I125" s="21" t="str">
        <f t="shared" si="1"/>
        <v/>
      </c>
      <c r="J125" s="19"/>
    </row>
    <row r="126" ht="15.75" customHeight="1">
      <c r="A126" s="3"/>
      <c r="B126" s="19"/>
      <c r="C126" s="19"/>
      <c r="D126" s="27"/>
      <c r="E126" s="27"/>
      <c r="F126" s="28"/>
      <c r="G126" s="31" t="str">
        <f t="shared" si="2"/>
        <v/>
      </c>
      <c r="H126" s="30"/>
      <c r="I126" s="21" t="str">
        <f t="shared" si="1"/>
        <v/>
      </c>
      <c r="J126" s="19"/>
    </row>
    <row r="127" ht="15.75" customHeight="1">
      <c r="A127" s="3"/>
      <c r="B127" s="19"/>
      <c r="C127" s="19"/>
      <c r="D127" s="27"/>
      <c r="E127" s="27"/>
      <c r="F127" s="28"/>
      <c r="G127" s="31" t="str">
        <f t="shared" si="2"/>
        <v/>
      </c>
      <c r="H127" s="30"/>
      <c r="I127" s="21" t="str">
        <f t="shared" si="1"/>
        <v/>
      </c>
      <c r="J127" s="19"/>
    </row>
    <row r="128" ht="15.75" customHeight="1">
      <c r="A128" s="3"/>
      <c r="B128" s="19"/>
      <c r="C128" s="19"/>
      <c r="D128" s="27"/>
      <c r="E128" s="27"/>
      <c r="F128" s="28"/>
      <c r="G128" s="31" t="str">
        <f t="shared" si="2"/>
        <v/>
      </c>
      <c r="H128" s="30"/>
      <c r="I128" s="21" t="str">
        <f t="shared" si="1"/>
        <v/>
      </c>
      <c r="J128" s="19"/>
    </row>
    <row r="129" ht="15.75" customHeight="1">
      <c r="A129" s="3"/>
      <c r="B129" s="19"/>
      <c r="C129" s="19"/>
      <c r="D129" s="27"/>
      <c r="E129" s="27"/>
      <c r="F129" s="28"/>
      <c r="G129" s="31" t="str">
        <f t="shared" si="2"/>
        <v/>
      </c>
      <c r="H129" s="30"/>
      <c r="I129" s="21" t="str">
        <f t="shared" si="1"/>
        <v/>
      </c>
      <c r="J129" s="19"/>
    </row>
    <row r="130" ht="15.75" customHeight="1">
      <c r="A130" s="3"/>
      <c r="B130" s="19"/>
      <c r="C130" s="19"/>
      <c r="D130" s="27"/>
      <c r="E130" s="27"/>
      <c r="F130" s="28"/>
      <c r="G130" s="31" t="str">
        <f t="shared" si="2"/>
        <v/>
      </c>
      <c r="H130" s="30"/>
      <c r="I130" s="21" t="str">
        <f t="shared" si="1"/>
        <v/>
      </c>
      <c r="J130" s="19"/>
    </row>
    <row r="131" ht="15.75" customHeight="1">
      <c r="A131" s="3"/>
      <c r="B131" s="19"/>
      <c r="C131" s="19"/>
      <c r="D131" s="27"/>
      <c r="E131" s="27"/>
      <c r="F131" s="28"/>
      <c r="G131" s="31" t="str">
        <f t="shared" si="2"/>
        <v/>
      </c>
      <c r="H131" s="30"/>
      <c r="I131" s="21" t="str">
        <f t="shared" si="1"/>
        <v/>
      </c>
      <c r="J131" s="19"/>
    </row>
    <row r="132" ht="15.75" customHeight="1">
      <c r="A132" s="3"/>
      <c r="B132" s="19"/>
      <c r="C132" s="19"/>
      <c r="D132" s="27"/>
      <c r="E132" s="27"/>
      <c r="F132" s="28"/>
      <c r="G132" s="31" t="str">
        <f t="shared" si="2"/>
        <v/>
      </c>
      <c r="H132" s="30"/>
      <c r="I132" s="21" t="str">
        <f t="shared" si="1"/>
        <v/>
      </c>
      <c r="J132" s="19"/>
    </row>
    <row r="133" ht="15.75" customHeight="1">
      <c r="A133" s="3"/>
      <c r="B133" s="19"/>
      <c r="C133" s="19"/>
      <c r="D133" s="27"/>
      <c r="E133" s="27"/>
      <c r="F133" s="28"/>
      <c r="G133" s="31" t="str">
        <f t="shared" si="2"/>
        <v/>
      </c>
      <c r="H133" s="30"/>
      <c r="I133" s="21" t="str">
        <f t="shared" si="1"/>
        <v/>
      </c>
      <c r="J133" s="19"/>
    </row>
    <row r="134" ht="15.75" customHeight="1">
      <c r="A134" s="3"/>
      <c r="B134" s="19"/>
      <c r="C134" s="19"/>
      <c r="D134" s="27"/>
      <c r="E134" s="27"/>
      <c r="F134" s="28"/>
      <c r="G134" s="31" t="str">
        <f t="shared" si="2"/>
        <v/>
      </c>
      <c r="H134" s="30"/>
      <c r="I134" s="21" t="str">
        <f t="shared" si="1"/>
        <v/>
      </c>
      <c r="J134" s="19"/>
    </row>
    <row r="135" ht="15.75" customHeight="1">
      <c r="A135" s="3"/>
      <c r="B135" s="19"/>
      <c r="C135" s="19"/>
      <c r="D135" s="27"/>
      <c r="E135" s="27"/>
      <c r="F135" s="28"/>
      <c r="G135" s="31" t="str">
        <f t="shared" si="2"/>
        <v/>
      </c>
      <c r="H135" s="30"/>
      <c r="I135" s="21" t="str">
        <f t="shared" si="1"/>
        <v/>
      </c>
      <c r="J135" s="19"/>
    </row>
    <row r="136" ht="15.75" customHeight="1">
      <c r="A136" s="3"/>
      <c r="B136" s="19"/>
      <c r="C136" s="19"/>
      <c r="D136" s="27"/>
      <c r="E136" s="27"/>
      <c r="F136" s="28"/>
      <c r="G136" s="31" t="str">
        <f t="shared" si="2"/>
        <v/>
      </c>
      <c r="H136" s="30"/>
      <c r="I136" s="21" t="str">
        <f t="shared" si="1"/>
        <v/>
      </c>
      <c r="J136" s="19"/>
    </row>
    <row r="137" ht="15.75" customHeight="1">
      <c r="A137" s="3"/>
      <c r="B137" s="19"/>
      <c r="C137" s="19"/>
      <c r="D137" s="27"/>
      <c r="E137" s="27"/>
      <c r="F137" s="28"/>
      <c r="G137" s="31" t="str">
        <f t="shared" si="2"/>
        <v/>
      </c>
      <c r="H137" s="30"/>
      <c r="I137" s="21" t="str">
        <f t="shared" si="1"/>
        <v/>
      </c>
      <c r="J137" s="19"/>
    </row>
    <row r="138" ht="15.75" customHeight="1">
      <c r="A138" s="3"/>
      <c r="B138" s="19"/>
      <c r="C138" s="19"/>
      <c r="D138" s="27"/>
      <c r="E138" s="27"/>
      <c r="F138" s="28"/>
      <c r="G138" s="31" t="str">
        <f t="shared" si="2"/>
        <v/>
      </c>
      <c r="H138" s="30"/>
      <c r="I138" s="21" t="str">
        <f t="shared" si="1"/>
        <v/>
      </c>
      <c r="J138" s="19"/>
    </row>
    <row r="139" ht="15.75" customHeight="1">
      <c r="A139" s="3"/>
      <c r="B139" s="19"/>
      <c r="C139" s="19"/>
      <c r="D139" s="27"/>
      <c r="E139" s="27"/>
      <c r="F139" s="28"/>
      <c r="G139" s="31" t="str">
        <f t="shared" si="2"/>
        <v/>
      </c>
      <c r="H139" s="30"/>
      <c r="I139" s="21" t="str">
        <f t="shared" si="1"/>
        <v/>
      </c>
      <c r="J139" s="19"/>
    </row>
    <row r="140" ht="15.75" customHeight="1">
      <c r="A140" s="3"/>
      <c r="B140" s="19"/>
      <c r="C140" s="19"/>
      <c r="D140" s="27"/>
      <c r="E140" s="27"/>
      <c r="F140" s="28"/>
      <c r="G140" s="31" t="str">
        <f t="shared" si="2"/>
        <v/>
      </c>
      <c r="H140" s="30"/>
      <c r="I140" s="21" t="str">
        <f t="shared" si="1"/>
        <v/>
      </c>
      <c r="J140" s="19"/>
    </row>
    <row r="141" ht="15.75" customHeight="1">
      <c r="A141" s="3"/>
      <c r="B141" s="19"/>
      <c r="C141" s="19"/>
      <c r="D141" s="27"/>
      <c r="E141" s="27"/>
      <c r="F141" s="28"/>
      <c r="G141" s="31" t="str">
        <f t="shared" si="2"/>
        <v/>
      </c>
      <c r="H141" s="30"/>
      <c r="I141" s="21" t="str">
        <f t="shared" si="1"/>
        <v/>
      </c>
      <c r="J141" s="19"/>
    </row>
    <row r="142" ht="15.75" customHeight="1">
      <c r="A142" s="3"/>
      <c r="B142" s="19"/>
      <c r="C142" s="19"/>
      <c r="D142" s="27"/>
      <c r="E142" s="27"/>
      <c r="F142" s="28"/>
      <c r="G142" s="31" t="str">
        <f t="shared" si="2"/>
        <v/>
      </c>
      <c r="H142" s="30"/>
      <c r="I142" s="21" t="str">
        <f t="shared" si="1"/>
        <v/>
      </c>
      <c r="J142" s="19"/>
    </row>
    <row r="143" ht="15.75" customHeight="1">
      <c r="A143" s="3"/>
      <c r="B143" s="19"/>
      <c r="C143" s="19"/>
      <c r="D143" s="27"/>
      <c r="E143" s="27"/>
      <c r="F143" s="28"/>
      <c r="G143" s="31" t="str">
        <f t="shared" si="2"/>
        <v/>
      </c>
      <c r="H143" s="30"/>
      <c r="I143" s="21" t="str">
        <f t="shared" si="1"/>
        <v/>
      </c>
      <c r="J143" s="19"/>
    </row>
    <row r="144" ht="15.75" customHeight="1">
      <c r="A144" s="3"/>
      <c r="B144" s="19"/>
      <c r="C144" s="19"/>
      <c r="D144" s="27"/>
      <c r="E144" s="27"/>
      <c r="F144" s="28"/>
      <c r="G144" s="31" t="str">
        <f t="shared" si="2"/>
        <v/>
      </c>
      <c r="H144" s="30"/>
      <c r="I144" s="21" t="str">
        <f t="shared" si="1"/>
        <v/>
      </c>
      <c r="J144" s="19"/>
    </row>
    <row r="145" ht="15.75" customHeight="1">
      <c r="A145" s="3"/>
      <c r="B145" s="19"/>
      <c r="C145" s="19"/>
      <c r="D145" s="27"/>
      <c r="E145" s="27"/>
      <c r="F145" s="28"/>
      <c r="G145" s="31" t="str">
        <f t="shared" si="2"/>
        <v/>
      </c>
      <c r="H145" s="30"/>
      <c r="I145" s="21" t="str">
        <f t="shared" si="1"/>
        <v/>
      </c>
      <c r="J145" s="19"/>
    </row>
    <row r="146" ht="15.75" customHeight="1">
      <c r="A146" s="3"/>
      <c r="B146" s="19"/>
      <c r="C146" s="19"/>
      <c r="D146" s="27"/>
      <c r="E146" s="27"/>
      <c r="F146" s="28"/>
      <c r="G146" s="31" t="str">
        <f t="shared" si="2"/>
        <v/>
      </c>
      <c r="H146" s="30"/>
      <c r="I146" s="21" t="str">
        <f t="shared" si="1"/>
        <v/>
      </c>
      <c r="J146" s="19"/>
    </row>
    <row r="147" ht="15.75" customHeight="1">
      <c r="A147" s="3"/>
      <c r="B147" s="19"/>
      <c r="C147" s="19"/>
      <c r="D147" s="27"/>
      <c r="E147" s="27"/>
      <c r="F147" s="28"/>
      <c r="G147" s="31" t="str">
        <f t="shared" si="2"/>
        <v/>
      </c>
      <c r="H147" s="30"/>
      <c r="I147" s="21" t="str">
        <f t="shared" si="1"/>
        <v/>
      </c>
      <c r="J147" s="19"/>
    </row>
    <row r="148" ht="15.75" customHeight="1">
      <c r="A148" s="3"/>
      <c r="B148" s="19"/>
      <c r="C148" s="19"/>
      <c r="D148" s="27"/>
      <c r="E148" s="27"/>
      <c r="F148" s="28"/>
      <c r="G148" s="31" t="str">
        <f t="shared" si="2"/>
        <v/>
      </c>
      <c r="H148" s="30"/>
      <c r="I148" s="21" t="str">
        <f t="shared" si="1"/>
        <v/>
      </c>
      <c r="J148" s="19"/>
    </row>
    <row r="149" ht="15.75" customHeight="1">
      <c r="A149" s="3"/>
      <c r="B149" s="19"/>
      <c r="C149" s="19"/>
      <c r="D149" s="27"/>
      <c r="E149" s="27"/>
      <c r="F149" s="28"/>
      <c r="G149" s="31" t="str">
        <f t="shared" si="2"/>
        <v/>
      </c>
      <c r="H149" s="30"/>
      <c r="I149" s="21" t="str">
        <f t="shared" si="1"/>
        <v/>
      </c>
      <c r="J149" s="19"/>
    </row>
    <row r="150" ht="15.75" customHeight="1">
      <c r="A150" s="3"/>
      <c r="B150" s="19"/>
      <c r="C150" s="19"/>
      <c r="D150" s="27"/>
      <c r="E150" s="27"/>
      <c r="F150" s="28"/>
      <c r="G150" s="31" t="str">
        <f t="shared" si="2"/>
        <v/>
      </c>
      <c r="H150" s="30"/>
      <c r="I150" s="21" t="str">
        <f t="shared" si="1"/>
        <v/>
      </c>
      <c r="J150" s="19"/>
    </row>
    <row r="151" ht="15.75" customHeight="1">
      <c r="A151" s="3"/>
      <c r="B151" s="19"/>
      <c r="C151" s="19"/>
      <c r="D151" s="27"/>
      <c r="E151" s="27"/>
      <c r="F151" s="28"/>
      <c r="G151" s="31" t="str">
        <f t="shared" si="2"/>
        <v/>
      </c>
      <c r="H151" s="30"/>
      <c r="I151" s="21" t="str">
        <f t="shared" si="1"/>
        <v/>
      </c>
      <c r="J151" s="19"/>
    </row>
    <row r="152" ht="15.75" customHeight="1">
      <c r="A152" s="3"/>
      <c r="B152" s="19"/>
      <c r="C152" s="19"/>
      <c r="D152" s="27"/>
      <c r="E152" s="27"/>
      <c r="F152" s="28"/>
      <c r="G152" s="31" t="str">
        <f t="shared" si="2"/>
        <v/>
      </c>
      <c r="H152" s="30"/>
      <c r="I152" s="21" t="str">
        <f t="shared" si="1"/>
        <v/>
      </c>
      <c r="J152" s="19"/>
    </row>
    <row r="153" ht="15.75" customHeight="1">
      <c r="A153" s="3"/>
      <c r="B153" s="19"/>
      <c r="C153" s="19"/>
      <c r="D153" s="27"/>
      <c r="E153" s="27"/>
      <c r="F153" s="28"/>
      <c r="G153" s="31" t="str">
        <f t="shared" si="2"/>
        <v/>
      </c>
      <c r="H153" s="30"/>
      <c r="I153" s="21" t="str">
        <f t="shared" si="1"/>
        <v/>
      </c>
      <c r="J153" s="19"/>
    </row>
    <row r="154" ht="15.75" customHeight="1">
      <c r="A154" s="3"/>
      <c r="B154" s="19"/>
      <c r="C154" s="19"/>
      <c r="D154" s="27"/>
      <c r="E154" s="27"/>
      <c r="F154" s="28"/>
      <c r="G154" s="31" t="str">
        <f t="shared" si="2"/>
        <v/>
      </c>
      <c r="H154" s="30"/>
      <c r="I154" s="21" t="str">
        <f t="shared" si="1"/>
        <v/>
      </c>
      <c r="J154" s="19"/>
    </row>
    <row r="155" ht="15.75" customHeight="1">
      <c r="A155" s="3"/>
      <c r="B155" s="19"/>
      <c r="C155" s="19"/>
      <c r="D155" s="27"/>
      <c r="E155" s="27"/>
      <c r="F155" s="28"/>
      <c r="G155" s="31" t="str">
        <f t="shared" si="2"/>
        <v/>
      </c>
      <c r="H155" s="30"/>
      <c r="I155" s="21" t="str">
        <f t="shared" si="1"/>
        <v/>
      </c>
      <c r="J155" s="19"/>
    </row>
    <row r="156" ht="15.75" customHeight="1">
      <c r="A156" s="3"/>
      <c r="B156" s="19"/>
      <c r="C156" s="19"/>
      <c r="D156" s="27"/>
      <c r="E156" s="27"/>
      <c r="F156" s="28"/>
      <c r="G156" s="31" t="str">
        <f t="shared" si="2"/>
        <v/>
      </c>
      <c r="H156" s="30"/>
      <c r="I156" s="21" t="str">
        <f t="shared" si="1"/>
        <v/>
      </c>
      <c r="J156" s="19"/>
    </row>
    <row r="157" ht="15.75" customHeight="1">
      <c r="A157" s="3"/>
      <c r="B157" s="19"/>
      <c r="C157" s="19"/>
      <c r="D157" s="27"/>
      <c r="E157" s="27"/>
      <c r="F157" s="28"/>
      <c r="G157" s="31" t="str">
        <f t="shared" si="2"/>
        <v/>
      </c>
      <c r="H157" s="30"/>
      <c r="I157" s="21" t="str">
        <f t="shared" si="1"/>
        <v/>
      </c>
      <c r="J157" s="19"/>
    </row>
    <row r="158" ht="15.75" customHeight="1">
      <c r="A158" s="3"/>
      <c r="B158" s="19"/>
      <c r="C158" s="19"/>
      <c r="D158" s="27"/>
      <c r="E158" s="27"/>
      <c r="F158" s="28"/>
      <c r="G158" s="31" t="str">
        <f t="shared" si="2"/>
        <v/>
      </c>
      <c r="H158" s="30"/>
      <c r="I158" s="21" t="str">
        <f t="shared" si="1"/>
        <v/>
      </c>
      <c r="J158" s="19"/>
    </row>
    <row r="159" ht="15.75" customHeight="1">
      <c r="A159" s="3"/>
      <c r="B159" s="19"/>
      <c r="C159" s="19"/>
      <c r="D159" s="27"/>
      <c r="E159" s="27"/>
      <c r="F159" s="28"/>
      <c r="G159" s="31" t="str">
        <f t="shared" si="2"/>
        <v/>
      </c>
      <c r="H159" s="30"/>
      <c r="I159" s="21" t="str">
        <f t="shared" si="1"/>
        <v/>
      </c>
      <c r="J159" s="19"/>
    </row>
    <row r="160" ht="15.75" customHeight="1">
      <c r="A160" s="3"/>
      <c r="B160" s="19"/>
      <c r="C160" s="19"/>
      <c r="D160" s="27"/>
      <c r="E160" s="27"/>
      <c r="F160" s="28"/>
      <c r="G160" s="31" t="str">
        <f t="shared" si="2"/>
        <v/>
      </c>
      <c r="H160" s="30"/>
      <c r="I160" s="21" t="str">
        <f t="shared" si="1"/>
        <v/>
      </c>
      <c r="J160" s="19"/>
    </row>
    <row r="161" ht="15.75" customHeight="1">
      <c r="A161" s="3"/>
      <c r="B161" s="19"/>
      <c r="C161" s="19"/>
      <c r="D161" s="27"/>
      <c r="E161" s="27"/>
      <c r="F161" s="28"/>
      <c r="G161" s="31" t="str">
        <f t="shared" si="2"/>
        <v/>
      </c>
      <c r="H161" s="30"/>
      <c r="I161" s="21" t="str">
        <f t="shared" si="1"/>
        <v/>
      </c>
      <c r="J161" s="19"/>
    </row>
    <row r="162" ht="15.75" customHeight="1">
      <c r="A162" s="3"/>
      <c r="B162" s="19"/>
      <c r="C162" s="19"/>
      <c r="D162" s="27"/>
      <c r="E162" s="27"/>
      <c r="F162" s="28"/>
      <c r="G162" s="31" t="str">
        <f t="shared" si="2"/>
        <v/>
      </c>
      <c r="H162" s="30"/>
      <c r="I162" s="21" t="str">
        <f t="shared" si="1"/>
        <v/>
      </c>
      <c r="J162" s="19"/>
    </row>
    <row r="163" ht="15.75" customHeight="1">
      <c r="A163" s="3"/>
      <c r="B163" s="19"/>
      <c r="C163" s="19"/>
      <c r="D163" s="27"/>
      <c r="E163" s="27"/>
      <c r="F163" s="28"/>
      <c r="G163" s="31" t="str">
        <f t="shared" si="2"/>
        <v/>
      </c>
      <c r="H163" s="30"/>
      <c r="I163" s="21" t="str">
        <f t="shared" si="1"/>
        <v/>
      </c>
      <c r="J163" s="19"/>
    </row>
    <row r="164" ht="15.75" customHeight="1">
      <c r="A164" s="3"/>
      <c r="B164" s="19"/>
      <c r="C164" s="19"/>
      <c r="D164" s="27"/>
      <c r="E164" s="27"/>
      <c r="F164" s="28"/>
      <c r="G164" s="31" t="str">
        <f t="shared" si="2"/>
        <v/>
      </c>
      <c r="H164" s="30"/>
      <c r="I164" s="21" t="str">
        <f t="shared" si="1"/>
        <v/>
      </c>
      <c r="J164" s="19"/>
    </row>
    <row r="165" ht="15.75" customHeight="1">
      <c r="A165" s="3"/>
      <c r="B165" s="19"/>
      <c r="C165" s="19"/>
      <c r="D165" s="27"/>
      <c r="E165" s="27"/>
      <c r="F165" s="28"/>
      <c r="G165" s="31" t="str">
        <f t="shared" si="2"/>
        <v/>
      </c>
      <c r="H165" s="30"/>
      <c r="I165" s="21" t="str">
        <f t="shared" si="1"/>
        <v/>
      </c>
      <c r="J165" s="19"/>
    </row>
    <row r="166" ht="15.75" customHeight="1">
      <c r="A166" s="3"/>
      <c r="B166" s="19"/>
      <c r="C166" s="19"/>
      <c r="D166" s="27"/>
      <c r="E166" s="27"/>
      <c r="F166" s="28"/>
      <c r="G166" s="31" t="str">
        <f t="shared" si="2"/>
        <v/>
      </c>
      <c r="H166" s="30"/>
      <c r="I166" s="21" t="str">
        <f t="shared" si="1"/>
        <v/>
      </c>
      <c r="J166" s="19"/>
    </row>
    <row r="167" ht="15.75" customHeight="1">
      <c r="A167" s="3"/>
      <c r="B167" s="19"/>
      <c r="C167" s="19"/>
      <c r="D167" s="27"/>
      <c r="E167" s="27"/>
      <c r="F167" s="28"/>
      <c r="G167" s="31" t="str">
        <f t="shared" si="2"/>
        <v/>
      </c>
      <c r="H167" s="30"/>
      <c r="I167" s="21" t="str">
        <f t="shared" si="1"/>
        <v/>
      </c>
      <c r="J167" s="19"/>
    </row>
    <row r="168" ht="15.75" customHeight="1">
      <c r="A168" s="3"/>
      <c r="B168" s="19"/>
      <c r="C168" s="19"/>
      <c r="D168" s="27"/>
      <c r="E168" s="27"/>
      <c r="F168" s="28"/>
      <c r="G168" s="31" t="str">
        <f t="shared" si="2"/>
        <v/>
      </c>
      <c r="H168" s="30"/>
      <c r="I168" s="21" t="str">
        <f t="shared" si="1"/>
        <v/>
      </c>
      <c r="J168" s="19"/>
    </row>
    <row r="169" ht="15.75" customHeight="1">
      <c r="A169" s="3"/>
      <c r="B169" s="19"/>
      <c r="C169" s="19"/>
      <c r="D169" s="27"/>
      <c r="E169" s="27"/>
      <c r="F169" s="28"/>
      <c r="G169" s="31" t="str">
        <f t="shared" si="2"/>
        <v/>
      </c>
      <c r="H169" s="30"/>
      <c r="I169" s="21" t="str">
        <f t="shared" si="1"/>
        <v/>
      </c>
      <c r="J169" s="19"/>
    </row>
    <row r="170" ht="15.75" customHeight="1">
      <c r="A170" s="3"/>
      <c r="B170" s="19"/>
      <c r="C170" s="19"/>
      <c r="D170" s="27"/>
      <c r="E170" s="27"/>
      <c r="F170" s="28"/>
      <c r="G170" s="31" t="str">
        <f t="shared" si="2"/>
        <v/>
      </c>
      <c r="H170" s="30"/>
      <c r="I170" s="21" t="str">
        <f t="shared" si="1"/>
        <v/>
      </c>
      <c r="J170" s="19"/>
    </row>
    <row r="171" ht="15.75" customHeight="1">
      <c r="A171" s="3"/>
      <c r="B171" s="19"/>
      <c r="C171" s="19"/>
      <c r="D171" s="27"/>
      <c r="E171" s="27"/>
      <c r="F171" s="28"/>
      <c r="G171" s="31" t="str">
        <f t="shared" si="2"/>
        <v/>
      </c>
      <c r="H171" s="30"/>
      <c r="I171" s="21" t="str">
        <f t="shared" si="1"/>
        <v/>
      </c>
      <c r="J171" s="19"/>
    </row>
    <row r="172" ht="15.75" customHeight="1">
      <c r="A172" s="3"/>
      <c r="B172" s="19"/>
      <c r="C172" s="19"/>
      <c r="D172" s="27"/>
      <c r="E172" s="27"/>
      <c r="F172" s="28"/>
      <c r="G172" s="31" t="str">
        <f t="shared" si="2"/>
        <v/>
      </c>
      <c r="H172" s="30"/>
      <c r="I172" s="21" t="str">
        <f t="shared" si="1"/>
        <v/>
      </c>
      <c r="J172" s="19"/>
    </row>
    <row r="173" ht="15.75" customHeight="1">
      <c r="A173" s="3"/>
      <c r="B173" s="19"/>
      <c r="C173" s="19"/>
      <c r="D173" s="27"/>
      <c r="E173" s="27"/>
      <c r="F173" s="28"/>
      <c r="G173" s="31" t="str">
        <f t="shared" si="2"/>
        <v/>
      </c>
      <c r="H173" s="30"/>
      <c r="I173" s="21" t="str">
        <f t="shared" si="1"/>
        <v/>
      </c>
      <c r="J173" s="19"/>
    </row>
    <row r="174" ht="15.75" customHeight="1">
      <c r="A174" s="3"/>
      <c r="B174" s="19"/>
      <c r="C174" s="19"/>
      <c r="D174" s="27"/>
      <c r="E174" s="27"/>
      <c r="F174" s="28"/>
      <c r="G174" s="31" t="str">
        <f t="shared" si="2"/>
        <v/>
      </c>
      <c r="H174" s="30"/>
      <c r="I174" s="21" t="str">
        <f t="shared" si="1"/>
        <v/>
      </c>
      <c r="J174" s="19"/>
    </row>
    <row r="175" ht="15.75" customHeight="1">
      <c r="A175" s="3"/>
      <c r="B175" s="19"/>
      <c r="C175" s="19"/>
      <c r="D175" s="27"/>
      <c r="E175" s="27"/>
      <c r="F175" s="28"/>
      <c r="G175" s="31" t="str">
        <f t="shared" si="2"/>
        <v/>
      </c>
      <c r="H175" s="30"/>
      <c r="I175" s="21" t="str">
        <f t="shared" si="1"/>
        <v/>
      </c>
      <c r="J175" s="19"/>
    </row>
    <row r="176" ht="15.75" customHeight="1">
      <c r="A176" s="3"/>
      <c r="B176" s="19"/>
      <c r="C176" s="19"/>
      <c r="D176" s="27"/>
      <c r="E176" s="27"/>
      <c r="F176" s="28"/>
      <c r="G176" s="31" t="str">
        <f t="shared" si="2"/>
        <v/>
      </c>
      <c r="H176" s="30"/>
      <c r="I176" s="21" t="str">
        <f t="shared" si="1"/>
        <v/>
      </c>
      <c r="J176" s="19"/>
    </row>
    <row r="177" ht="15.75" customHeight="1">
      <c r="A177" s="3"/>
      <c r="B177" s="19"/>
      <c r="C177" s="19"/>
      <c r="D177" s="27"/>
      <c r="E177" s="27"/>
      <c r="F177" s="28"/>
      <c r="G177" s="31" t="str">
        <f t="shared" si="2"/>
        <v/>
      </c>
      <c r="H177" s="30"/>
      <c r="I177" s="21" t="str">
        <f t="shared" si="1"/>
        <v/>
      </c>
      <c r="J177" s="19"/>
    </row>
    <row r="178" ht="15.75" customHeight="1">
      <c r="A178" s="3"/>
      <c r="B178" s="19"/>
      <c r="C178" s="19"/>
      <c r="D178" s="27"/>
      <c r="E178" s="27"/>
      <c r="F178" s="28"/>
      <c r="G178" s="31" t="str">
        <f t="shared" si="2"/>
        <v/>
      </c>
      <c r="H178" s="30"/>
      <c r="I178" s="21" t="str">
        <f t="shared" si="1"/>
        <v/>
      </c>
      <c r="J178" s="19"/>
    </row>
    <row r="179" ht="15.75" customHeight="1">
      <c r="A179" s="3"/>
      <c r="B179" s="19"/>
      <c r="C179" s="19"/>
      <c r="D179" s="27"/>
      <c r="E179" s="27"/>
      <c r="F179" s="28"/>
      <c r="G179" s="31" t="str">
        <f t="shared" si="2"/>
        <v/>
      </c>
      <c r="H179" s="30"/>
      <c r="I179" s="21" t="str">
        <f t="shared" si="1"/>
        <v/>
      </c>
      <c r="J179" s="19"/>
    </row>
    <row r="180" ht="15.75" customHeight="1">
      <c r="A180" s="3"/>
      <c r="B180" s="19"/>
      <c r="C180" s="19"/>
      <c r="D180" s="27"/>
      <c r="E180" s="27"/>
      <c r="F180" s="28"/>
      <c r="G180" s="31" t="str">
        <f t="shared" si="2"/>
        <v/>
      </c>
      <c r="H180" s="30"/>
      <c r="I180" s="21" t="str">
        <f t="shared" si="1"/>
        <v/>
      </c>
      <c r="J180" s="19"/>
    </row>
    <row r="181" ht="15.75" customHeight="1">
      <c r="A181" s="3"/>
      <c r="B181" s="19"/>
      <c r="C181" s="19"/>
      <c r="D181" s="27"/>
      <c r="E181" s="27"/>
      <c r="F181" s="28"/>
      <c r="G181" s="31" t="str">
        <f t="shared" si="2"/>
        <v/>
      </c>
      <c r="H181" s="30"/>
      <c r="I181" s="21" t="str">
        <f t="shared" si="1"/>
        <v/>
      </c>
      <c r="J181" s="19"/>
    </row>
    <row r="182" ht="15.75" customHeight="1">
      <c r="A182" s="3"/>
      <c r="B182" s="19"/>
      <c r="C182" s="19"/>
      <c r="D182" s="27"/>
      <c r="E182" s="27"/>
      <c r="F182" s="28"/>
      <c r="G182" s="31" t="str">
        <f t="shared" si="2"/>
        <v/>
      </c>
      <c r="H182" s="30"/>
      <c r="I182" s="21" t="str">
        <f t="shared" si="1"/>
        <v/>
      </c>
      <c r="J182" s="19"/>
    </row>
    <row r="183" ht="15.75" customHeight="1">
      <c r="A183" s="3"/>
      <c r="B183" s="19"/>
      <c r="C183" s="19"/>
      <c r="D183" s="27"/>
      <c r="E183" s="27"/>
      <c r="F183" s="28"/>
      <c r="G183" s="31" t="str">
        <f t="shared" si="2"/>
        <v/>
      </c>
      <c r="H183" s="30"/>
      <c r="I183" s="21" t="str">
        <f t="shared" si="1"/>
        <v/>
      </c>
      <c r="J183" s="19"/>
    </row>
    <row r="184" ht="15.75" customHeight="1">
      <c r="A184" s="3"/>
      <c r="B184" s="19"/>
      <c r="C184" s="19"/>
      <c r="D184" s="27"/>
      <c r="E184" s="27"/>
      <c r="F184" s="28"/>
      <c r="G184" s="31" t="str">
        <f t="shared" si="2"/>
        <v/>
      </c>
      <c r="H184" s="30"/>
      <c r="I184" s="21" t="str">
        <f t="shared" si="1"/>
        <v/>
      </c>
      <c r="J184" s="19"/>
    </row>
    <row r="185" ht="15.75" customHeight="1">
      <c r="A185" s="3"/>
      <c r="B185" s="19"/>
      <c r="C185" s="19"/>
      <c r="D185" s="27"/>
      <c r="E185" s="27"/>
      <c r="F185" s="28"/>
      <c r="G185" s="31" t="str">
        <f t="shared" si="2"/>
        <v/>
      </c>
      <c r="H185" s="30"/>
      <c r="I185" s="21" t="str">
        <f t="shared" si="1"/>
        <v/>
      </c>
      <c r="J185" s="19"/>
    </row>
    <row r="186" ht="15.75" customHeight="1">
      <c r="A186" s="3"/>
      <c r="B186" s="19"/>
      <c r="C186" s="19"/>
      <c r="D186" s="27"/>
      <c r="E186" s="27"/>
      <c r="F186" s="28"/>
      <c r="G186" s="31" t="str">
        <f t="shared" si="2"/>
        <v/>
      </c>
      <c r="H186" s="30"/>
      <c r="I186" s="21" t="str">
        <f t="shared" si="1"/>
        <v/>
      </c>
      <c r="J186" s="19"/>
    </row>
    <row r="187" ht="15.75" customHeight="1">
      <c r="A187" s="3"/>
      <c r="B187" s="19"/>
      <c r="C187" s="19"/>
      <c r="D187" s="27"/>
      <c r="E187" s="27"/>
      <c r="F187" s="28"/>
      <c r="G187" s="31" t="str">
        <f t="shared" si="2"/>
        <v/>
      </c>
      <c r="H187" s="30"/>
      <c r="I187" s="21" t="str">
        <f t="shared" si="1"/>
        <v/>
      </c>
      <c r="J187" s="19"/>
    </row>
    <row r="188" ht="15.75" customHeight="1">
      <c r="A188" s="3"/>
      <c r="B188" s="19"/>
      <c r="C188" s="19"/>
      <c r="D188" s="27"/>
      <c r="E188" s="27"/>
      <c r="F188" s="28"/>
      <c r="G188" s="31" t="str">
        <f t="shared" si="2"/>
        <v/>
      </c>
      <c r="H188" s="30"/>
      <c r="I188" s="21" t="str">
        <f t="shared" si="1"/>
        <v/>
      </c>
      <c r="J188" s="19"/>
    </row>
    <row r="189" ht="15.75" customHeight="1">
      <c r="A189" s="3"/>
      <c r="B189" s="19"/>
      <c r="C189" s="19"/>
      <c r="D189" s="27"/>
      <c r="E189" s="27"/>
      <c r="F189" s="28"/>
      <c r="G189" s="31" t="str">
        <f t="shared" si="2"/>
        <v/>
      </c>
      <c r="H189" s="30"/>
      <c r="I189" s="21" t="str">
        <f t="shared" si="1"/>
        <v/>
      </c>
      <c r="J189" s="19"/>
    </row>
    <row r="190" ht="15.75" customHeight="1">
      <c r="A190" s="3"/>
      <c r="B190" s="19"/>
      <c r="C190" s="19"/>
      <c r="D190" s="27"/>
      <c r="E190" s="27"/>
      <c r="F190" s="28"/>
      <c r="G190" s="31" t="str">
        <f t="shared" si="2"/>
        <v/>
      </c>
      <c r="H190" s="30"/>
      <c r="I190" s="21" t="str">
        <f t="shared" si="1"/>
        <v/>
      </c>
      <c r="J190" s="19"/>
    </row>
    <row r="191" ht="15.75" customHeight="1">
      <c r="A191" s="3"/>
      <c r="B191" s="19"/>
      <c r="C191" s="19"/>
      <c r="D191" s="27"/>
      <c r="E191" s="27"/>
      <c r="F191" s="28"/>
      <c r="G191" s="31" t="str">
        <f t="shared" si="2"/>
        <v/>
      </c>
      <c r="H191" s="30"/>
      <c r="I191" s="21" t="str">
        <f t="shared" si="1"/>
        <v/>
      </c>
      <c r="J191" s="19"/>
    </row>
    <row r="192" ht="15.75" customHeight="1">
      <c r="A192" s="3"/>
      <c r="B192" s="19"/>
      <c r="C192" s="19"/>
      <c r="D192" s="27"/>
      <c r="E192" s="27"/>
      <c r="F192" s="28"/>
      <c r="G192" s="31" t="str">
        <f t="shared" si="2"/>
        <v/>
      </c>
      <c r="H192" s="30"/>
      <c r="I192" s="21" t="str">
        <f t="shared" si="1"/>
        <v/>
      </c>
      <c r="J192" s="19"/>
    </row>
    <row r="193" ht="15.75" customHeight="1">
      <c r="A193" s="3"/>
      <c r="B193" s="19"/>
      <c r="C193" s="19"/>
      <c r="D193" s="27"/>
      <c r="E193" s="27"/>
      <c r="F193" s="28"/>
      <c r="G193" s="31" t="str">
        <f t="shared" si="2"/>
        <v/>
      </c>
      <c r="H193" s="30"/>
      <c r="I193" s="21" t="str">
        <f t="shared" si="1"/>
        <v/>
      </c>
      <c r="J193" s="19"/>
    </row>
    <row r="194" ht="15.75" customHeight="1">
      <c r="A194" s="3"/>
      <c r="B194" s="19"/>
      <c r="C194" s="19"/>
      <c r="D194" s="27"/>
      <c r="E194" s="27"/>
      <c r="F194" s="28"/>
      <c r="G194" s="31" t="str">
        <f t="shared" si="2"/>
        <v/>
      </c>
      <c r="H194" s="30"/>
      <c r="I194" s="21" t="str">
        <f t="shared" si="1"/>
        <v/>
      </c>
      <c r="J194" s="19"/>
    </row>
    <row r="195" ht="15.75" customHeight="1">
      <c r="A195" s="3"/>
      <c r="B195" s="19"/>
      <c r="C195" s="19"/>
      <c r="D195" s="27"/>
      <c r="E195" s="27"/>
      <c r="F195" s="28"/>
      <c r="G195" s="31" t="str">
        <f t="shared" si="2"/>
        <v/>
      </c>
      <c r="H195" s="30"/>
      <c r="I195" s="21" t="str">
        <f t="shared" si="1"/>
        <v/>
      </c>
      <c r="J195" s="19"/>
    </row>
    <row r="196" ht="15.75" customHeight="1">
      <c r="A196" s="3"/>
      <c r="B196" s="19"/>
      <c r="C196" s="19"/>
      <c r="D196" s="27"/>
      <c r="E196" s="27"/>
      <c r="F196" s="28"/>
      <c r="G196" s="31" t="str">
        <f t="shared" si="2"/>
        <v/>
      </c>
      <c r="H196" s="30"/>
      <c r="I196" s="21" t="str">
        <f t="shared" si="1"/>
        <v/>
      </c>
      <c r="J196" s="19"/>
    </row>
    <row r="197" ht="15.75" customHeight="1">
      <c r="A197" s="3"/>
      <c r="B197" s="19"/>
      <c r="C197" s="19"/>
      <c r="D197" s="27"/>
      <c r="E197" s="27"/>
      <c r="F197" s="28"/>
      <c r="G197" s="31" t="str">
        <f t="shared" si="2"/>
        <v/>
      </c>
      <c r="H197" s="30"/>
      <c r="I197" s="21" t="str">
        <f t="shared" si="1"/>
        <v/>
      </c>
      <c r="J197" s="19"/>
    </row>
    <row r="198" ht="15.75" customHeight="1">
      <c r="A198" s="3"/>
      <c r="B198" s="19"/>
      <c r="C198" s="19"/>
      <c r="D198" s="27"/>
      <c r="E198" s="27"/>
      <c r="F198" s="28"/>
      <c r="G198" s="31" t="str">
        <f t="shared" si="2"/>
        <v/>
      </c>
      <c r="H198" s="30"/>
      <c r="I198" s="21" t="str">
        <f t="shared" si="1"/>
        <v/>
      </c>
      <c r="J198" s="19"/>
    </row>
    <row r="199" ht="15.75" customHeight="1">
      <c r="A199" s="3"/>
      <c r="B199" s="19"/>
      <c r="C199" s="19"/>
      <c r="D199" s="27"/>
      <c r="E199" s="27"/>
      <c r="F199" s="28"/>
      <c r="G199" s="31" t="str">
        <f t="shared" si="2"/>
        <v/>
      </c>
      <c r="H199" s="30"/>
      <c r="I199" s="21" t="str">
        <f t="shared" si="1"/>
        <v/>
      </c>
      <c r="J199" s="19"/>
    </row>
    <row r="200" ht="15.75" customHeight="1">
      <c r="A200" s="3"/>
      <c r="B200" s="19"/>
      <c r="C200" s="19"/>
      <c r="D200" s="27"/>
      <c r="E200" s="27"/>
      <c r="F200" s="28"/>
      <c r="G200" s="31" t="str">
        <f t="shared" si="2"/>
        <v/>
      </c>
      <c r="H200" s="30"/>
      <c r="I200" s="21" t="str">
        <f t="shared" si="1"/>
        <v/>
      </c>
      <c r="J200" s="19"/>
    </row>
    <row r="201" ht="15.75" customHeight="1">
      <c r="A201" s="3"/>
      <c r="B201" s="19"/>
      <c r="C201" s="19"/>
      <c r="D201" s="27"/>
      <c r="E201" s="27"/>
      <c r="F201" s="28"/>
      <c r="G201" s="31" t="str">
        <f t="shared" si="2"/>
        <v/>
      </c>
      <c r="H201" s="30"/>
      <c r="I201" s="21" t="str">
        <f t="shared" si="1"/>
        <v/>
      </c>
      <c r="J201" s="19"/>
    </row>
    <row r="202" ht="15.75" customHeight="1">
      <c r="A202" s="3"/>
      <c r="B202" s="19"/>
      <c r="C202" s="19"/>
      <c r="D202" s="27"/>
      <c r="E202" s="27"/>
      <c r="F202" s="28"/>
      <c r="G202" s="31" t="str">
        <f t="shared" si="2"/>
        <v/>
      </c>
      <c r="H202" s="30"/>
      <c r="I202" s="21" t="str">
        <f t="shared" si="1"/>
        <v/>
      </c>
      <c r="J202" s="19"/>
    </row>
    <row r="203" ht="15.75" customHeight="1">
      <c r="A203" s="3"/>
      <c r="B203" s="19"/>
      <c r="C203" s="19"/>
      <c r="D203" s="27"/>
      <c r="E203" s="27"/>
      <c r="F203" s="28"/>
      <c r="G203" s="31" t="str">
        <f t="shared" si="2"/>
        <v/>
      </c>
      <c r="H203" s="30"/>
      <c r="I203" s="21" t="str">
        <f t="shared" si="1"/>
        <v/>
      </c>
      <c r="J203" s="19"/>
    </row>
    <row r="204" ht="15.75" customHeight="1">
      <c r="A204" s="3"/>
      <c r="B204" s="19"/>
      <c r="C204" s="19"/>
      <c r="D204" s="27"/>
      <c r="E204" s="27"/>
      <c r="F204" s="28"/>
      <c r="G204" s="31" t="str">
        <f t="shared" si="2"/>
        <v/>
      </c>
      <c r="H204" s="30"/>
      <c r="I204" s="21" t="str">
        <f t="shared" si="1"/>
        <v/>
      </c>
      <c r="J204" s="19"/>
    </row>
    <row r="205" ht="15.75" customHeight="1">
      <c r="A205" s="3"/>
      <c r="B205" s="19"/>
      <c r="C205" s="19"/>
      <c r="D205" s="27"/>
      <c r="E205" s="27"/>
      <c r="F205" s="28"/>
      <c r="G205" s="31" t="str">
        <f t="shared" si="2"/>
        <v/>
      </c>
      <c r="H205" s="30"/>
      <c r="I205" s="21" t="str">
        <f t="shared" si="1"/>
        <v/>
      </c>
      <c r="J205" s="19"/>
    </row>
    <row r="206" ht="15.75" customHeight="1">
      <c r="A206" s="3"/>
      <c r="B206" s="19"/>
      <c r="C206" s="19"/>
      <c r="D206" s="27"/>
      <c r="E206" s="27"/>
      <c r="F206" s="28"/>
      <c r="G206" s="31" t="str">
        <f t="shared" si="2"/>
        <v/>
      </c>
      <c r="H206" s="30"/>
      <c r="I206" s="21" t="str">
        <f t="shared" si="1"/>
        <v/>
      </c>
      <c r="J206" s="19"/>
    </row>
    <row r="207" ht="15.75" customHeight="1">
      <c r="A207" s="3"/>
      <c r="B207" s="19"/>
      <c r="C207" s="19"/>
      <c r="D207" s="27"/>
      <c r="E207" s="27"/>
      <c r="F207" s="28"/>
      <c r="G207" s="31" t="str">
        <f t="shared" si="2"/>
        <v/>
      </c>
      <c r="H207" s="30"/>
      <c r="I207" s="21" t="str">
        <f t="shared" si="1"/>
        <v/>
      </c>
      <c r="J207" s="19"/>
    </row>
    <row r="208" ht="15.75" customHeight="1">
      <c r="A208" s="3"/>
      <c r="B208" s="19"/>
      <c r="C208" s="19"/>
      <c r="D208" s="27"/>
      <c r="E208" s="27"/>
      <c r="F208" s="28"/>
      <c r="G208" s="31" t="str">
        <f t="shared" si="2"/>
        <v/>
      </c>
      <c r="H208" s="30"/>
      <c r="I208" s="21" t="str">
        <f t="shared" si="1"/>
        <v/>
      </c>
      <c r="J208" s="19"/>
    </row>
    <row r="209" ht="15.75" customHeight="1">
      <c r="A209" s="3"/>
      <c r="B209" s="19"/>
      <c r="C209" s="19"/>
      <c r="D209" s="27"/>
      <c r="E209" s="27"/>
      <c r="F209" s="28"/>
      <c r="G209" s="31" t="str">
        <f t="shared" si="2"/>
        <v/>
      </c>
      <c r="H209" s="30"/>
      <c r="I209" s="21" t="str">
        <f t="shared" si="1"/>
        <v/>
      </c>
      <c r="J209" s="19"/>
    </row>
    <row r="210" ht="15.75" customHeight="1">
      <c r="A210" s="3"/>
      <c r="B210" s="19"/>
      <c r="C210" s="19"/>
      <c r="D210" s="27"/>
      <c r="E210" s="27"/>
      <c r="F210" s="28"/>
      <c r="G210" s="31" t="str">
        <f t="shared" si="2"/>
        <v/>
      </c>
      <c r="H210" s="30"/>
      <c r="I210" s="21" t="str">
        <f t="shared" si="1"/>
        <v/>
      </c>
      <c r="J210" s="19"/>
    </row>
    <row r="211" ht="15.75" customHeight="1">
      <c r="A211" s="3"/>
      <c r="B211" s="19"/>
      <c r="C211" s="19"/>
      <c r="D211" s="27"/>
      <c r="E211" s="27"/>
      <c r="F211" s="28"/>
      <c r="G211" s="31" t="str">
        <f t="shared" si="2"/>
        <v/>
      </c>
      <c r="H211" s="30"/>
      <c r="I211" s="21" t="str">
        <f t="shared" si="1"/>
        <v/>
      </c>
      <c r="J211" s="19"/>
    </row>
    <row r="212" ht="15.75" customHeight="1">
      <c r="A212" s="3"/>
      <c r="B212" s="19"/>
      <c r="C212" s="19"/>
      <c r="D212" s="27"/>
      <c r="E212" s="27"/>
      <c r="F212" s="28"/>
      <c r="G212" s="31" t="str">
        <f t="shared" si="2"/>
        <v/>
      </c>
      <c r="H212" s="30"/>
      <c r="I212" s="21" t="str">
        <f t="shared" si="1"/>
        <v/>
      </c>
      <c r="J212" s="19"/>
    </row>
    <row r="213" ht="15.75" customHeight="1">
      <c r="A213" s="3"/>
      <c r="B213" s="19"/>
      <c r="C213" s="19"/>
      <c r="D213" s="27"/>
      <c r="E213" s="27"/>
      <c r="F213" s="28"/>
      <c r="G213" s="31" t="str">
        <f t="shared" si="2"/>
        <v/>
      </c>
      <c r="H213" s="30"/>
      <c r="I213" s="21" t="str">
        <f t="shared" si="1"/>
        <v/>
      </c>
      <c r="J213" s="19"/>
    </row>
    <row r="214" ht="15.75" customHeight="1">
      <c r="A214" s="3"/>
      <c r="B214" s="19"/>
      <c r="C214" s="19"/>
      <c r="D214" s="27"/>
      <c r="E214" s="27"/>
      <c r="F214" s="28"/>
      <c r="G214" s="31" t="str">
        <f t="shared" si="2"/>
        <v/>
      </c>
      <c r="H214" s="30"/>
      <c r="I214" s="21" t="str">
        <f t="shared" si="1"/>
        <v/>
      </c>
      <c r="J214" s="19"/>
    </row>
    <row r="215" ht="15.75" customHeight="1">
      <c r="A215" s="3"/>
      <c r="B215" s="19"/>
      <c r="C215" s="19"/>
      <c r="D215" s="27"/>
      <c r="E215" s="27"/>
      <c r="F215" s="28"/>
      <c r="G215" s="31" t="str">
        <f t="shared" si="2"/>
        <v/>
      </c>
      <c r="H215" s="30"/>
      <c r="I215" s="21" t="str">
        <f t="shared" si="1"/>
        <v/>
      </c>
      <c r="J215" s="19"/>
    </row>
    <row r="216" ht="15.75" customHeight="1">
      <c r="A216" s="3"/>
      <c r="B216" s="19"/>
      <c r="C216" s="19"/>
      <c r="D216" s="27"/>
      <c r="E216" s="27"/>
      <c r="F216" s="28"/>
      <c r="G216" s="31" t="str">
        <f t="shared" si="2"/>
        <v/>
      </c>
      <c r="H216" s="30"/>
      <c r="I216" s="21" t="str">
        <f t="shared" si="1"/>
        <v/>
      </c>
      <c r="J216" s="19"/>
    </row>
    <row r="217" ht="15.75" customHeight="1">
      <c r="A217" s="3"/>
      <c r="B217" s="19"/>
      <c r="C217" s="19"/>
      <c r="D217" s="27"/>
      <c r="E217" s="27"/>
      <c r="F217" s="28"/>
      <c r="G217" s="31" t="str">
        <f t="shared" si="2"/>
        <v/>
      </c>
      <c r="H217" s="30"/>
      <c r="I217" s="21" t="str">
        <f t="shared" si="1"/>
        <v/>
      </c>
      <c r="J217" s="19"/>
    </row>
    <row r="218" ht="15.75" customHeight="1">
      <c r="A218" s="3"/>
      <c r="B218" s="19"/>
      <c r="C218" s="19"/>
      <c r="D218" s="27"/>
      <c r="E218" s="27"/>
      <c r="F218" s="28"/>
      <c r="G218" s="31" t="str">
        <f t="shared" si="2"/>
        <v/>
      </c>
      <c r="H218" s="30"/>
      <c r="I218" s="21" t="str">
        <f t="shared" si="1"/>
        <v/>
      </c>
      <c r="J218" s="19"/>
    </row>
    <row r="219" ht="15.75" customHeight="1">
      <c r="A219" s="3"/>
      <c r="B219" s="19"/>
      <c r="C219" s="19"/>
      <c r="D219" s="27"/>
      <c r="E219" s="27"/>
      <c r="F219" s="28"/>
      <c r="G219" s="31" t="str">
        <f t="shared" si="2"/>
        <v/>
      </c>
      <c r="H219" s="30"/>
      <c r="I219" s="21" t="str">
        <f t="shared" si="1"/>
        <v/>
      </c>
      <c r="J219" s="19"/>
    </row>
    <row r="220" ht="15.75" customHeight="1">
      <c r="A220" s="3"/>
      <c r="B220" s="19"/>
      <c r="C220" s="19"/>
      <c r="D220" s="27"/>
      <c r="E220" s="27"/>
      <c r="F220" s="28"/>
      <c r="G220" s="31" t="str">
        <f t="shared" si="2"/>
        <v/>
      </c>
      <c r="H220" s="30"/>
      <c r="I220" s="21" t="str">
        <f t="shared" si="1"/>
        <v/>
      </c>
      <c r="J220" s="19"/>
    </row>
    <row r="221" ht="15.75" customHeight="1">
      <c r="A221" s="3"/>
      <c r="B221" s="19"/>
      <c r="C221" s="19"/>
      <c r="D221" s="27"/>
      <c r="E221" s="27"/>
      <c r="F221" s="28"/>
      <c r="G221" s="31" t="str">
        <f t="shared" si="2"/>
        <v/>
      </c>
      <c r="H221" s="30"/>
      <c r="I221" s="21" t="str">
        <f t="shared" si="1"/>
        <v/>
      </c>
      <c r="J221" s="19"/>
    </row>
    <row r="222" ht="15.75" customHeight="1">
      <c r="A222" s="3"/>
      <c r="B222" s="19"/>
      <c r="C222" s="19"/>
      <c r="D222" s="27"/>
      <c r="E222" s="27"/>
      <c r="F222" s="28"/>
      <c r="G222" s="31" t="str">
        <f t="shared" si="2"/>
        <v/>
      </c>
      <c r="H222" s="30"/>
      <c r="I222" s="21" t="str">
        <f t="shared" si="1"/>
        <v/>
      </c>
      <c r="J222" s="19"/>
    </row>
    <row r="223" ht="15.75" customHeight="1">
      <c r="A223" s="3"/>
      <c r="B223" s="19"/>
      <c r="C223" s="19"/>
      <c r="D223" s="27"/>
      <c r="E223" s="27"/>
      <c r="F223" s="28"/>
      <c r="G223" s="31" t="str">
        <f t="shared" si="2"/>
        <v/>
      </c>
      <c r="H223" s="30"/>
      <c r="I223" s="21" t="str">
        <f t="shared" si="1"/>
        <v/>
      </c>
      <c r="J223" s="19"/>
    </row>
    <row r="224" ht="15.75" customHeight="1">
      <c r="A224" s="3"/>
      <c r="B224" s="19"/>
      <c r="C224" s="19"/>
      <c r="D224" s="27"/>
      <c r="E224" s="27"/>
      <c r="F224" s="28"/>
      <c r="G224" s="31" t="str">
        <f t="shared" si="2"/>
        <v/>
      </c>
      <c r="H224" s="30"/>
      <c r="I224" s="21" t="str">
        <f t="shared" si="1"/>
        <v/>
      </c>
      <c r="J224" s="19"/>
    </row>
    <row r="225" ht="15.75" customHeight="1">
      <c r="A225" s="3"/>
      <c r="B225" s="19"/>
      <c r="C225" s="19"/>
      <c r="D225" s="27"/>
      <c r="E225" s="27"/>
      <c r="F225" s="28"/>
      <c r="G225" s="31" t="str">
        <f t="shared" si="2"/>
        <v/>
      </c>
      <c r="H225" s="30"/>
      <c r="I225" s="21" t="str">
        <f t="shared" si="1"/>
        <v/>
      </c>
      <c r="J225" s="19"/>
    </row>
    <row r="226" ht="15.75" customHeight="1">
      <c r="A226" s="3"/>
      <c r="B226" s="19"/>
      <c r="C226" s="19"/>
      <c r="D226" s="27"/>
      <c r="E226" s="27"/>
      <c r="F226" s="28"/>
      <c r="G226" s="31" t="str">
        <f t="shared" si="2"/>
        <v/>
      </c>
      <c r="H226" s="30"/>
      <c r="I226" s="21" t="str">
        <f t="shared" si="1"/>
        <v/>
      </c>
      <c r="J226" s="19"/>
    </row>
    <row r="227" ht="15.75" customHeight="1">
      <c r="A227" s="3"/>
      <c r="B227" s="19"/>
      <c r="C227" s="19"/>
      <c r="D227" s="27"/>
      <c r="E227" s="27"/>
      <c r="F227" s="28"/>
      <c r="G227" s="31" t="str">
        <f t="shared" si="2"/>
        <v/>
      </c>
      <c r="H227" s="30"/>
      <c r="I227" s="21" t="str">
        <f t="shared" si="1"/>
        <v/>
      </c>
      <c r="J227" s="19"/>
    </row>
    <row r="228" ht="15.75" customHeight="1">
      <c r="A228" s="3"/>
      <c r="B228" s="19"/>
      <c r="C228" s="19"/>
      <c r="D228" s="27"/>
      <c r="E228" s="27"/>
      <c r="F228" s="28"/>
      <c r="G228" s="31" t="str">
        <f t="shared" si="2"/>
        <v/>
      </c>
      <c r="H228" s="30"/>
      <c r="I228" s="21" t="str">
        <f t="shared" si="1"/>
        <v/>
      </c>
      <c r="J228" s="19"/>
    </row>
    <row r="229" ht="15.75" customHeight="1">
      <c r="A229" s="3"/>
      <c r="B229" s="19"/>
      <c r="C229" s="19"/>
      <c r="D229" s="27"/>
      <c r="E229" s="27"/>
      <c r="F229" s="28"/>
      <c r="G229" s="31" t="str">
        <f t="shared" si="2"/>
        <v/>
      </c>
      <c r="H229" s="30"/>
      <c r="I229" s="21" t="str">
        <f t="shared" si="1"/>
        <v/>
      </c>
      <c r="J229" s="19"/>
    </row>
    <row r="230" ht="15.75" customHeight="1">
      <c r="A230" s="3"/>
      <c r="B230" s="19"/>
      <c r="C230" s="19"/>
      <c r="D230" s="27"/>
      <c r="E230" s="27"/>
      <c r="F230" s="28"/>
      <c r="G230" s="31" t="str">
        <f t="shared" si="2"/>
        <v/>
      </c>
      <c r="H230" s="30"/>
      <c r="I230" s="21" t="str">
        <f t="shared" si="1"/>
        <v/>
      </c>
      <c r="J230" s="19"/>
    </row>
    <row r="231" ht="15.75" customHeight="1">
      <c r="A231" s="3"/>
      <c r="B231" s="19"/>
      <c r="C231" s="19"/>
      <c r="D231" s="27"/>
      <c r="E231" s="27"/>
      <c r="F231" s="28"/>
      <c r="G231" s="31" t="str">
        <f t="shared" si="2"/>
        <v/>
      </c>
      <c r="H231" s="30"/>
      <c r="I231" s="21" t="str">
        <f t="shared" si="1"/>
        <v/>
      </c>
      <c r="J231" s="19"/>
    </row>
    <row r="232" ht="15.75" customHeight="1">
      <c r="A232" s="3"/>
      <c r="B232" s="19"/>
      <c r="C232" s="19"/>
      <c r="D232" s="27"/>
      <c r="E232" s="27"/>
      <c r="F232" s="28"/>
      <c r="G232" s="31" t="str">
        <f t="shared" si="2"/>
        <v/>
      </c>
      <c r="H232" s="30"/>
      <c r="I232" s="21" t="str">
        <f t="shared" si="1"/>
        <v/>
      </c>
      <c r="J232" s="19"/>
    </row>
    <row r="233" ht="15.75" customHeight="1">
      <c r="A233" s="3"/>
      <c r="B233" s="19"/>
      <c r="C233" s="19"/>
      <c r="D233" s="27"/>
      <c r="E233" s="27"/>
      <c r="F233" s="28"/>
      <c r="G233" s="31" t="str">
        <f t="shared" si="2"/>
        <v/>
      </c>
      <c r="H233" s="30"/>
      <c r="I233" s="21" t="str">
        <f t="shared" si="1"/>
        <v/>
      </c>
      <c r="J233" s="19"/>
    </row>
    <row r="234" ht="15.75" customHeight="1">
      <c r="A234" s="3"/>
      <c r="B234" s="19"/>
      <c r="C234" s="19"/>
      <c r="D234" s="27"/>
      <c r="E234" s="27"/>
      <c r="F234" s="28"/>
      <c r="G234" s="31" t="str">
        <f t="shared" si="2"/>
        <v/>
      </c>
      <c r="H234" s="30"/>
      <c r="I234" s="21" t="str">
        <f t="shared" si="1"/>
        <v/>
      </c>
      <c r="J234" s="19"/>
    </row>
    <row r="235" ht="15.75" customHeight="1">
      <c r="A235" s="3"/>
      <c r="B235" s="19"/>
      <c r="C235" s="19"/>
      <c r="D235" s="27"/>
      <c r="E235" s="27"/>
      <c r="F235" s="28"/>
      <c r="G235" s="31" t="str">
        <f t="shared" si="2"/>
        <v/>
      </c>
      <c r="H235" s="30"/>
      <c r="I235" s="21" t="str">
        <f t="shared" si="1"/>
        <v/>
      </c>
      <c r="J235" s="19"/>
    </row>
    <row r="236" ht="15.75" customHeight="1">
      <c r="A236" s="3"/>
      <c r="B236" s="19"/>
      <c r="C236" s="19"/>
      <c r="D236" s="27"/>
      <c r="E236" s="27"/>
      <c r="F236" s="28"/>
      <c r="G236" s="31" t="str">
        <f t="shared" si="2"/>
        <v/>
      </c>
      <c r="H236" s="30"/>
      <c r="I236" s="21" t="str">
        <f t="shared" si="1"/>
        <v/>
      </c>
      <c r="J236" s="19"/>
    </row>
    <row r="237" ht="15.75" customHeight="1">
      <c r="A237" s="3"/>
      <c r="B237" s="19"/>
      <c r="C237" s="19"/>
      <c r="D237" s="27"/>
      <c r="E237" s="27"/>
      <c r="F237" s="28"/>
      <c r="G237" s="31" t="str">
        <f t="shared" si="2"/>
        <v/>
      </c>
      <c r="H237" s="30"/>
      <c r="I237" s="21" t="str">
        <f t="shared" si="1"/>
        <v/>
      </c>
      <c r="J237" s="19"/>
    </row>
    <row r="238" ht="15.75" customHeight="1">
      <c r="A238" s="3"/>
      <c r="B238" s="19"/>
      <c r="C238" s="19"/>
      <c r="D238" s="27"/>
      <c r="E238" s="27"/>
      <c r="F238" s="28"/>
      <c r="G238" s="31" t="str">
        <f t="shared" si="2"/>
        <v/>
      </c>
      <c r="H238" s="30"/>
      <c r="I238" s="21" t="str">
        <f t="shared" si="1"/>
        <v/>
      </c>
      <c r="J238" s="19"/>
    </row>
    <row r="239" ht="15.75" customHeight="1">
      <c r="A239" s="3"/>
      <c r="B239" s="19"/>
      <c r="C239" s="19"/>
      <c r="D239" s="27"/>
      <c r="E239" s="27"/>
      <c r="F239" s="28"/>
      <c r="G239" s="31" t="str">
        <f t="shared" si="2"/>
        <v/>
      </c>
      <c r="H239" s="30"/>
      <c r="I239" s="21" t="str">
        <f t="shared" si="1"/>
        <v/>
      </c>
      <c r="J239" s="19"/>
    </row>
    <row r="240" ht="15.75" customHeight="1">
      <c r="A240" s="3"/>
      <c r="B240" s="19"/>
      <c r="C240" s="19"/>
      <c r="D240" s="27"/>
      <c r="E240" s="27"/>
      <c r="F240" s="28"/>
      <c r="G240" s="31" t="str">
        <f t="shared" si="2"/>
        <v/>
      </c>
      <c r="H240" s="30"/>
      <c r="I240" s="21" t="str">
        <f t="shared" si="1"/>
        <v/>
      </c>
      <c r="J240" s="19"/>
    </row>
    <row r="241" ht="15.75" customHeight="1">
      <c r="A241" s="3"/>
      <c r="B241" s="19"/>
      <c r="C241" s="19"/>
      <c r="D241" s="27"/>
      <c r="E241" s="27"/>
      <c r="F241" s="28"/>
      <c r="G241" s="31" t="str">
        <f t="shared" si="2"/>
        <v/>
      </c>
      <c r="H241" s="30"/>
      <c r="I241" s="21" t="str">
        <f t="shared" si="1"/>
        <v/>
      </c>
      <c r="J241" s="19"/>
    </row>
    <row r="242" ht="15.75" customHeight="1">
      <c r="A242" s="3"/>
      <c r="B242" s="19"/>
      <c r="C242" s="19"/>
      <c r="D242" s="27"/>
      <c r="E242" s="27"/>
      <c r="F242" s="28"/>
      <c r="G242" s="31" t="str">
        <f t="shared" si="2"/>
        <v/>
      </c>
      <c r="H242" s="30"/>
      <c r="I242" s="21" t="str">
        <f t="shared" si="1"/>
        <v/>
      </c>
      <c r="J242" s="19"/>
    </row>
    <row r="243" ht="15.75" customHeight="1">
      <c r="A243" s="3"/>
      <c r="B243" s="19"/>
      <c r="C243" s="19"/>
      <c r="D243" s="27"/>
      <c r="E243" s="27"/>
      <c r="F243" s="28"/>
      <c r="G243" s="31" t="str">
        <f t="shared" si="2"/>
        <v/>
      </c>
      <c r="H243" s="30"/>
      <c r="I243" s="21" t="str">
        <f t="shared" si="1"/>
        <v/>
      </c>
      <c r="J243" s="19"/>
    </row>
    <row r="244" ht="15.75" customHeight="1">
      <c r="A244" s="3"/>
      <c r="B244" s="19"/>
      <c r="C244" s="19"/>
      <c r="D244" s="27"/>
      <c r="E244" s="27"/>
      <c r="F244" s="28"/>
      <c r="G244" s="31" t="str">
        <f t="shared" si="2"/>
        <v/>
      </c>
      <c r="H244" s="30"/>
      <c r="I244" s="21" t="str">
        <f t="shared" si="1"/>
        <v/>
      </c>
      <c r="J244" s="19"/>
    </row>
    <row r="245" ht="15.75" customHeight="1">
      <c r="A245" s="3"/>
      <c r="B245" s="19"/>
      <c r="C245" s="19"/>
      <c r="D245" s="27"/>
      <c r="E245" s="27"/>
      <c r="F245" s="28"/>
      <c r="G245" s="31" t="str">
        <f t="shared" si="2"/>
        <v/>
      </c>
      <c r="H245" s="30"/>
      <c r="I245" s="21" t="str">
        <f t="shared" si="1"/>
        <v/>
      </c>
      <c r="J245" s="19"/>
    </row>
    <row r="246" ht="15.75" customHeight="1">
      <c r="A246" s="3"/>
      <c r="B246" s="19"/>
      <c r="C246" s="19"/>
      <c r="D246" s="27"/>
      <c r="E246" s="27"/>
      <c r="F246" s="28"/>
      <c r="G246" s="31" t="str">
        <f t="shared" si="2"/>
        <v/>
      </c>
      <c r="H246" s="30"/>
      <c r="I246" s="21" t="str">
        <f t="shared" si="1"/>
        <v/>
      </c>
      <c r="J246" s="19"/>
    </row>
    <row r="247" ht="15.75" customHeight="1">
      <c r="A247" s="3"/>
      <c r="B247" s="19"/>
      <c r="C247" s="19"/>
      <c r="D247" s="27"/>
      <c r="E247" s="27"/>
      <c r="F247" s="28"/>
      <c r="G247" s="31" t="str">
        <f t="shared" si="2"/>
        <v/>
      </c>
      <c r="H247" s="30"/>
      <c r="I247" s="21" t="str">
        <f t="shared" si="1"/>
        <v/>
      </c>
      <c r="J247" s="19"/>
    </row>
    <row r="248" ht="15.75" customHeight="1">
      <c r="A248" s="3"/>
      <c r="B248" s="19"/>
      <c r="C248" s="19"/>
      <c r="D248" s="27"/>
      <c r="E248" s="27"/>
      <c r="F248" s="28"/>
      <c r="G248" s="31" t="str">
        <f t="shared" si="2"/>
        <v/>
      </c>
      <c r="H248" s="30"/>
      <c r="I248" s="21" t="str">
        <f t="shared" si="1"/>
        <v/>
      </c>
      <c r="J248" s="19"/>
    </row>
    <row r="249" ht="15.75" customHeight="1">
      <c r="A249" s="3"/>
      <c r="B249" s="19"/>
      <c r="C249" s="19"/>
      <c r="D249" s="27"/>
      <c r="E249" s="27"/>
      <c r="F249" s="28"/>
      <c r="G249" s="31" t="str">
        <f t="shared" si="2"/>
        <v/>
      </c>
      <c r="H249" s="30"/>
      <c r="I249" s="21" t="str">
        <f t="shared" si="1"/>
        <v/>
      </c>
      <c r="J249" s="19"/>
    </row>
    <row r="250" ht="15.75" customHeight="1">
      <c r="A250" s="3"/>
      <c r="B250" s="19"/>
      <c r="C250" s="19"/>
      <c r="D250" s="27"/>
      <c r="E250" s="27"/>
      <c r="F250" s="28"/>
      <c r="G250" s="31" t="str">
        <f t="shared" si="2"/>
        <v/>
      </c>
      <c r="H250" s="30"/>
      <c r="I250" s="21" t="str">
        <f t="shared" si="1"/>
        <v/>
      </c>
      <c r="J250" s="19"/>
    </row>
    <row r="251" ht="15.75" customHeight="1">
      <c r="A251" s="3"/>
      <c r="B251" s="19"/>
      <c r="C251" s="19"/>
      <c r="D251" s="27"/>
      <c r="E251" s="27"/>
      <c r="F251" s="28"/>
      <c r="G251" s="31" t="str">
        <f t="shared" si="2"/>
        <v/>
      </c>
      <c r="H251" s="30"/>
      <c r="I251" s="21" t="str">
        <f t="shared" si="1"/>
        <v/>
      </c>
      <c r="J251" s="19"/>
    </row>
    <row r="252" ht="15.75" customHeight="1">
      <c r="A252" s="3"/>
      <c r="B252" s="19"/>
      <c r="C252" s="19"/>
      <c r="D252" s="27"/>
      <c r="E252" s="27"/>
      <c r="F252" s="28"/>
      <c r="G252" s="31" t="str">
        <f t="shared" si="2"/>
        <v/>
      </c>
      <c r="H252" s="30"/>
      <c r="I252" s="21" t="str">
        <f t="shared" si="1"/>
        <v/>
      </c>
      <c r="J252" s="19"/>
    </row>
    <row r="253" ht="15.75" customHeight="1">
      <c r="A253" s="3"/>
      <c r="B253" s="19"/>
      <c r="C253" s="19"/>
      <c r="D253" s="27"/>
      <c r="E253" s="27"/>
      <c r="F253" s="28"/>
      <c r="G253" s="31" t="str">
        <f t="shared" si="2"/>
        <v/>
      </c>
      <c r="H253" s="30"/>
      <c r="I253" s="21" t="str">
        <f t="shared" si="1"/>
        <v/>
      </c>
      <c r="J253" s="19"/>
    </row>
    <row r="254" ht="15.75" customHeight="1">
      <c r="A254" s="3"/>
      <c r="B254" s="19"/>
      <c r="C254" s="19"/>
      <c r="D254" s="27"/>
      <c r="E254" s="27"/>
      <c r="F254" s="28"/>
      <c r="G254" s="31" t="str">
        <f t="shared" si="2"/>
        <v/>
      </c>
      <c r="H254" s="30"/>
      <c r="I254" s="21" t="str">
        <f t="shared" si="1"/>
        <v/>
      </c>
      <c r="J254" s="19"/>
    </row>
    <row r="255" ht="15.75" customHeight="1">
      <c r="A255" s="3"/>
      <c r="B255" s="19"/>
      <c r="C255" s="19"/>
      <c r="D255" s="27"/>
      <c r="E255" s="27"/>
      <c r="F255" s="28"/>
      <c r="G255" s="31" t="str">
        <f t="shared" si="2"/>
        <v/>
      </c>
      <c r="H255" s="30"/>
      <c r="I255" s="21" t="str">
        <f t="shared" si="1"/>
        <v/>
      </c>
      <c r="J255" s="19"/>
    </row>
    <row r="256" ht="15.75" customHeight="1">
      <c r="A256" s="3"/>
      <c r="B256" s="19"/>
      <c r="C256" s="19"/>
      <c r="D256" s="27"/>
      <c r="E256" s="27"/>
      <c r="F256" s="28"/>
      <c r="G256" s="31" t="str">
        <f t="shared" si="2"/>
        <v/>
      </c>
      <c r="H256" s="30"/>
      <c r="I256" s="21" t="str">
        <f t="shared" si="1"/>
        <v/>
      </c>
      <c r="J256" s="19"/>
    </row>
    <row r="257" ht="15.75" customHeight="1">
      <c r="A257" s="3"/>
      <c r="B257" s="19"/>
      <c r="C257" s="19"/>
      <c r="D257" s="27"/>
      <c r="E257" s="27"/>
      <c r="F257" s="28"/>
      <c r="G257" s="31" t="str">
        <f t="shared" si="2"/>
        <v/>
      </c>
      <c r="H257" s="30"/>
      <c r="I257" s="21" t="str">
        <f t="shared" si="1"/>
        <v/>
      </c>
      <c r="J257" s="19"/>
    </row>
    <row r="258" ht="15.75" customHeight="1">
      <c r="A258" s="3"/>
      <c r="B258" s="19"/>
      <c r="C258" s="19"/>
      <c r="D258" s="27"/>
      <c r="E258" s="27"/>
      <c r="F258" s="28"/>
      <c r="G258" s="31" t="str">
        <f t="shared" si="2"/>
        <v/>
      </c>
      <c r="H258" s="30"/>
      <c r="I258" s="21" t="str">
        <f t="shared" si="1"/>
        <v/>
      </c>
      <c r="J258" s="19"/>
    </row>
    <row r="259" ht="15.75" customHeight="1">
      <c r="A259" s="3"/>
      <c r="B259" s="19"/>
      <c r="C259" s="19"/>
      <c r="D259" s="27"/>
      <c r="E259" s="27"/>
      <c r="F259" s="28"/>
      <c r="G259" s="31" t="str">
        <f t="shared" si="2"/>
        <v/>
      </c>
      <c r="H259" s="30"/>
      <c r="I259" s="21" t="str">
        <f t="shared" si="1"/>
        <v/>
      </c>
      <c r="J259" s="19"/>
    </row>
    <row r="260" ht="15.75" customHeight="1">
      <c r="A260" s="3"/>
      <c r="B260" s="19"/>
      <c r="C260" s="19"/>
      <c r="D260" s="27"/>
      <c r="E260" s="27"/>
      <c r="F260" s="28"/>
      <c r="G260" s="31" t="str">
        <f t="shared" si="2"/>
        <v/>
      </c>
      <c r="H260" s="30"/>
      <c r="I260" s="21" t="str">
        <f t="shared" si="1"/>
        <v/>
      </c>
      <c r="J260" s="19"/>
    </row>
    <row r="261" ht="15.75" customHeight="1">
      <c r="A261" s="3"/>
      <c r="B261" s="19"/>
      <c r="C261" s="19"/>
      <c r="D261" s="27"/>
      <c r="E261" s="27"/>
      <c r="F261" s="28"/>
      <c r="G261" s="31" t="str">
        <f t="shared" si="2"/>
        <v/>
      </c>
      <c r="H261" s="30"/>
      <c r="I261" s="21" t="str">
        <f t="shared" si="1"/>
        <v/>
      </c>
      <c r="J261" s="19"/>
    </row>
    <row r="262" ht="15.75" customHeight="1">
      <c r="A262" s="3"/>
      <c r="B262" s="19"/>
      <c r="C262" s="19"/>
      <c r="D262" s="27"/>
      <c r="E262" s="27"/>
      <c r="F262" s="28"/>
      <c r="G262" s="31" t="str">
        <f t="shared" si="2"/>
        <v/>
      </c>
      <c r="H262" s="30"/>
      <c r="I262" s="21" t="str">
        <f t="shared" si="1"/>
        <v/>
      </c>
      <c r="J262" s="19"/>
    </row>
    <row r="263" ht="15.75" customHeight="1">
      <c r="A263" s="3"/>
      <c r="B263" s="19"/>
      <c r="C263" s="19"/>
      <c r="D263" s="27"/>
      <c r="E263" s="27"/>
      <c r="F263" s="28"/>
      <c r="G263" s="31" t="str">
        <f t="shared" si="2"/>
        <v/>
      </c>
      <c r="H263" s="30"/>
      <c r="I263" s="21" t="str">
        <f t="shared" si="1"/>
        <v/>
      </c>
      <c r="J263" s="19"/>
    </row>
    <row r="264" ht="15.75" customHeight="1">
      <c r="A264" s="3"/>
      <c r="B264" s="19"/>
      <c r="C264" s="19"/>
      <c r="D264" s="27"/>
      <c r="E264" s="27"/>
      <c r="F264" s="28"/>
      <c r="G264" s="31" t="str">
        <f t="shared" si="2"/>
        <v/>
      </c>
      <c r="H264" s="30"/>
      <c r="I264" s="21" t="str">
        <f t="shared" si="1"/>
        <v/>
      </c>
      <c r="J264" s="19"/>
    </row>
    <row r="265" ht="15.75" customHeight="1">
      <c r="A265" s="3"/>
      <c r="B265" s="19"/>
      <c r="C265" s="19"/>
      <c r="D265" s="27"/>
      <c r="E265" s="27"/>
      <c r="F265" s="28"/>
      <c r="G265" s="31" t="str">
        <f t="shared" si="2"/>
        <v/>
      </c>
      <c r="H265" s="30"/>
      <c r="I265" s="21" t="str">
        <f t="shared" si="1"/>
        <v/>
      </c>
      <c r="J265" s="19"/>
    </row>
    <row r="266" ht="15.75" customHeight="1">
      <c r="A266" s="3"/>
      <c r="B266" s="19"/>
      <c r="C266" s="19"/>
      <c r="D266" s="27"/>
      <c r="E266" s="27"/>
      <c r="F266" s="28"/>
      <c r="G266" s="31" t="str">
        <f t="shared" si="2"/>
        <v/>
      </c>
      <c r="H266" s="30"/>
      <c r="I266" s="21" t="str">
        <f t="shared" si="1"/>
        <v/>
      </c>
      <c r="J266" s="19"/>
    </row>
    <row r="267" ht="15.75" customHeight="1">
      <c r="A267" s="3"/>
      <c r="B267" s="19"/>
      <c r="C267" s="19"/>
      <c r="D267" s="27"/>
      <c r="E267" s="27"/>
      <c r="F267" s="28"/>
      <c r="G267" s="31" t="str">
        <f t="shared" si="2"/>
        <v/>
      </c>
      <c r="H267" s="30"/>
      <c r="I267" s="21" t="str">
        <f t="shared" si="1"/>
        <v/>
      </c>
      <c r="J267" s="19"/>
    </row>
    <row r="268" ht="15.75" customHeight="1">
      <c r="A268" s="3"/>
      <c r="B268" s="19"/>
      <c r="C268" s="19"/>
      <c r="D268" s="27"/>
      <c r="E268" s="27"/>
      <c r="F268" s="28"/>
      <c r="G268" s="31" t="str">
        <f t="shared" si="2"/>
        <v/>
      </c>
      <c r="H268" s="30"/>
      <c r="I268" s="21" t="str">
        <f t="shared" si="1"/>
        <v/>
      </c>
      <c r="J268" s="19"/>
    </row>
    <row r="269" ht="15.75" customHeight="1">
      <c r="A269" s="3"/>
      <c r="B269" s="19"/>
      <c r="C269" s="19"/>
      <c r="D269" s="27"/>
      <c r="E269" s="27"/>
      <c r="F269" s="28"/>
      <c r="G269" s="31" t="str">
        <f t="shared" si="2"/>
        <v/>
      </c>
      <c r="H269" s="30"/>
      <c r="I269" s="21" t="str">
        <f t="shared" si="1"/>
        <v/>
      </c>
      <c r="J269" s="19"/>
    </row>
    <row r="270" ht="15.75" customHeight="1">
      <c r="A270" s="3"/>
      <c r="B270" s="19"/>
      <c r="C270" s="19"/>
      <c r="D270" s="27"/>
      <c r="E270" s="27"/>
      <c r="F270" s="28"/>
      <c r="G270" s="31" t="str">
        <f t="shared" si="2"/>
        <v/>
      </c>
      <c r="H270" s="30"/>
      <c r="I270" s="21" t="str">
        <f t="shared" si="1"/>
        <v/>
      </c>
      <c r="J270" s="19"/>
    </row>
    <row r="271" ht="15.75" customHeight="1">
      <c r="A271" s="3"/>
      <c r="B271" s="19"/>
      <c r="C271" s="19"/>
      <c r="D271" s="27"/>
      <c r="E271" s="27"/>
      <c r="F271" s="28"/>
      <c r="G271" s="31" t="str">
        <f t="shared" si="2"/>
        <v/>
      </c>
      <c r="H271" s="30"/>
      <c r="I271" s="21" t="str">
        <f t="shared" si="1"/>
        <v/>
      </c>
      <c r="J271" s="19"/>
    </row>
    <row r="272" ht="15.75" customHeight="1">
      <c r="A272" s="3"/>
      <c r="B272" s="19"/>
      <c r="C272" s="19"/>
      <c r="D272" s="27"/>
      <c r="E272" s="27"/>
      <c r="F272" s="28"/>
      <c r="G272" s="31" t="str">
        <f t="shared" si="2"/>
        <v/>
      </c>
      <c r="H272" s="30"/>
      <c r="I272" s="21" t="str">
        <f t="shared" si="1"/>
        <v/>
      </c>
      <c r="J272" s="19"/>
    </row>
    <row r="273" ht="15.75" customHeight="1">
      <c r="A273" s="3"/>
      <c r="B273" s="19"/>
      <c r="C273" s="19"/>
      <c r="D273" s="27"/>
      <c r="E273" s="27"/>
      <c r="F273" s="28"/>
      <c r="G273" s="31" t="str">
        <f t="shared" si="2"/>
        <v/>
      </c>
      <c r="H273" s="30"/>
      <c r="I273" s="21" t="str">
        <f t="shared" si="1"/>
        <v/>
      </c>
      <c r="J273" s="19"/>
    </row>
    <row r="274" ht="15.75" customHeight="1">
      <c r="A274" s="3"/>
      <c r="B274" s="19"/>
      <c r="C274" s="19"/>
      <c r="D274" s="27"/>
      <c r="E274" s="27"/>
      <c r="F274" s="28"/>
      <c r="G274" s="31" t="str">
        <f t="shared" si="2"/>
        <v/>
      </c>
      <c r="H274" s="30"/>
      <c r="I274" s="21" t="str">
        <f t="shared" si="1"/>
        <v/>
      </c>
      <c r="J274" s="19"/>
    </row>
    <row r="275" ht="15.75" customHeight="1">
      <c r="A275" s="3"/>
      <c r="B275" s="19"/>
      <c r="C275" s="19"/>
      <c r="D275" s="27"/>
      <c r="E275" s="27"/>
      <c r="F275" s="28"/>
      <c r="G275" s="31" t="str">
        <f t="shared" si="2"/>
        <v/>
      </c>
      <c r="H275" s="30"/>
      <c r="I275" s="21" t="str">
        <f t="shared" si="1"/>
        <v/>
      </c>
      <c r="J275" s="19"/>
    </row>
    <row r="276" ht="15.75" customHeight="1">
      <c r="A276" s="3"/>
      <c r="B276" s="19"/>
      <c r="C276" s="19"/>
      <c r="D276" s="27"/>
      <c r="E276" s="27"/>
      <c r="F276" s="28"/>
      <c r="G276" s="31" t="str">
        <f t="shared" si="2"/>
        <v/>
      </c>
      <c r="H276" s="30"/>
      <c r="I276" s="21" t="str">
        <f t="shared" si="1"/>
        <v/>
      </c>
      <c r="J276" s="19"/>
    </row>
    <row r="277" ht="15.75" customHeight="1">
      <c r="A277" s="3"/>
      <c r="B277" s="19"/>
      <c r="C277" s="19"/>
      <c r="D277" s="27"/>
      <c r="E277" s="27"/>
      <c r="F277" s="28"/>
      <c r="G277" s="31" t="str">
        <f t="shared" si="2"/>
        <v/>
      </c>
      <c r="H277" s="30"/>
      <c r="I277" s="21" t="str">
        <f t="shared" si="1"/>
        <v/>
      </c>
      <c r="J277" s="19"/>
    </row>
    <row r="278" ht="15.75" customHeight="1">
      <c r="A278" s="3"/>
      <c r="B278" s="19"/>
      <c r="C278" s="19"/>
      <c r="D278" s="27"/>
      <c r="E278" s="27"/>
      <c r="F278" s="28"/>
      <c r="G278" s="31" t="str">
        <f t="shared" si="2"/>
        <v/>
      </c>
      <c r="H278" s="30"/>
      <c r="I278" s="21" t="str">
        <f t="shared" si="1"/>
        <v/>
      </c>
      <c r="J278" s="19"/>
    </row>
    <row r="279" ht="15.75" customHeight="1">
      <c r="A279" s="3"/>
      <c r="B279" s="19"/>
      <c r="C279" s="19"/>
      <c r="D279" s="27"/>
      <c r="E279" s="27"/>
      <c r="F279" s="28"/>
      <c r="G279" s="31" t="str">
        <f t="shared" si="2"/>
        <v/>
      </c>
      <c r="H279" s="30"/>
      <c r="I279" s="21" t="str">
        <f t="shared" si="1"/>
        <v/>
      </c>
      <c r="J279" s="19"/>
    </row>
    <row r="280" ht="15.75" customHeight="1">
      <c r="A280" s="3"/>
      <c r="B280" s="19"/>
      <c r="C280" s="19"/>
      <c r="D280" s="27"/>
      <c r="E280" s="27"/>
      <c r="F280" s="28"/>
      <c r="G280" s="31" t="str">
        <f t="shared" si="2"/>
        <v/>
      </c>
      <c r="H280" s="30"/>
      <c r="I280" s="21" t="str">
        <f t="shared" si="1"/>
        <v/>
      </c>
      <c r="J280" s="19"/>
    </row>
    <row r="281" ht="15.75" customHeight="1">
      <c r="A281" s="3"/>
      <c r="B281" s="19"/>
      <c r="C281" s="19"/>
      <c r="D281" s="27"/>
      <c r="E281" s="27"/>
      <c r="F281" s="28"/>
      <c r="G281" s="31" t="str">
        <f t="shared" si="2"/>
        <v/>
      </c>
      <c r="H281" s="30"/>
      <c r="I281" s="21" t="str">
        <f t="shared" si="1"/>
        <v/>
      </c>
      <c r="J281" s="19"/>
    </row>
    <row r="282" ht="15.75" customHeight="1">
      <c r="A282" s="3"/>
      <c r="B282" s="19"/>
      <c r="C282" s="19"/>
      <c r="D282" s="27"/>
      <c r="E282" s="27"/>
      <c r="F282" s="28"/>
      <c r="G282" s="31" t="str">
        <f t="shared" si="2"/>
        <v/>
      </c>
      <c r="H282" s="30"/>
      <c r="I282" s="21" t="str">
        <f t="shared" si="1"/>
        <v/>
      </c>
      <c r="J282" s="19"/>
    </row>
    <row r="283" ht="15.75" customHeight="1">
      <c r="A283" s="3"/>
      <c r="B283" s="19"/>
      <c r="C283" s="19"/>
      <c r="D283" s="27"/>
      <c r="E283" s="27"/>
      <c r="F283" s="28"/>
      <c r="G283" s="31" t="str">
        <f t="shared" si="2"/>
        <v/>
      </c>
      <c r="H283" s="30"/>
      <c r="I283" s="21" t="str">
        <f t="shared" si="1"/>
        <v/>
      </c>
      <c r="J283" s="19"/>
    </row>
    <row r="284" ht="15.75" customHeight="1">
      <c r="A284" s="3"/>
      <c r="B284" s="19"/>
      <c r="C284" s="19"/>
      <c r="D284" s="27"/>
      <c r="E284" s="27"/>
      <c r="F284" s="28"/>
      <c r="G284" s="31" t="str">
        <f t="shared" si="2"/>
        <v/>
      </c>
      <c r="H284" s="30"/>
      <c r="I284" s="21" t="str">
        <f t="shared" si="1"/>
        <v/>
      </c>
      <c r="J284" s="19"/>
    </row>
    <row r="285" ht="15.75" customHeight="1">
      <c r="A285" s="3"/>
      <c r="B285" s="19"/>
      <c r="C285" s="19"/>
      <c r="D285" s="27"/>
      <c r="E285" s="27"/>
      <c r="F285" s="28"/>
      <c r="G285" s="31" t="str">
        <f t="shared" si="2"/>
        <v/>
      </c>
      <c r="H285" s="30"/>
      <c r="I285" s="21" t="str">
        <f t="shared" si="1"/>
        <v/>
      </c>
      <c r="J285" s="19"/>
    </row>
    <row r="286" ht="15.75" customHeight="1">
      <c r="A286" s="3"/>
      <c r="B286" s="19"/>
      <c r="C286" s="19"/>
      <c r="D286" s="27"/>
      <c r="E286" s="27"/>
      <c r="F286" s="28"/>
      <c r="G286" s="31" t="str">
        <f t="shared" si="2"/>
        <v/>
      </c>
      <c r="H286" s="30"/>
      <c r="I286" s="21" t="str">
        <f t="shared" si="1"/>
        <v/>
      </c>
      <c r="J286" s="19"/>
    </row>
    <row r="287" ht="15.75" customHeight="1">
      <c r="A287" s="3"/>
      <c r="B287" s="19"/>
      <c r="C287" s="19"/>
      <c r="D287" s="27"/>
      <c r="E287" s="27"/>
      <c r="F287" s="28"/>
      <c r="G287" s="31" t="str">
        <f t="shared" si="2"/>
        <v/>
      </c>
      <c r="H287" s="30"/>
      <c r="I287" s="21" t="str">
        <f t="shared" si="1"/>
        <v/>
      </c>
      <c r="J287" s="19"/>
    </row>
    <row r="288" ht="15.75" customHeight="1">
      <c r="A288" s="3"/>
      <c r="B288" s="19"/>
      <c r="C288" s="19"/>
      <c r="D288" s="27"/>
      <c r="E288" s="27"/>
      <c r="F288" s="28"/>
      <c r="G288" s="31" t="str">
        <f t="shared" si="2"/>
        <v/>
      </c>
      <c r="H288" s="30"/>
      <c r="I288" s="21" t="str">
        <f t="shared" si="1"/>
        <v/>
      </c>
      <c r="J288" s="19"/>
    </row>
    <row r="289" ht="15.75" customHeight="1">
      <c r="A289" s="3"/>
      <c r="B289" s="19"/>
      <c r="C289" s="19"/>
      <c r="D289" s="27"/>
      <c r="E289" s="27"/>
      <c r="F289" s="28"/>
      <c r="G289" s="31" t="str">
        <f t="shared" si="2"/>
        <v/>
      </c>
      <c r="H289" s="30"/>
      <c r="I289" s="21" t="str">
        <f t="shared" si="1"/>
        <v/>
      </c>
      <c r="J289" s="19"/>
    </row>
    <row r="290" ht="15.75" customHeight="1">
      <c r="A290" s="3"/>
      <c r="B290" s="19"/>
      <c r="C290" s="19"/>
      <c r="D290" s="27"/>
      <c r="E290" s="27"/>
      <c r="F290" s="28"/>
      <c r="G290" s="31" t="str">
        <f t="shared" si="2"/>
        <v/>
      </c>
      <c r="H290" s="30"/>
      <c r="I290" s="21" t="str">
        <f t="shared" si="1"/>
        <v/>
      </c>
      <c r="J290" s="19"/>
    </row>
    <row r="291" ht="15.75" customHeight="1">
      <c r="A291" s="3"/>
      <c r="B291" s="19"/>
      <c r="C291" s="19"/>
      <c r="D291" s="27"/>
      <c r="E291" s="27"/>
      <c r="F291" s="28"/>
      <c r="G291" s="31" t="str">
        <f t="shared" si="2"/>
        <v/>
      </c>
      <c r="H291" s="30"/>
      <c r="I291" s="21" t="str">
        <f t="shared" si="1"/>
        <v/>
      </c>
      <c r="J291" s="19"/>
    </row>
    <row r="292" ht="15.75" customHeight="1">
      <c r="A292" s="3"/>
      <c r="B292" s="19"/>
      <c r="C292" s="19"/>
      <c r="D292" s="27"/>
      <c r="E292" s="27"/>
      <c r="F292" s="28"/>
      <c r="G292" s="31" t="str">
        <f t="shared" si="2"/>
        <v/>
      </c>
      <c r="H292" s="30"/>
      <c r="I292" s="21" t="str">
        <f t="shared" si="1"/>
        <v/>
      </c>
      <c r="J292" s="19"/>
    </row>
    <row r="293" ht="15.75" customHeight="1">
      <c r="A293" s="3"/>
      <c r="B293" s="19"/>
      <c r="C293" s="19"/>
      <c r="D293" s="27"/>
      <c r="E293" s="27"/>
      <c r="F293" s="28"/>
      <c r="G293" s="31" t="str">
        <f t="shared" si="2"/>
        <v/>
      </c>
      <c r="H293" s="30"/>
      <c r="I293" s="21" t="str">
        <f t="shared" si="1"/>
        <v/>
      </c>
      <c r="J293" s="19"/>
    </row>
    <row r="294" ht="15.75" customHeight="1">
      <c r="A294" s="3"/>
      <c r="B294" s="19"/>
      <c r="C294" s="19"/>
      <c r="D294" s="27"/>
      <c r="E294" s="27"/>
      <c r="F294" s="28"/>
      <c r="G294" s="31" t="str">
        <f t="shared" si="2"/>
        <v/>
      </c>
      <c r="H294" s="30"/>
      <c r="I294" s="21" t="str">
        <f t="shared" si="1"/>
        <v/>
      </c>
      <c r="J294" s="19"/>
    </row>
    <row r="295" ht="15.75" customHeight="1">
      <c r="A295" s="3"/>
      <c r="B295" s="19"/>
      <c r="C295" s="19"/>
      <c r="D295" s="27"/>
      <c r="E295" s="27"/>
      <c r="F295" s="28"/>
      <c r="G295" s="31" t="str">
        <f t="shared" si="2"/>
        <v/>
      </c>
      <c r="H295" s="30"/>
      <c r="I295" s="21" t="str">
        <f t="shared" si="1"/>
        <v/>
      </c>
      <c r="J295" s="19"/>
    </row>
    <row r="296" ht="15.75" customHeight="1">
      <c r="A296" s="3"/>
      <c r="B296" s="19"/>
      <c r="C296" s="19"/>
      <c r="D296" s="27"/>
      <c r="E296" s="27"/>
      <c r="F296" s="28"/>
      <c r="G296" s="31" t="str">
        <f t="shared" si="2"/>
        <v/>
      </c>
      <c r="H296" s="30"/>
      <c r="I296" s="21" t="str">
        <f t="shared" si="1"/>
        <v/>
      </c>
      <c r="J296" s="19"/>
    </row>
    <row r="297" ht="15.75" customHeight="1">
      <c r="A297" s="3"/>
      <c r="B297" s="19"/>
      <c r="C297" s="19"/>
      <c r="D297" s="27"/>
      <c r="E297" s="27"/>
      <c r="F297" s="28"/>
      <c r="G297" s="31" t="str">
        <f t="shared" si="2"/>
        <v/>
      </c>
      <c r="H297" s="30"/>
      <c r="I297" s="21" t="str">
        <f t="shared" si="1"/>
        <v/>
      </c>
      <c r="J297" s="19"/>
    </row>
    <row r="298" ht="15.75" customHeight="1">
      <c r="A298" s="3"/>
      <c r="B298" s="19"/>
      <c r="C298" s="19"/>
      <c r="D298" s="27"/>
      <c r="E298" s="27"/>
      <c r="F298" s="28"/>
      <c r="G298" s="31" t="str">
        <f t="shared" si="2"/>
        <v/>
      </c>
      <c r="H298" s="30"/>
      <c r="I298" s="21" t="str">
        <f t="shared" si="1"/>
        <v/>
      </c>
      <c r="J298" s="19"/>
    </row>
    <row r="299" ht="15.75" customHeight="1">
      <c r="A299" s="3"/>
      <c r="B299" s="19"/>
      <c r="C299" s="19"/>
      <c r="D299" s="27"/>
      <c r="E299" s="27"/>
      <c r="F299" s="28"/>
      <c r="G299" s="31" t="str">
        <f t="shared" si="2"/>
        <v/>
      </c>
      <c r="H299" s="30"/>
      <c r="I299" s="21" t="str">
        <f t="shared" si="1"/>
        <v/>
      </c>
      <c r="J299" s="19"/>
    </row>
    <row r="300" ht="15.75" customHeight="1">
      <c r="A300" s="3"/>
      <c r="B300" s="19"/>
      <c r="C300" s="19"/>
      <c r="D300" s="27"/>
      <c r="E300" s="27"/>
      <c r="F300" s="28"/>
      <c r="G300" s="31" t="str">
        <f t="shared" si="2"/>
        <v/>
      </c>
      <c r="H300" s="30"/>
      <c r="I300" s="21" t="str">
        <f t="shared" si="1"/>
        <v/>
      </c>
      <c r="J300" s="19"/>
    </row>
    <row r="301" ht="15.75" customHeight="1">
      <c r="A301" s="3"/>
      <c r="B301" s="19"/>
      <c r="C301" s="19"/>
      <c r="D301" s="27"/>
      <c r="E301" s="27"/>
      <c r="F301" s="28"/>
      <c r="G301" s="31" t="str">
        <f t="shared" si="2"/>
        <v/>
      </c>
      <c r="H301" s="30"/>
      <c r="I301" s="21" t="str">
        <f t="shared" si="1"/>
        <v/>
      </c>
      <c r="J301" s="19"/>
    </row>
    <row r="302" ht="15.75" customHeight="1">
      <c r="A302" s="3"/>
      <c r="B302" s="19"/>
      <c r="C302" s="19"/>
      <c r="D302" s="27"/>
      <c r="E302" s="27"/>
      <c r="F302" s="28"/>
      <c r="G302" s="31" t="str">
        <f t="shared" si="2"/>
        <v/>
      </c>
      <c r="H302" s="30"/>
      <c r="I302" s="21" t="str">
        <f t="shared" si="1"/>
        <v/>
      </c>
      <c r="J302" s="19"/>
    </row>
    <row r="303" ht="15.75" customHeight="1">
      <c r="A303" s="3"/>
      <c r="B303" s="19"/>
      <c r="C303" s="19"/>
      <c r="D303" s="27"/>
      <c r="E303" s="27"/>
      <c r="F303" s="28"/>
      <c r="G303" s="31" t="str">
        <f t="shared" si="2"/>
        <v/>
      </c>
      <c r="H303" s="30"/>
      <c r="I303" s="21" t="str">
        <f t="shared" si="1"/>
        <v/>
      </c>
      <c r="J303" s="19"/>
    </row>
    <row r="304" ht="15.75" customHeight="1">
      <c r="A304" s="3"/>
      <c r="B304" s="19"/>
      <c r="C304" s="19"/>
      <c r="D304" s="27"/>
      <c r="E304" s="27"/>
      <c r="F304" s="28"/>
      <c r="G304" s="31" t="str">
        <f t="shared" si="2"/>
        <v/>
      </c>
      <c r="H304" s="30"/>
      <c r="I304" s="21" t="str">
        <f t="shared" si="1"/>
        <v/>
      </c>
      <c r="J304" s="19"/>
    </row>
    <row r="305" ht="15.75" customHeight="1">
      <c r="A305" s="3"/>
      <c r="B305" s="19"/>
      <c r="C305" s="19"/>
      <c r="D305" s="27"/>
      <c r="E305" s="27"/>
      <c r="F305" s="28"/>
      <c r="G305" s="31" t="str">
        <f t="shared" si="2"/>
        <v/>
      </c>
      <c r="H305" s="30"/>
      <c r="I305" s="21" t="str">
        <f t="shared" si="1"/>
        <v/>
      </c>
      <c r="J305" s="19"/>
    </row>
    <row r="306" ht="15.75" customHeight="1">
      <c r="A306" s="3"/>
      <c r="B306" s="19"/>
      <c r="C306" s="19"/>
      <c r="D306" s="27"/>
      <c r="E306" s="27"/>
      <c r="F306" s="28"/>
      <c r="G306" s="31" t="str">
        <f t="shared" si="2"/>
        <v/>
      </c>
      <c r="H306" s="30"/>
      <c r="I306" s="21" t="str">
        <f t="shared" si="1"/>
        <v/>
      </c>
      <c r="J306" s="19"/>
    </row>
    <row r="307" ht="15.75" customHeight="1">
      <c r="A307" s="3"/>
      <c r="B307" s="19"/>
      <c r="C307" s="19"/>
      <c r="D307" s="27"/>
      <c r="E307" s="27"/>
      <c r="F307" s="28"/>
      <c r="G307" s="31" t="str">
        <f t="shared" si="2"/>
        <v/>
      </c>
      <c r="H307" s="30"/>
      <c r="I307" s="21" t="str">
        <f t="shared" si="1"/>
        <v/>
      </c>
      <c r="J307" s="19"/>
    </row>
    <row r="308" ht="15.75" customHeight="1">
      <c r="A308" s="3"/>
      <c r="B308" s="19"/>
      <c r="C308" s="19"/>
      <c r="D308" s="27"/>
      <c r="E308" s="27"/>
      <c r="F308" s="28"/>
      <c r="G308" s="31" t="str">
        <f t="shared" si="2"/>
        <v/>
      </c>
      <c r="H308" s="30"/>
      <c r="I308" s="21" t="str">
        <f t="shared" si="1"/>
        <v/>
      </c>
      <c r="J308" s="19"/>
    </row>
    <row r="309" ht="15.75" customHeight="1">
      <c r="A309" s="3"/>
      <c r="B309" s="19"/>
      <c r="C309" s="19"/>
      <c r="D309" s="27"/>
      <c r="E309" s="27"/>
      <c r="F309" s="28"/>
      <c r="G309" s="31" t="str">
        <f t="shared" si="2"/>
        <v/>
      </c>
      <c r="H309" s="30"/>
      <c r="I309" s="21" t="str">
        <f t="shared" si="1"/>
        <v/>
      </c>
      <c r="J309" s="19"/>
    </row>
    <row r="310" ht="15.75" customHeight="1">
      <c r="A310" s="3"/>
      <c r="B310" s="19"/>
      <c r="C310" s="19"/>
      <c r="D310" s="27"/>
      <c r="E310" s="27"/>
      <c r="F310" s="28"/>
      <c r="G310" s="31" t="str">
        <f t="shared" si="2"/>
        <v/>
      </c>
      <c r="H310" s="30"/>
      <c r="I310" s="21" t="str">
        <f t="shared" si="1"/>
        <v/>
      </c>
      <c r="J310" s="19"/>
    </row>
    <row r="311" ht="15.75" customHeight="1">
      <c r="A311" s="3"/>
      <c r="B311" s="19"/>
      <c r="C311" s="19"/>
      <c r="D311" s="27"/>
      <c r="E311" s="27"/>
      <c r="F311" s="28"/>
      <c r="G311" s="31" t="str">
        <f t="shared" si="2"/>
        <v/>
      </c>
      <c r="H311" s="30"/>
      <c r="I311" s="21" t="str">
        <f t="shared" si="1"/>
        <v/>
      </c>
      <c r="J311" s="19"/>
    </row>
    <row r="312" ht="15.75" customHeight="1">
      <c r="A312" s="3"/>
      <c r="B312" s="19"/>
      <c r="C312" s="19"/>
      <c r="D312" s="27"/>
      <c r="E312" s="27"/>
      <c r="F312" s="28"/>
      <c r="G312" s="31" t="str">
        <f t="shared" si="2"/>
        <v/>
      </c>
      <c r="H312" s="30"/>
      <c r="I312" s="21" t="str">
        <f t="shared" si="1"/>
        <v/>
      </c>
      <c r="J312" s="19"/>
    </row>
    <row r="313" ht="15.75" customHeight="1">
      <c r="A313" s="3"/>
      <c r="B313" s="19"/>
      <c r="C313" s="19"/>
      <c r="D313" s="27"/>
      <c r="E313" s="27"/>
      <c r="F313" s="28"/>
      <c r="G313" s="31" t="str">
        <f t="shared" si="2"/>
        <v/>
      </c>
      <c r="H313" s="30"/>
      <c r="I313" s="21" t="str">
        <f t="shared" si="1"/>
        <v/>
      </c>
      <c r="J313" s="19"/>
    </row>
    <row r="314" ht="15.75" customHeight="1">
      <c r="A314" s="3"/>
      <c r="B314" s="19"/>
      <c r="C314" s="19"/>
      <c r="D314" s="27"/>
      <c r="E314" s="27"/>
      <c r="F314" s="28"/>
      <c r="G314" s="31" t="str">
        <f t="shared" si="2"/>
        <v/>
      </c>
      <c r="H314" s="30"/>
      <c r="I314" s="21" t="str">
        <f t="shared" si="1"/>
        <v/>
      </c>
      <c r="J314" s="19"/>
    </row>
    <row r="315" ht="15.75" customHeight="1">
      <c r="A315" s="3"/>
      <c r="B315" s="19"/>
      <c r="C315" s="19"/>
      <c r="D315" s="27"/>
      <c r="E315" s="27"/>
      <c r="F315" s="28"/>
      <c r="G315" s="31" t="str">
        <f t="shared" si="2"/>
        <v/>
      </c>
      <c r="H315" s="30"/>
      <c r="I315" s="21" t="str">
        <f t="shared" si="1"/>
        <v/>
      </c>
      <c r="J315" s="19"/>
    </row>
    <row r="316" ht="15.75" customHeight="1">
      <c r="A316" s="3"/>
      <c r="B316" s="19"/>
      <c r="C316" s="19"/>
      <c r="D316" s="27"/>
      <c r="E316" s="27"/>
      <c r="F316" s="28"/>
      <c r="G316" s="31" t="str">
        <f t="shared" si="2"/>
        <v/>
      </c>
      <c r="H316" s="30"/>
      <c r="I316" s="21" t="str">
        <f t="shared" si="1"/>
        <v/>
      </c>
      <c r="J316" s="19"/>
    </row>
    <row r="317" ht="15.75" customHeight="1">
      <c r="A317" s="3"/>
      <c r="B317" s="19"/>
      <c r="C317" s="19"/>
      <c r="D317" s="27"/>
      <c r="E317" s="27"/>
      <c r="F317" s="28"/>
      <c r="G317" s="31" t="str">
        <f t="shared" si="2"/>
        <v/>
      </c>
      <c r="H317" s="30"/>
      <c r="I317" s="21" t="str">
        <f t="shared" si="1"/>
        <v/>
      </c>
      <c r="J317" s="19"/>
    </row>
    <row r="318" ht="15.75" customHeight="1">
      <c r="A318" s="3"/>
      <c r="B318" s="19"/>
      <c r="C318" s="19"/>
      <c r="D318" s="27"/>
      <c r="E318" s="27"/>
      <c r="F318" s="28"/>
      <c r="G318" s="31" t="str">
        <f t="shared" si="2"/>
        <v/>
      </c>
      <c r="H318" s="30"/>
      <c r="I318" s="21" t="str">
        <f t="shared" si="1"/>
        <v/>
      </c>
      <c r="J318" s="19"/>
    </row>
    <row r="319" ht="15.75" customHeight="1">
      <c r="A319" s="3"/>
      <c r="B319" s="19"/>
      <c r="C319" s="19"/>
      <c r="D319" s="27"/>
      <c r="E319" s="27"/>
      <c r="F319" s="28"/>
      <c r="G319" s="31" t="str">
        <f t="shared" si="2"/>
        <v/>
      </c>
      <c r="H319" s="30"/>
      <c r="I319" s="21" t="str">
        <f t="shared" si="1"/>
        <v/>
      </c>
      <c r="J319" s="19"/>
    </row>
    <row r="320" ht="15.75" customHeight="1">
      <c r="A320" s="3"/>
      <c r="B320" s="19"/>
      <c r="C320" s="19"/>
      <c r="D320" s="27"/>
      <c r="E320" s="27"/>
      <c r="F320" s="28"/>
      <c r="G320" s="31" t="str">
        <f t="shared" si="2"/>
        <v/>
      </c>
      <c r="H320" s="30"/>
      <c r="I320" s="21" t="str">
        <f t="shared" si="1"/>
        <v/>
      </c>
      <c r="J320" s="19"/>
    </row>
    <row r="321" ht="15.75" customHeight="1">
      <c r="A321" s="3"/>
      <c r="B321" s="19"/>
      <c r="C321" s="19"/>
      <c r="D321" s="27"/>
      <c r="E321" s="27"/>
      <c r="F321" s="28"/>
      <c r="G321" s="31" t="str">
        <f t="shared" si="2"/>
        <v/>
      </c>
      <c r="H321" s="30"/>
      <c r="I321" s="21" t="str">
        <f t="shared" si="1"/>
        <v/>
      </c>
      <c r="J321" s="19"/>
    </row>
    <row r="322" ht="15.75" customHeight="1">
      <c r="A322" s="3"/>
      <c r="B322" s="19"/>
      <c r="C322" s="19"/>
      <c r="D322" s="27"/>
      <c r="E322" s="27"/>
      <c r="F322" s="28"/>
      <c r="G322" s="31" t="str">
        <f t="shared" si="2"/>
        <v/>
      </c>
      <c r="H322" s="30"/>
      <c r="I322" s="21" t="str">
        <f t="shared" si="1"/>
        <v/>
      </c>
      <c r="J322" s="19"/>
    </row>
    <row r="323" ht="15.75" customHeight="1">
      <c r="A323" s="3"/>
      <c r="B323" s="19"/>
      <c r="C323" s="19"/>
      <c r="D323" s="27"/>
      <c r="E323" s="27"/>
      <c r="F323" s="28"/>
      <c r="G323" s="31" t="str">
        <f t="shared" si="2"/>
        <v/>
      </c>
      <c r="H323" s="30"/>
      <c r="I323" s="21" t="str">
        <f t="shared" si="1"/>
        <v/>
      </c>
      <c r="J323" s="19"/>
    </row>
    <row r="324" ht="15.75" customHeight="1">
      <c r="A324" s="3"/>
      <c r="B324" s="19"/>
      <c r="C324" s="19"/>
      <c r="D324" s="27"/>
      <c r="E324" s="27"/>
      <c r="F324" s="28"/>
      <c r="G324" s="31" t="str">
        <f t="shared" si="2"/>
        <v/>
      </c>
      <c r="H324" s="30"/>
      <c r="I324" s="21" t="str">
        <f t="shared" si="1"/>
        <v/>
      </c>
      <c r="J324" s="19"/>
    </row>
    <row r="325" ht="15.75" customHeight="1">
      <c r="A325" s="3"/>
      <c r="B325" s="19"/>
      <c r="C325" s="19"/>
      <c r="D325" s="27"/>
      <c r="E325" s="27"/>
      <c r="F325" s="28"/>
      <c r="G325" s="31" t="str">
        <f t="shared" si="2"/>
        <v/>
      </c>
      <c r="H325" s="30"/>
      <c r="I325" s="21" t="str">
        <f t="shared" si="1"/>
        <v/>
      </c>
      <c r="J325" s="19"/>
    </row>
    <row r="326" ht="15.75" customHeight="1">
      <c r="A326" s="3"/>
      <c r="B326" s="19"/>
      <c r="C326" s="19"/>
      <c r="D326" s="27"/>
      <c r="E326" s="27"/>
      <c r="F326" s="28"/>
      <c r="G326" s="31" t="str">
        <f t="shared" si="2"/>
        <v/>
      </c>
      <c r="H326" s="30"/>
      <c r="I326" s="21" t="str">
        <f t="shared" si="1"/>
        <v/>
      </c>
      <c r="J326" s="19"/>
    </row>
    <row r="327" ht="15.75" customHeight="1">
      <c r="A327" s="3"/>
      <c r="B327" s="19"/>
      <c r="C327" s="19"/>
      <c r="D327" s="27"/>
      <c r="E327" s="27"/>
      <c r="F327" s="28"/>
      <c r="G327" s="31" t="str">
        <f t="shared" si="2"/>
        <v/>
      </c>
      <c r="H327" s="30"/>
      <c r="I327" s="21" t="str">
        <f t="shared" si="1"/>
        <v/>
      </c>
      <c r="J327" s="19"/>
    </row>
    <row r="328" ht="15.75" customHeight="1">
      <c r="A328" s="3"/>
      <c r="B328" s="19"/>
      <c r="C328" s="19"/>
      <c r="D328" s="27"/>
      <c r="E328" s="27"/>
      <c r="F328" s="28"/>
      <c r="G328" s="31" t="str">
        <f t="shared" si="2"/>
        <v/>
      </c>
      <c r="H328" s="30"/>
      <c r="I328" s="21" t="str">
        <f t="shared" si="1"/>
        <v/>
      </c>
      <c r="J328" s="19"/>
    </row>
    <row r="329" ht="15.75" customHeight="1">
      <c r="A329" s="3"/>
      <c r="B329" s="19"/>
      <c r="C329" s="19"/>
      <c r="D329" s="27"/>
      <c r="E329" s="27"/>
      <c r="F329" s="28"/>
      <c r="G329" s="31" t="str">
        <f t="shared" si="2"/>
        <v/>
      </c>
      <c r="H329" s="30"/>
      <c r="I329" s="21" t="str">
        <f t="shared" si="1"/>
        <v/>
      </c>
      <c r="J329" s="19"/>
    </row>
    <row r="330" ht="15.75" customHeight="1">
      <c r="A330" s="3"/>
      <c r="B330" s="19"/>
      <c r="C330" s="19"/>
      <c r="D330" s="27"/>
      <c r="E330" s="27"/>
      <c r="F330" s="28"/>
      <c r="G330" s="31" t="str">
        <f t="shared" si="2"/>
        <v/>
      </c>
      <c r="H330" s="30"/>
      <c r="I330" s="21" t="str">
        <f t="shared" si="1"/>
        <v/>
      </c>
      <c r="J330" s="19"/>
    </row>
    <row r="331" ht="15.75" customHeight="1">
      <c r="A331" s="3"/>
      <c r="B331" s="19"/>
      <c r="C331" s="19"/>
      <c r="D331" s="27"/>
      <c r="E331" s="27"/>
      <c r="F331" s="28"/>
      <c r="G331" s="31" t="str">
        <f t="shared" si="2"/>
        <v/>
      </c>
      <c r="H331" s="30"/>
      <c r="I331" s="21" t="str">
        <f t="shared" si="1"/>
        <v/>
      </c>
      <c r="J331" s="19"/>
    </row>
    <row r="332" ht="15.75" customHeight="1">
      <c r="A332" s="3"/>
      <c r="B332" s="19"/>
      <c r="C332" s="19"/>
      <c r="D332" s="27"/>
      <c r="E332" s="27"/>
      <c r="F332" s="28"/>
      <c r="G332" s="31" t="str">
        <f t="shared" si="2"/>
        <v/>
      </c>
      <c r="H332" s="30"/>
      <c r="I332" s="21" t="str">
        <f t="shared" si="1"/>
        <v/>
      </c>
      <c r="J332" s="19"/>
    </row>
    <row r="333" ht="15.75" customHeight="1">
      <c r="A333" s="3"/>
      <c r="B333" s="19"/>
      <c r="C333" s="19"/>
      <c r="D333" s="27"/>
      <c r="E333" s="27"/>
      <c r="F333" s="28"/>
      <c r="G333" s="31" t="str">
        <f t="shared" si="2"/>
        <v/>
      </c>
      <c r="H333" s="30"/>
      <c r="I333" s="21" t="str">
        <f t="shared" si="1"/>
        <v/>
      </c>
      <c r="J333" s="19"/>
    </row>
    <row r="334" ht="15.75" customHeight="1">
      <c r="A334" s="3"/>
      <c r="B334" s="19"/>
      <c r="C334" s="19"/>
      <c r="D334" s="27"/>
      <c r="E334" s="27"/>
      <c r="F334" s="28"/>
      <c r="G334" s="31" t="str">
        <f t="shared" si="2"/>
        <v/>
      </c>
      <c r="H334" s="30"/>
      <c r="I334" s="21" t="str">
        <f t="shared" si="1"/>
        <v/>
      </c>
      <c r="J334" s="19"/>
    </row>
    <row r="335" ht="15.75" customHeight="1">
      <c r="A335" s="3"/>
      <c r="B335" s="19"/>
      <c r="C335" s="19"/>
      <c r="D335" s="27"/>
      <c r="E335" s="27"/>
      <c r="F335" s="28"/>
      <c r="G335" s="31" t="str">
        <f t="shared" si="2"/>
        <v/>
      </c>
      <c r="H335" s="30"/>
      <c r="I335" s="21" t="str">
        <f t="shared" si="1"/>
        <v/>
      </c>
      <c r="J335" s="19"/>
    </row>
    <row r="336" ht="15.75" customHeight="1">
      <c r="A336" s="3"/>
      <c r="B336" s="19"/>
      <c r="C336" s="19"/>
      <c r="D336" s="27"/>
      <c r="E336" s="27"/>
      <c r="F336" s="28"/>
      <c r="G336" s="31" t="str">
        <f t="shared" si="2"/>
        <v/>
      </c>
      <c r="H336" s="30"/>
      <c r="I336" s="21" t="str">
        <f t="shared" si="1"/>
        <v/>
      </c>
      <c r="J336" s="19"/>
    </row>
    <row r="337" ht="15.75" customHeight="1">
      <c r="A337" s="3"/>
      <c r="B337" s="19"/>
      <c r="C337" s="19"/>
      <c r="D337" s="27"/>
      <c r="E337" s="27"/>
      <c r="F337" s="28"/>
      <c r="G337" s="31" t="str">
        <f t="shared" si="2"/>
        <v/>
      </c>
      <c r="H337" s="30"/>
      <c r="I337" s="21" t="str">
        <f t="shared" si="1"/>
        <v/>
      </c>
      <c r="J337" s="19"/>
    </row>
    <row r="338" ht="15.75" customHeight="1">
      <c r="A338" s="3"/>
      <c r="B338" s="19"/>
      <c r="C338" s="19"/>
      <c r="D338" s="27"/>
      <c r="E338" s="27"/>
      <c r="F338" s="28"/>
      <c r="G338" s="31" t="str">
        <f t="shared" si="2"/>
        <v/>
      </c>
      <c r="H338" s="30"/>
      <c r="I338" s="21" t="str">
        <f t="shared" si="1"/>
        <v/>
      </c>
      <c r="J338" s="19"/>
    </row>
    <row r="339" ht="15.75" customHeight="1">
      <c r="A339" s="3"/>
      <c r="B339" s="19"/>
      <c r="C339" s="19"/>
      <c r="D339" s="27"/>
      <c r="E339" s="27"/>
      <c r="F339" s="28"/>
      <c r="G339" s="31" t="str">
        <f t="shared" si="2"/>
        <v/>
      </c>
      <c r="H339" s="30"/>
      <c r="I339" s="21" t="str">
        <f t="shared" si="1"/>
        <v/>
      </c>
      <c r="J339" s="19"/>
    </row>
    <row r="340" ht="15.75" customHeight="1">
      <c r="A340" s="3"/>
      <c r="B340" s="19"/>
      <c r="C340" s="19"/>
      <c r="D340" s="27"/>
      <c r="E340" s="27"/>
      <c r="F340" s="28"/>
      <c r="G340" s="31" t="str">
        <f t="shared" si="2"/>
        <v/>
      </c>
      <c r="H340" s="30"/>
      <c r="I340" s="21" t="str">
        <f t="shared" si="1"/>
        <v/>
      </c>
      <c r="J340" s="19"/>
    </row>
    <row r="341" ht="15.75" customHeight="1">
      <c r="A341" s="3"/>
      <c r="B341" s="19"/>
      <c r="C341" s="19"/>
      <c r="D341" s="27"/>
      <c r="E341" s="27"/>
      <c r="F341" s="28"/>
      <c r="G341" s="31" t="str">
        <f t="shared" si="2"/>
        <v/>
      </c>
      <c r="H341" s="30"/>
      <c r="I341" s="21" t="str">
        <f t="shared" si="1"/>
        <v/>
      </c>
      <c r="J341" s="19"/>
    </row>
    <row r="342" ht="15.75" customHeight="1">
      <c r="A342" s="3"/>
      <c r="B342" s="19"/>
      <c r="C342" s="19"/>
      <c r="D342" s="27"/>
      <c r="E342" s="27"/>
      <c r="F342" s="28"/>
      <c r="G342" s="31" t="str">
        <f t="shared" si="2"/>
        <v/>
      </c>
      <c r="H342" s="30"/>
      <c r="I342" s="21" t="str">
        <f t="shared" si="1"/>
        <v/>
      </c>
      <c r="J342" s="19"/>
    </row>
    <row r="343" ht="15.75" customHeight="1">
      <c r="A343" s="3"/>
      <c r="B343" s="19"/>
      <c r="C343" s="19"/>
      <c r="D343" s="27"/>
      <c r="E343" s="27"/>
      <c r="F343" s="28"/>
      <c r="G343" s="31" t="str">
        <f t="shared" si="2"/>
        <v/>
      </c>
      <c r="H343" s="30"/>
      <c r="I343" s="21" t="str">
        <f t="shared" si="1"/>
        <v/>
      </c>
      <c r="J343" s="19"/>
    </row>
    <row r="344" ht="15.75" customHeight="1">
      <c r="A344" s="3"/>
      <c r="B344" s="19"/>
      <c r="C344" s="19"/>
      <c r="D344" s="27"/>
      <c r="E344" s="27"/>
      <c r="F344" s="28"/>
      <c r="G344" s="31" t="str">
        <f t="shared" si="2"/>
        <v/>
      </c>
      <c r="H344" s="30"/>
      <c r="I344" s="21" t="str">
        <f t="shared" si="1"/>
        <v/>
      </c>
      <c r="J344" s="19"/>
    </row>
    <row r="345" ht="15.75" customHeight="1">
      <c r="A345" s="3"/>
      <c r="B345" s="19"/>
      <c r="C345" s="19"/>
      <c r="D345" s="27"/>
      <c r="E345" s="27"/>
      <c r="F345" s="28"/>
      <c r="G345" s="31" t="str">
        <f t="shared" si="2"/>
        <v/>
      </c>
      <c r="H345" s="30"/>
      <c r="I345" s="21" t="str">
        <f t="shared" si="1"/>
        <v/>
      </c>
      <c r="J345" s="19"/>
    </row>
    <row r="346" ht="15.75" customHeight="1">
      <c r="A346" s="3"/>
      <c r="B346" s="19"/>
      <c r="C346" s="19"/>
      <c r="D346" s="27"/>
      <c r="E346" s="27"/>
      <c r="F346" s="28"/>
      <c r="G346" s="31" t="str">
        <f t="shared" si="2"/>
        <v/>
      </c>
      <c r="H346" s="30"/>
      <c r="I346" s="21" t="str">
        <f t="shared" si="1"/>
        <v/>
      </c>
      <c r="J346" s="19"/>
    </row>
    <row r="347" ht="15.75" customHeight="1">
      <c r="A347" s="3"/>
      <c r="B347" s="19"/>
      <c r="C347" s="19"/>
      <c r="D347" s="27"/>
      <c r="E347" s="27"/>
      <c r="F347" s="28"/>
      <c r="G347" s="31" t="str">
        <f t="shared" si="2"/>
        <v/>
      </c>
      <c r="H347" s="30"/>
      <c r="I347" s="21" t="str">
        <f t="shared" si="1"/>
        <v/>
      </c>
      <c r="J347" s="19"/>
    </row>
    <row r="348" ht="15.75" customHeight="1">
      <c r="A348" s="3"/>
      <c r="B348" s="19"/>
      <c r="C348" s="19"/>
      <c r="D348" s="27"/>
      <c r="E348" s="27"/>
      <c r="F348" s="28"/>
      <c r="G348" s="31" t="str">
        <f t="shared" si="2"/>
        <v/>
      </c>
      <c r="H348" s="30"/>
      <c r="I348" s="21" t="str">
        <f t="shared" si="1"/>
        <v/>
      </c>
      <c r="J348" s="19"/>
    </row>
    <row r="349" ht="15.75" customHeight="1">
      <c r="A349" s="3"/>
      <c r="B349" s="19"/>
      <c r="C349" s="19"/>
      <c r="D349" s="27"/>
      <c r="E349" s="27"/>
      <c r="F349" s="28"/>
      <c r="G349" s="31" t="str">
        <f t="shared" si="2"/>
        <v/>
      </c>
      <c r="H349" s="30"/>
      <c r="I349" s="21" t="str">
        <f t="shared" si="1"/>
        <v/>
      </c>
      <c r="J349" s="19"/>
    </row>
    <row r="350" ht="15.75" customHeight="1">
      <c r="A350" s="3"/>
      <c r="B350" s="19"/>
      <c r="C350" s="19"/>
      <c r="D350" s="27"/>
      <c r="E350" s="27"/>
      <c r="F350" s="28"/>
      <c r="G350" s="31" t="str">
        <f t="shared" si="2"/>
        <v/>
      </c>
      <c r="H350" s="30"/>
      <c r="I350" s="21" t="str">
        <f t="shared" si="1"/>
        <v/>
      </c>
      <c r="J350" s="19"/>
    </row>
    <row r="351" ht="15.75" customHeight="1">
      <c r="A351" s="3"/>
      <c r="B351" s="19"/>
      <c r="C351" s="19"/>
      <c r="D351" s="27"/>
      <c r="E351" s="27"/>
      <c r="F351" s="28"/>
      <c r="G351" s="31" t="str">
        <f t="shared" si="2"/>
        <v/>
      </c>
      <c r="H351" s="30"/>
      <c r="I351" s="21" t="str">
        <f t="shared" si="1"/>
        <v/>
      </c>
      <c r="J351" s="19"/>
    </row>
    <row r="352" ht="15.75" customHeight="1">
      <c r="A352" s="3"/>
      <c r="B352" s="19"/>
      <c r="C352" s="19"/>
      <c r="D352" s="27"/>
      <c r="E352" s="27"/>
      <c r="F352" s="28"/>
      <c r="G352" s="31" t="str">
        <f t="shared" si="2"/>
        <v/>
      </c>
      <c r="H352" s="30"/>
      <c r="I352" s="21" t="str">
        <f t="shared" si="1"/>
        <v/>
      </c>
      <c r="J352" s="19"/>
    </row>
    <row r="353" ht="15.75" customHeight="1">
      <c r="A353" s="3"/>
      <c r="B353" s="19"/>
      <c r="C353" s="19"/>
      <c r="D353" s="27"/>
      <c r="E353" s="27"/>
      <c r="F353" s="28"/>
      <c r="G353" s="31" t="str">
        <f t="shared" si="2"/>
        <v/>
      </c>
      <c r="H353" s="30"/>
      <c r="I353" s="21" t="str">
        <f t="shared" si="1"/>
        <v/>
      </c>
      <c r="J353" s="19"/>
    </row>
    <row r="354" ht="15.75" customHeight="1">
      <c r="A354" s="3"/>
      <c r="B354" s="19"/>
      <c r="C354" s="19"/>
      <c r="D354" s="27"/>
      <c r="E354" s="27"/>
      <c r="F354" s="28"/>
      <c r="G354" s="31" t="str">
        <f t="shared" si="2"/>
        <v/>
      </c>
      <c r="H354" s="30"/>
      <c r="I354" s="21" t="str">
        <f t="shared" si="1"/>
        <v/>
      </c>
      <c r="J354" s="19"/>
    </row>
    <row r="355" ht="15.75" customHeight="1">
      <c r="A355" s="3"/>
      <c r="B355" s="19"/>
      <c r="C355" s="19"/>
      <c r="D355" s="27"/>
      <c r="E355" s="27"/>
      <c r="F355" s="28"/>
      <c r="G355" s="31" t="str">
        <f t="shared" si="2"/>
        <v/>
      </c>
      <c r="H355" s="30"/>
      <c r="I355" s="21" t="str">
        <f t="shared" si="1"/>
        <v/>
      </c>
      <c r="J355" s="19"/>
    </row>
    <row r="356" ht="15.75" customHeight="1">
      <c r="A356" s="3"/>
      <c r="B356" s="19"/>
      <c r="C356" s="19"/>
      <c r="D356" s="27"/>
      <c r="E356" s="27"/>
      <c r="F356" s="28"/>
      <c r="G356" s="31" t="str">
        <f t="shared" si="2"/>
        <v/>
      </c>
      <c r="H356" s="30"/>
      <c r="I356" s="21" t="str">
        <f t="shared" si="1"/>
        <v/>
      </c>
      <c r="J356" s="19"/>
    </row>
    <row r="357" ht="15.75" customHeight="1">
      <c r="A357" s="3"/>
      <c r="B357" s="19"/>
      <c r="C357" s="19"/>
      <c r="D357" s="27"/>
      <c r="E357" s="27"/>
      <c r="F357" s="28"/>
      <c r="G357" s="31" t="str">
        <f t="shared" si="2"/>
        <v/>
      </c>
      <c r="H357" s="30"/>
      <c r="I357" s="21" t="str">
        <f t="shared" si="1"/>
        <v/>
      </c>
      <c r="J357" s="19"/>
    </row>
    <row r="358" ht="15.75" customHeight="1">
      <c r="A358" s="3"/>
      <c r="B358" s="19"/>
      <c r="C358" s="19"/>
      <c r="D358" s="27"/>
      <c r="E358" s="27"/>
      <c r="F358" s="28"/>
      <c r="G358" s="31" t="str">
        <f t="shared" si="2"/>
        <v/>
      </c>
      <c r="H358" s="30"/>
      <c r="I358" s="21" t="str">
        <f t="shared" si="1"/>
        <v/>
      </c>
      <c r="J358" s="19"/>
    </row>
    <row r="359" ht="15.75" customHeight="1">
      <c r="A359" s="3"/>
      <c r="B359" s="19"/>
      <c r="C359" s="19"/>
      <c r="D359" s="27"/>
      <c r="E359" s="27"/>
      <c r="F359" s="28"/>
      <c r="G359" s="31" t="str">
        <f t="shared" si="2"/>
        <v/>
      </c>
      <c r="H359" s="30"/>
      <c r="I359" s="21" t="str">
        <f t="shared" si="1"/>
        <v/>
      </c>
      <c r="J359" s="19"/>
    </row>
    <row r="360" ht="15.75" customHeight="1">
      <c r="A360" s="3"/>
      <c r="B360" s="19"/>
      <c r="C360" s="19"/>
      <c r="D360" s="27"/>
      <c r="E360" s="27"/>
      <c r="F360" s="28"/>
      <c r="G360" s="31" t="str">
        <f t="shared" si="2"/>
        <v/>
      </c>
      <c r="H360" s="30"/>
      <c r="I360" s="21" t="str">
        <f t="shared" si="1"/>
        <v/>
      </c>
      <c r="J360" s="19"/>
    </row>
    <row r="361" ht="15.75" customHeight="1">
      <c r="A361" s="3"/>
      <c r="B361" s="19"/>
      <c r="C361" s="19"/>
      <c r="D361" s="27"/>
      <c r="E361" s="27"/>
      <c r="F361" s="28"/>
      <c r="G361" s="31" t="str">
        <f t="shared" si="2"/>
        <v/>
      </c>
      <c r="H361" s="30"/>
      <c r="I361" s="21" t="str">
        <f t="shared" si="1"/>
        <v/>
      </c>
      <c r="J361" s="19"/>
    </row>
    <row r="362" ht="15.75" customHeight="1">
      <c r="A362" s="3"/>
      <c r="B362" s="19"/>
      <c r="C362" s="19"/>
      <c r="D362" s="27"/>
      <c r="E362" s="27"/>
      <c r="F362" s="28"/>
      <c r="G362" s="31" t="str">
        <f t="shared" si="2"/>
        <v/>
      </c>
      <c r="H362" s="30"/>
      <c r="I362" s="21" t="str">
        <f t="shared" si="1"/>
        <v/>
      </c>
      <c r="J362" s="19"/>
    </row>
    <row r="363" ht="15.75" customHeight="1">
      <c r="A363" s="3"/>
      <c r="B363" s="19"/>
      <c r="C363" s="19"/>
      <c r="D363" s="27"/>
      <c r="E363" s="27"/>
      <c r="F363" s="28"/>
      <c r="G363" s="31" t="str">
        <f t="shared" si="2"/>
        <v/>
      </c>
      <c r="H363" s="30"/>
      <c r="I363" s="21" t="str">
        <f t="shared" si="1"/>
        <v/>
      </c>
      <c r="J363" s="19"/>
    </row>
    <row r="364" ht="15.75" customHeight="1">
      <c r="A364" s="3"/>
      <c r="B364" s="19"/>
      <c r="C364" s="19"/>
      <c r="D364" s="27"/>
      <c r="E364" s="27"/>
      <c r="F364" s="28"/>
      <c r="G364" s="31" t="str">
        <f t="shared" si="2"/>
        <v/>
      </c>
      <c r="H364" s="30"/>
      <c r="I364" s="21" t="str">
        <f t="shared" si="1"/>
        <v/>
      </c>
      <c r="J364" s="19"/>
    </row>
    <row r="365" ht="15.75" customHeight="1">
      <c r="A365" s="3"/>
      <c r="B365" s="19"/>
      <c r="C365" s="19"/>
      <c r="D365" s="27"/>
      <c r="E365" s="27"/>
      <c r="F365" s="28"/>
      <c r="G365" s="31" t="str">
        <f t="shared" si="2"/>
        <v/>
      </c>
      <c r="H365" s="30"/>
      <c r="I365" s="21" t="str">
        <f t="shared" si="1"/>
        <v/>
      </c>
      <c r="J365" s="19"/>
    </row>
    <row r="366" ht="15.75" customHeight="1">
      <c r="A366" s="3"/>
      <c r="B366" s="19"/>
      <c r="C366" s="19"/>
      <c r="D366" s="27"/>
      <c r="E366" s="27"/>
      <c r="F366" s="28"/>
      <c r="G366" s="31" t="str">
        <f t="shared" si="2"/>
        <v/>
      </c>
      <c r="H366" s="30"/>
      <c r="I366" s="21" t="str">
        <f t="shared" si="1"/>
        <v/>
      </c>
      <c r="J366" s="19"/>
    </row>
    <row r="367" ht="15.75" customHeight="1">
      <c r="A367" s="3"/>
      <c r="B367" s="19"/>
      <c r="C367" s="19"/>
      <c r="D367" s="27"/>
      <c r="E367" s="27"/>
      <c r="F367" s="28"/>
      <c r="G367" s="31" t="str">
        <f t="shared" si="2"/>
        <v/>
      </c>
      <c r="H367" s="30"/>
      <c r="I367" s="21" t="str">
        <f t="shared" si="1"/>
        <v/>
      </c>
      <c r="J367" s="19"/>
    </row>
    <row r="368" ht="15.75" customHeight="1">
      <c r="A368" s="3"/>
      <c r="B368" s="19"/>
      <c r="C368" s="19"/>
      <c r="D368" s="27"/>
      <c r="E368" s="27"/>
      <c r="F368" s="28"/>
      <c r="G368" s="31" t="str">
        <f t="shared" si="2"/>
        <v/>
      </c>
      <c r="H368" s="30"/>
      <c r="I368" s="21" t="str">
        <f t="shared" si="1"/>
        <v/>
      </c>
      <c r="J368" s="19"/>
    </row>
    <row r="369" ht="15.75" customHeight="1">
      <c r="A369" s="3"/>
      <c r="B369" s="19"/>
      <c r="C369" s="19"/>
      <c r="D369" s="27"/>
      <c r="E369" s="27"/>
      <c r="F369" s="28"/>
      <c r="G369" s="31" t="str">
        <f t="shared" si="2"/>
        <v/>
      </c>
      <c r="H369" s="30"/>
      <c r="I369" s="21" t="str">
        <f t="shared" si="1"/>
        <v/>
      </c>
      <c r="J369" s="19"/>
    </row>
    <row r="370" ht="15.75" customHeight="1">
      <c r="A370" s="3"/>
      <c r="B370" s="19"/>
      <c r="C370" s="19"/>
      <c r="D370" s="27"/>
      <c r="E370" s="27"/>
      <c r="F370" s="28"/>
      <c r="G370" s="31" t="str">
        <f t="shared" si="2"/>
        <v/>
      </c>
      <c r="H370" s="30"/>
      <c r="I370" s="21" t="str">
        <f t="shared" si="1"/>
        <v/>
      </c>
      <c r="J370" s="19"/>
    </row>
    <row r="371" ht="15.75" customHeight="1">
      <c r="A371" s="3"/>
      <c r="B371" s="19"/>
      <c r="C371" s="19"/>
      <c r="D371" s="27"/>
      <c r="E371" s="27"/>
      <c r="F371" s="28"/>
      <c r="G371" s="31" t="str">
        <f t="shared" si="2"/>
        <v/>
      </c>
      <c r="H371" s="30"/>
      <c r="I371" s="21" t="str">
        <f t="shared" si="1"/>
        <v/>
      </c>
      <c r="J371" s="19"/>
    </row>
    <row r="372" ht="15.75" customHeight="1">
      <c r="A372" s="3"/>
      <c r="B372" s="19"/>
      <c r="C372" s="19"/>
      <c r="D372" s="27"/>
      <c r="E372" s="27"/>
      <c r="F372" s="28"/>
      <c r="G372" s="31" t="str">
        <f t="shared" si="2"/>
        <v/>
      </c>
      <c r="H372" s="30"/>
      <c r="I372" s="21" t="str">
        <f t="shared" si="1"/>
        <v/>
      </c>
      <c r="J372" s="19"/>
    </row>
    <row r="373" ht="15.75" customHeight="1">
      <c r="A373" s="3"/>
      <c r="B373" s="19"/>
      <c r="C373" s="19"/>
      <c r="D373" s="27"/>
      <c r="E373" s="27"/>
      <c r="F373" s="28"/>
      <c r="G373" s="31" t="str">
        <f t="shared" si="2"/>
        <v/>
      </c>
      <c r="H373" s="30"/>
      <c r="I373" s="21" t="str">
        <f t="shared" si="1"/>
        <v/>
      </c>
      <c r="J373" s="19"/>
    </row>
    <row r="374" ht="15.75" customHeight="1">
      <c r="A374" s="3"/>
      <c r="B374" s="19"/>
      <c r="C374" s="19"/>
      <c r="D374" s="27"/>
      <c r="E374" s="27"/>
      <c r="F374" s="28"/>
      <c r="G374" s="31" t="str">
        <f t="shared" si="2"/>
        <v/>
      </c>
      <c r="H374" s="30"/>
      <c r="I374" s="21" t="str">
        <f t="shared" si="1"/>
        <v/>
      </c>
      <c r="J374" s="19"/>
    </row>
    <row r="375" ht="15.75" customHeight="1">
      <c r="A375" s="3"/>
      <c r="B375" s="19"/>
      <c r="C375" s="19"/>
      <c r="D375" s="27"/>
      <c r="E375" s="27"/>
      <c r="F375" s="28"/>
      <c r="G375" s="31" t="str">
        <f t="shared" si="2"/>
        <v/>
      </c>
      <c r="H375" s="30"/>
      <c r="I375" s="21" t="str">
        <f t="shared" si="1"/>
        <v/>
      </c>
      <c r="J375" s="19"/>
    </row>
    <row r="376" ht="15.75" customHeight="1">
      <c r="A376" s="3"/>
      <c r="B376" s="19"/>
      <c r="C376" s="19"/>
      <c r="D376" s="27"/>
      <c r="E376" s="27"/>
      <c r="F376" s="28"/>
      <c r="G376" s="31" t="str">
        <f t="shared" si="2"/>
        <v/>
      </c>
      <c r="H376" s="30"/>
      <c r="I376" s="21" t="str">
        <f t="shared" si="1"/>
        <v/>
      </c>
      <c r="J376" s="19"/>
    </row>
    <row r="377" ht="15.75" customHeight="1">
      <c r="A377" s="3"/>
      <c r="B377" s="19"/>
      <c r="C377" s="19"/>
      <c r="D377" s="27"/>
      <c r="E377" s="27"/>
      <c r="F377" s="28"/>
      <c r="G377" s="31" t="str">
        <f t="shared" si="2"/>
        <v/>
      </c>
      <c r="H377" s="30"/>
      <c r="I377" s="21" t="str">
        <f t="shared" si="1"/>
        <v/>
      </c>
      <c r="J377" s="19"/>
    </row>
    <row r="378" ht="15.75" customHeight="1">
      <c r="A378" s="3"/>
      <c r="B378" s="19"/>
      <c r="C378" s="19"/>
      <c r="D378" s="27"/>
      <c r="E378" s="27"/>
      <c r="F378" s="28"/>
      <c r="G378" s="31" t="str">
        <f t="shared" si="2"/>
        <v/>
      </c>
      <c r="H378" s="30"/>
      <c r="I378" s="21" t="str">
        <f t="shared" si="1"/>
        <v/>
      </c>
      <c r="J378" s="19"/>
    </row>
    <row r="379" ht="15.75" customHeight="1">
      <c r="A379" s="3"/>
      <c r="B379" s="19"/>
      <c r="C379" s="19"/>
      <c r="D379" s="27"/>
      <c r="E379" s="27"/>
      <c r="F379" s="28"/>
      <c r="G379" s="31" t="str">
        <f t="shared" si="2"/>
        <v/>
      </c>
      <c r="H379" s="30"/>
      <c r="I379" s="21" t="str">
        <f t="shared" si="1"/>
        <v/>
      </c>
      <c r="J379" s="19"/>
    </row>
    <row r="380" ht="15.75" customHeight="1">
      <c r="A380" s="3"/>
      <c r="B380" s="19"/>
      <c r="C380" s="19"/>
      <c r="D380" s="27"/>
      <c r="E380" s="27"/>
      <c r="F380" s="28"/>
      <c r="G380" s="31" t="str">
        <f t="shared" si="2"/>
        <v/>
      </c>
      <c r="H380" s="30"/>
      <c r="I380" s="21" t="str">
        <f t="shared" si="1"/>
        <v/>
      </c>
      <c r="J380" s="19"/>
    </row>
    <row r="381" ht="15.75" customHeight="1">
      <c r="A381" s="3"/>
      <c r="B381" s="19"/>
      <c r="C381" s="19"/>
      <c r="D381" s="27"/>
      <c r="E381" s="27"/>
      <c r="F381" s="28"/>
      <c r="G381" s="31" t="str">
        <f t="shared" si="2"/>
        <v/>
      </c>
      <c r="H381" s="30"/>
      <c r="I381" s="21" t="str">
        <f t="shared" si="1"/>
        <v/>
      </c>
      <c r="J381" s="19"/>
    </row>
    <row r="382" ht="15.75" customHeight="1">
      <c r="A382" s="3"/>
      <c r="B382" s="19"/>
      <c r="C382" s="19"/>
      <c r="D382" s="27"/>
      <c r="E382" s="27"/>
      <c r="F382" s="28"/>
      <c r="G382" s="31" t="str">
        <f t="shared" si="2"/>
        <v/>
      </c>
      <c r="H382" s="30"/>
      <c r="I382" s="21" t="str">
        <f t="shared" si="1"/>
        <v/>
      </c>
      <c r="J382" s="19"/>
    </row>
    <row r="383" ht="15.75" customHeight="1">
      <c r="A383" s="3"/>
      <c r="B383" s="19"/>
      <c r="C383" s="19"/>
      <c r="D383" s="27"/>
      <c r="E383" s="27"/>
      <c r="F383" s="28"/>
      <c r="G383" s="31" t="str">
        <f t="shared" si="2"/>
        <v/>
      </c>
      <c r="H383" s="30"/>
      <c r="I383" s="21" t="str">
        <f t="shared" si="1"/>
        <v/>
      </c>
      <c r="J383" s="19"/>
    </row>
    <row r="384" ht="15.75" customHeight="1">
      <c r="A384" s="3"/>
      <c r="B384" s="19"/>
      <c r="C384" s="19"/>
      <c r="D384" s="27"/>
      <c r="E384" s="27"/>
      <c r="F384" s="28"/>
      <c r="G384" s="31" t="str">
        <f t="shared" si="2"/>
        <v/>
      </c>
      <c r="H384" s="30"/>
      <c r="I384" s="21" t="str">
        <f t="shared" si="1"/>
        <v/>
      </c>
      <c r="J384" s="19"/>
    </row>
    <row r="385" ht="15.75" customHeight="1">
      <c r="A385" s="3"/>
      <c r="B385" s="19"/>
      <c r="C385" s="19"/>
      <c r="D385" s="27"/>
      <c r="E385" s="27"/>
      <c r="F385" s="28"/>
      <c r="G385" s="31" t="str">
        <f t="shared" si="2"/>
        <v/>
      </c>
      <c r="H385" s="30"/>
      <c r="I385" s="21" t="str">
        <f t="shared" si="1"/>
        <v/>
      </c>
      <c r="J385" s="19"/>
    </row>
    <row r="386" ht="15.75" customHeight="1">
      <c r="A386" s="3"/>
      <c r="B386" s="19"/>
      <c r="C386" s="19"/>
      <c r="D386" s="27"/>
      <c r="E386" s="27"/>
      <c r="F386" s="28"/>
      <c r="G386" s="31" t="str">
        <f t="shared" si="2"/>
        <v/>
      </c>
      <c r="H386" s="30"/>
      <c r="I386" s="21" t="str">
        <f t="shared" si="1"/>
        <v/>
      </c>
      <c r="J386" s="19"/>
    </row>
    <row r="387" ht="15.75" customHeight="1">
      <c r="A387" s="3"/>
      <c r="B387" s="19"/>
      <c r="C387" s="19"/>
      <c r="D387" s="27"/>
      <c r="E387" s="27"/>
      <c r="F387" s="28"/>
      <c r="G387" s="31" t="str">
        <f t="shared" si="2"/>
        <v/>
      </c>
      <c r="H387" s="30"/>
      <c r="I387" s="21" t="str">
        <f t="shared" si="1"/>
        <v/>
      </c>
      <c r="J387" s="19"/>
    </row>
    <row r="388" ht="15.75" customHeight="1">
      <c r="A388" s="3"/>
      <c r="B388" s="19"/>
      <c r="C388" s="19"/>
      <c r="D388" s="27"/>
      <c r="E388" s="27"/>
      <c r="F388" s="28"/>
      <c r="G388" s="31" t="str">
        <f t="shared" si="2"/>
        <v/>
      </c>
      <c r="H388" s="30"/>
      <c r="I388" s="21" t="str">
        <f t="shared" si="1"/>
        <v/>
      </c>
      <c r="J388" s="19"/>
    </row>
    <row r="389" ht="15.75" customHeight="1">
      <c r="A389" s="3"/>
      <c r="B389" s="19"/>
      <c r="C389" s="19"/>
      <c r="D389" s="27"/>
      <c r="E389" s="27"/>
      <c r="F389" s="28"/>
      <c r="G389" s="31" t="str">
        <f t="shared" si="2"/>
        <v/>
      </c>
      <c r="H389" s="30"/>
      <c r="I389" s="21" t="str">
        <f t="shared" si="1"/>
        <v/>
      </c>
      <c r="J389" s="19"/>
    </row>
    <row r="390" ht="15.75" customHeight="1">
      <c r="A390" s="3"/>
      <c r="B390" s="19"/>
      <c r="C390" s="19"/>
      <c r="D390" s="27"/>
      <c r="E390" s="27"/>
      <c r="F390" s="28"/>
      <c r="G390" s="31" t="str">
        <f t="shared" si="2"/>
        <v/>
      </c>
      <c r="H390" s="30"/>
      <c r="I390" s="21" t="str">
        <f t="shared" si="1"/>
        <v/>
      </c>
      <c r="J390" s="19"/>
    </row>
    <row r="391" ht="15.75" customHeight="1">
      <c r="A391" s="3"/>
      <c r="B391" s="19"/>
      <c r="C391" s="19"/>
      <c r="D391" s="27"/>
      <c r="E391" s="27"/>
      <c r="F391" s="28"/>
      <c r="G391" s="31" t="str">
        <f t="shared" si="2"/>
        <v/>
      </c>
      <c r="H391" s="30"/>
      <c r="I391" s="21" t="str">
        <f t="shared" si="1"/>
        <v/>
      </c>
      <c r="J391" s="19"/>
    </row>
    <row r="392" ht="15.75" customHeight="1">
      <c r="A392" s="3"/>
      <c r="B392" s="19"/>
      <c r="C392" s="19"/>
      <c r="D392" s="27"/>
      <c r="E392" s="27"/>
      <c r="F392" s="28"/>
      <c r="G392" s="31" t="str">
        <f t="shared" si="2"/>
        <v/>
      </c>
      <c r="H392" s="30"/>
      <c r="I392" s="21" t="str">
        <f t="shared" si="1"/>
        <v/>
      </c>
      <c r="J392" s="19"/>
    </row>
    <row r="393" ht="15.75" customHeight="1">
      <c r="A393" s="3"/>
      <c r="B393" s="19"/>
      <c r="C393" s="19"/>
      <c r="D393" s="27"/>
      <c r="E393" s="27"/>
      <c r="F393" s="28"/>
      <c r="G393" s="31" t="str">
        <f t="shared" si="2"/>
        <v/>
      </c>
      <c r="H393" s="30"/>
      <c r="I393" s="21" t="str">
        <f t="shared" si="1"/>
        <v/>
      </c>
      <c r="J393" s="19"/>
    </row>
    <row r="394" ht="15.75" customHeight="1">
      <c r="A394" s="3"/>
      <c r="B394" s="19"/>
      <c r="C394" s="19"/>
      <c r="D394" s="27"/>
      <c r="E394" s="27"/>
      <c r="F394" s="28"/>
      <c r="G394" s="31" t="str">
        <f t="shared" si="2"/>
        <v/>
      </c>
      <c r="H394" s="30"/>
      <c r="I394" s="21" t="str">
        <f t="shared" si="1"/>
        <v/>
      </c>
      <c r="J394" s="19"/>
    </row>
    <row r="395" ht="15.75" customHeight="1">
      <c r="A395" s="3"/>
      <c r="B395" s="19"/>
      <c r="C395" s="19"/>
      <c r="D395" s="27"/>
      <c r="E395" s="27"/>
      <c r="F395" s="28"/>
      <c r="G395" s="31" t="str">
        <f t="shared" si="2"/>
        <v/>
      </c>
      <c r="H395" s="30"/>
      <c r="I395" s="21" t="str">
        <f t="shared" si="1"/>
        <v/>
      </c>
      <c r="J395" s="19"/>
    </row>
    <row r="396" ht="15.75" customHeight="1">
      <c r="A396" s="3"/>
      <c r="B396" s="19"/>
      <c r="C396" s="19"/>
      <c r="D396" s="27"/>
      <c r="E396" s="27"/>
      <c r="F396" s="28"/>
      <c r="G396" s="31" t="str">
        <f t="shared" si="2"/>
        <v/>
      </c>
      <c r="H396" s="30"/>
      <c r="I396" s="21" t="str">
        <f t="shared" si="1"/>
        <v/>
      </c>
      <c r="J396" s="19"/>
    </row>
    <row r="397" ht="15.75" customHeight="1">
      <c r="A397" s="3"/>
      <c r="B397" s="19"/>
      <c r="C397" s="19"/>
      <c r="D397" s="27"/>
      <c r="E397" s="27"/>
      <c r="F397" s="28"/>
      <c r="G397" s="31" t="str">
        <f t="shared" si="2"/>
        <v/>
      </c>
      <c r="H397" s="30"/>
      <c r="I397" s="21" t="str">
        <f t="shared" si="1"/>
        <v/>
      </c>
      <c r="J397" s="19"/>
    </row>
    <row r="398" ht="15.75" customHeight="1">
      <c r="A398" s="3"/>
      <c r="B398" s="19"/>
      <c r="C398" s="19"/>
      <c r="D398" s="27"/>
      <c r="E398" s="27"/>
      <c r="F398" s="28"/>
      <c r="G398" s="31" t="str">
        <f t="shared" si="2"/>
        <v/>
      </c>
      <c r="H398" s="30"/>
      <c r="I398" s="21" t="str">
        <f t="shared" si="1"/>
        <v/>
      </c>
      <c r="J398" s="19"/>
    </row>
    <row r="399" ht="15.75" customHeight="1">
      <c r="A399" s="3"/>
      <c r="B399" s="19"/>
      <c r="C399" s="19"/>
      <c r="D399" s="27"/>
      <c r="E399" s="27"/>
      <c r="F399" s="28"/>
      <c r="G399" s="31" t="str">
        <f t="shared" si="2"/>
        <v/>
      </c>
      <c r="H399" s="30"/>
      <c r="I399" s="21" t="str">
        <f t="shared" si="1"/>
        <v/>
      </c>
      <c r="J399" s="19"/>
    </row>
    <row r="400" ht="15.75" customHeight="1">
      <c r="A400" s="3"/>
      <c r="B400" s="19"/>
      <c r="C400" s="19"/>
      <c r="D400" s="27"/>
      <c r="E400" s="27"/>
      <c r="F400" s="28"/>
      <c r="G400" s="31" t="str">
        <f t="shared" si="2"/>
        <v/>
      </c>
      <c r="H400" s="30"/>
      <c r="I400" s="21" t="str">
        <f t="shared" si="1"/>
        <v/>
      </c>
      <c r="J400" s="19"/>
    </row>
    <row r="401" ht="15.75" customHeight="1">
      <c r="A401" s="3"/>
      <c r="B401" s="19"/>
      <c r="C401" s="19"/>
      <c r="D401" s="27"/>
      <c r="E401" s="27"/>
      <c r="F401" s="28"/>
      <c r="G401" s="31" t="str">
        <f t="shared" si="2"/>
        <v/>
      </c>
      <c r="H401" s="30"/>
      <c r="I401" s="21" t="str">
        <f t="shared" si="1"/>
        <v/>
      </c>
      <c r="J401" s="19"/>
    </row>
    <row r="402" ht="15.75" customHeight="1">
      <c r="A402" s="3"/>
      <c r="B402" s="19"/>
      <c r="C402" s="19"/>
      <c r="D402" s="27"/>
      <c r="E402" s="27"/>
      <c r="F402" s="28"/>
      <c r="G402" s="31" t="str">
        <f t="shared" si="2"/>
        <v/>
      </c>
      <c r="H402" s="30"/>
      <c r="I402" s="21" t="str">
        <f t="shared" si="1"/>
        <v/>
      </c>
      <c r="J402" s="19"/>
    </row>
    <row r="403" ht="15.75" customHeight="1">
      <c r="A403" s="3"/>
      <c r="B403" s="19"/>
      <c r="C403" s="19"/>
      <c r="D403" s="27"/>
      <c r="E403" s="27"/>
      <c r="F403" s="28"/>
      <c r="G403" s="31" t="str">
        <f t="shared" si="2"/>
        <v/>
      </c>
      <c r="H403" s="30"/>
      <c r="I403" s="21" t="str">
        <f t="shared" si="1"/>
        <v/>
      </c>
      <c r="J403" s="19"/>
    </row>
    <row r="404" ht="15.75" customHeight="1">
      <c r="A404" s="3"/>
      <c r="B404" s="19"/>
      <c r="C404" s="19"/>
      <c r="D404" s="27"/>
      <c r="E404" s="27"/>
      <c r="F404" s="28"/>
      <c r="G404" s="31" t="str">
        <f t="shared" si="2"/>
        <v/>
      </c>
      <c r="H404" s="30"/>
      <c r="I404" s="21" t="str">
        <f t="shared" si="1"/>
        <v/>
      </c>
      <c r="J404" s="19"/>
    </row>
    <row r="405" ht="15.75" customHeight="1">
      <c r="A405" s="3"/>
      <c r="B405" s="19"/>
      <c r="C405" s="19"/>
      <c r="D405" s="27"/>
      <c r="E405" s="27"/>
      <c r="F405" s="28"/>
      <c r="G405" s="31" t="str">
        <f t="shared" si="2"/>
        <v/>
      </c>
      <c r="H405" s="30"/>
      <c r="I405" s="21" t="str">
        <f t="shared" si="1"/>
        <v/>
      </c>
      <c r="J405" s="19"/>
    </row>
    <row r="406" ht="15.75" customHeight="1">
      <c r="A406" s="3"/>
      <c r="B406" s="19"/>
      <c r="C406" s="19"/>
      <c r="D406" s="27"/>
      <c r="E406" s="27"/>
      <c r="F406" s="28"/>
      <c r="G406" s="31" t="str">
        <f t="shared" si="2"/>
        <v/>
      </c>
      <c r="H406" s="30"/>
      <c r="I406" s="21" t="str">
        <f t="shared" si="1"/>
        <v/>
      </c>
      <c r="J406" s="19"/>
    </row>
    <row r="407" ht="15.75" customHeight="1">
      <c r="A407" s="3"/>
      <c r="B407" s="19"/>
      <c r="C407" s="19"/>
      <c r="D407" s="27"/>
      <c r="E407" s="27"/>
      <c r="F407" s="28"/>
      <c r="G407" s="31" t="str">
        <f t="shared" si="2"/>
        <v/>
      </c>
      <c r="H407" s="30"/>
      <c r="I407" s="21" t="str">
        <f t="shared" si="1"/>
        <v/>
      </c>
      <c r="J407" s="19"/>
    </row>
    <row r="408" ht="15.75" customHeight="1">
      <c r="A408" s="3"/>
      <c r="B408" s="19"/>
      <c r="C408" s="19"/>
      <c r="D408" s="27"/>
      <c r="E408" s="27"/>
      <c r="F408" s="28"/>
      <c r="G408" s="31" t="str">
        <f t="shared" si="2"/>
        <v/>
      </c>
      <c r="H408" s="30"/>
      <c r="I408" s="21" t="str">
        <f t="shared" si="1"/>
        <v/>
      </c>
      <c r="J408" s="19"/>
    </row>
    <row r="409" ht="15.75" customHeight="1">
      <c r="A409" s="3"/>
      <c r="B409" s="19"/>
      <c r="C409" s="19"/>
      <c r="D409" s="27"/>
      <c r="E409" s="27"/>
      <c r="F409" s="28"/>
      <c r="G409" s="31" t="str">
        <f t="shared" si="2"/>
        <v/>
      </c>
      <c r="H409" s="30"/>
      <c r="I409" s="21" t="str">
        <f t="shared" si="1"/>
        <v/>
      </c>
      <c r="J409" s="19"/>
    </row>
    <row r="410" ht="15.75" customHeight="1">
      <c r="A410" s="3"/>
      <c r="B410" s="19"/>
      <c r="C410" s="19"/>
      <c r="D410" s="27"/>
      <c r="E410" s="27"/>
      <c r="F410" s="28"/>
      <c r="G410" s="31" t="str">
        <f t="shared" si="2"/>
        <v/>
      </c>
      <c r="H410" s="30"/>
      <c r="I410" s="21" t="str">
        <f t="shared" si="1"/>
        <v/>
      </c>
      <c r="J410" s="19"/>
    </row>
    <row r="411" ht="15.75" customHeight="1">
      <c r="A411" s="3"/>
      <c r="B411" s="19"/>
      <c r="C411" s="19"/>
      <c r="D411" s="27"/>
      <c r="E411" s="27"/>
      <c r="F411" s="28"/>
      <c r="G411" s="31" t="str">
        <f t="shared" si="2"/>
        <v/>
      </c>
      <c r="H411" s="30"/>
      <c r="I411" s="21" t="str">
        <f t="shared" si="1"/>
        <v/>
      </c>
      <c r="J411" s="19"/>
    </row>
    <row r="412" ht="15.75" customHeight="1">
      <c r="A412" s="3"/>
      <c r="B412" s="19"/>
      <c r="C412" s="19"/>
      <c r="D412" s="27"/>
      <c r="E412" s="27"/>
      <c r="F412" s="28"/>
      <c r="G412" s="31" t="str">
        <f t="shared" si="2"/>
        <v/>
      </c>
      <c r="H412" s="30"/>
      <c r="I412" s="21" t="str">
        <f t="shared" si="1"/>
        <v/>
      </c>
      <c r="J412" s="19"/>
    </row>
    <row r="413" ht="15.75" customHeight="1">
      <c r="A413" s="3"/>
      <c r="B413" s="19"/>
      <c r="C413" s="19"/>
      <c r="D413" s="27"/>
      <c r="E413" s="27"/>
      <c r="F413" s="28"/>
      <c r="G413" s="31" t="str">
        <f t="shared" si="2"/>
        <v/>
      </c>
      <c r="H413" s="30"/>
      <c r="I413" s="21" t="str">
        <f t="shared" si="1"/>
        <v/>
      </c>
      <c r="J413" s="19"/>
    </row>
    <row r="414" ht="15.75" customHeight="1">
      <c r="A414" s="3"/>
      <c r="B414" s="19"/>
      <c r="C414" s="19"/>
      <c r="D414" s="27"/>
      <c r="E414" s="27"/>
      <c r="F414" s="28"/>
      <c r="G414" s="31" t="str">
        <f t="shared" si="2"/>
        <v/>
      </c>
      <c r="H414" s="30"/>
      <c r="I414" s="21" t="str">
        <f t="shared" si="1"/>
        <v/>
      </c>
      <c r="J414" s="19"/>
    </row>
    <row r="415" ht="15.75" customHeight="1">
      <c r="A415" s="3"/>
      <c r="B415" s="19"/>
      <c r="C415" s="19"/>
      <c r="D415" s="27"/>
      <c r="E415" s="27"/>
      <c r="F415" s="28"/>
      <c r="G415" s="31" t="str">
        <f t="shared" si="2"/>
        <v/>
      </c>
      <c r="H415" s="30"/>
      <c r="I415" s="21" t="str">
        <f t="shared" si="1"/>
        <v/>
      </c>
      <c r="J415" s="19"/>
    </row>
    <row r="416" ht="15.75" customHeight="1">
      <c r="A416" s="3"/>
      <c r="B416" s="19"/>
      <c r="C416" s="19"/>
      <c r="D416" s="27"/>
      <c r="E416" s="27"/>
      <c r="F416" s="28"/>
      <c r="G416" s="31" t="str">
        <f t="shared" si="2"/>
        <v/>
      </c>
      <c r="H416" s="30"/>
      <c r="I416" s="21" t="str">
        <f t="shared" si="1"/>
        <v/>
      </c>
      <c r="J416" s="19"/>
    </row>
    <row r="417" ht="15.75" customHeight="1">
      <c r="A417" s="3"/>
      <c r="B417" s="19"/>
      <c r="C417" s="19"/>
      <c r="D417" s="27"/>
      <c r="E417" s="27"/>
      <c r="F417" s="28"/>
      <c r="G417" s="31" t="str">
        <f t="shared" si="2"/>
        <v/>
      </c>
      <c r="H417" s="30"/>
      <c r="I417" s="21" t="str">
        <f t="shared" si="1"/>
        <v/>
      </c>
      <c r="J417" s="19"/>
    </row>
    <row r="418" ht="15.75" customHeight="1">
      <c r="A418" s="3"/>
      <c r="B418" s="19"/>
      <c r="C418" s="19"/>
      <c r="D418" s="27"/>
      <c r="E418" s="27"/>
      <c r="F418" s="28"/>
      <c r="G418" s="31" t="str">
        <f t="shared" si="2"/>
        <v/>
      </c>
      <c r="H418" s="30"/>
      <c r="I418" s="21" t="str">
        <f t="shared" si="1"/>
        <v/>
      </c>
      <c r="J418" s="19"/>
    </row>
    <row r="419" ht="15.75" customHeight="1">
      <c r="A419" s="3"/>
      <c r="B419" s="19"/>
      <c r="C419" s="19"/>
      <c r="D419" s="27"/>
      <c r="E419" s="27"/>
      <c r="F419" s="28"/>
      <c r="G419" s="31" t="str">
        <f t="shared" si="2"/>
        <v/>
      </c>
      <c r="H419" s="30"/>
      <c r="I419" s="21" t="str">
        <f t="shared" si="1"/>
        <v/>
      </c>
      <c r="J419" s="19"/>
    </row>
    <row r="420" ht="15.75" customHeight="1">
      <c r="A420" s="3"/>
      <c r="B420" s="19"/>
      <c r="C420" s="19"/>
      <c r="D420" s="27"/>
      <c r="E420" s="27"/>
      <c r="F420" s="28"/>
      <c r="G420" s="31" t="str">
        <f t="shared" si="2"/>
        <v/>
      </c>
      <c r="H420" s="30"/>
      <c r="I420" s="21" t="str">
        <f t="shared" si="1"/>
        <v/>
      </c>
      <c r="J420" s="19"/>
    </row>
    <row r="421" ht="15.75" customHeight="1">
      <c r="A421" s="3"/>
      <c r="B421" s="19"/>
      <c r="C421" s="19"/>
      <c r="D421" s="27"/>
      <c r="E421" s="27"/>
      <c r="F421" s="28"/>
      <c r="G421" s="31" t="str">
        <f t="shared" si="2"/>
        <v/>
      </c>
      <c r="H421" s="30"/>
      <c r="I421" s="21" t="str">
        <f t="shared" si="1"/>
        <v/>
      </c>
      <c r="J421" s="19"/>
    </row>
    <row r="422" ht="15.75" customHeight="1">
      <c r="A422" s="3"/>
      <c r="B422" s="19"/>
      <c r="C422" s="19"/>
      <c r="D422" s="27"/>
      <c r="E422" s="27"/>
      <c r="F422" s="28"/>
      <c r="G422" s="31" t="str">
        <f t="shared" si="2"/>
        <v/>
      </c>
      <c r="H422" s="30"/>
      <c r="I422" s="21" t="str">
        <f t="shared" si="1"/>
        <v/>
      </c>
      <c r="J422" s="19"/>
    </row>
    <row r="423" ht="15.75" customHeight="1">
      <c r="A423" s="3"/>
      <c r="B423" s="19"/>
      <c r="C423" s="19"/>
      <c r="D423" s="27"/>
      <c r="E423" s="27"/>
      <c r="F423" s="28"/>
      <c r="G423" s="31" t="str">
        <f t="shared" si="2"/>
        <v/>
      </c>
      <c r="H423" s="30"/>
      <c r="I423" s="21" t="str">
        <f t="shared" si="1"/>
        <v/>
      </c>
      <c r="J423" s="19"/>
    </row>
    <row r="424" ht="15.75" customHeight="1">
      <c r="A424" s="3"/>
      <c r="B424" s="19"/>
      <c r="C424" s="19"/>
      <c r="D424" s="27"/>
      <c r="E424" s="27"/>
      <c r="F424" s="28"/>
      <c r="G424" s="31" t="str">
        <f t="shared" si="2"/>
        <v/>
      </c>
      <c r="H424" s="30"/>
      <c r="I424" s="21" t="str">
        <f t="shared" si="1"/>
        <v/>
      </c>
      <c r="J424" s="19"/>
    </row>
    <row r="425" ht="15.75" customHeight="1">
      <c r="A425" s="3"/>
      <c r="B425" s="19"/>
      <c r="C425" s="19"/>
      <c r="D425" s="27"/>
      <c r="E425" s="27"/>
      <c r="F425" s="28"/>
      <c r="G425" s="31" t="str">
        <f t="shared" si="2"/>
        <v/>
      </c>
      <c r="H425" s="30"/>
      <c r="I425" s="21" t="str">
        <f t="shared" si="1"/>
        <v/>
      </c>
      <c r="J425" s="19"/>
    </row>
    <row r="426" ht="15.75" customHeight="1">
      <c r="A426" s="3"/>
      <c r="B426" s="19"/>
      <c r="C426" s="19"/>
      <c r="D426" s="27"/>
      <c r="E426" s="27"/>
      <c r="F426" s="28"/>
      <c r="G426" s="31" t="str">
        <f t="shared" si="2"/>
        <v/>
      </c>
      <c r="H426" s="30"/>
      <c r="I426" s="21" t="str">
        <f t="shared" si="1"/>
        <v/>
      </c>
      <c r="J426" s="19"/>
    </row>
    <row r="427" ht="15.75" customHeight="1">
      <c r="A427" s="3"/>
      <c r="B427" s="19"/>
      <c r="C427" s="19"/>
      <c r="D427" s="27"/>
      <c r="E427" s="27"/>
      <c r="F427" s="28"/>
      <c r="G427" s="31" t="str">
        <f t="shared" si="2"/>
        <v/>
      </c>
      <c r="H427" s="30"/>
      <c r="I427" s="21" t="str">
        <f t="shared" si="1"/>
        <v/>
      </c>
      <c r="J427" s="19"/>
    </row>
    <row r="428" ht="15.75" customHeight="1">
      <c r="A428" s="3"/>
      <c r="B428" s="19"/>
      <c r="C428" s="19"/>
      <c r="D428" s="27"/>
      <c r="E428" s="27"/>
      <c r="F428" s="28"/>
      <c r="G428" s="31" t="str">
        <f t="shared" si="2"/>
        <v/>
      </c>
      <c r="H428" s="30"/>
      <c r="I428" s="21" t="str">
        <f t="shared" si="1"/>
        <v/>
      </c>
      <c r="J428" s="19"/>
    </row>
    <row r="429" ht="15.75" customHeight="1">
      <c r="A429" s="3"/>
      <c r="B429" s="19"/>
      <c r="C429" s="19"/>
      <c r="D429" s="27"/>
      <c r="E429" s="27"/>
      <c r="F429" s="28"/>
      <c r="G429" s="31" t="str">
        <f t="shared" si="2"/>
        <v/>
      </c>
      <c r="H429" s="30"/>
      <c r="I429" s="21" t="str">
        <f t="shared" si="1"/>
        <v/>
      </c>
      <c r="J429" s="19"/>
    </row>
    <row r="430" ht="15.75" customHeight="1">
      <c r="A430" s="3"/>
      <c r="B430" s="19"/>
      <c r="C430" s="19"/>
      <c r="D430" s="27"/>
      <c r="E430" s="27"/>
      <c r="F430" s="28"/>
      <c r="G430" s="31" t="str">
        <f t="shared" si="2"/>
        <v/>
      </c>
      <c r="H430" s="30"/>
      <c r="I430" s="21" t="str">
        <f t="shared" si="1"/>
        <v/>
      </c>
      <c r="J430" s="19"/>
    </row>
    <row r="431" ht="15.75" customHeight="1">
      <c r="A431" s="3"/>
      <c r="B431" s="19"/>
      <c r="C431" s="19"/>
      <c r="D431" s="27"/>
      <c r="E431" s="27"/>
      <c r="F431" s="28"/>
      <c r="G431" s="31" t="str">
        <f t="shared" si="2"/>
        <v/>
      </c>
      <c r="H431" s="30"/>
      <c r="I431" s="21" t="str">
        <f t="shared" si="1"/>
        <v/>
      </c>
      <c r="J431" s="19"/>
    </row>
    <row r="432" ht="15.75" customHeight="1">
      <c r="A432" s="3"/>
      <c r="B432" s="19"/>
      <c r="C432" s="19"/>
      <c r="D432" s="27"/>
      <c r="E432" s="27"/>
      <c r="F432" s="28"/>
      <c r="G432" s="31" t="str">
        <f t="shared" si="2"/>
        <v/>
      </c>
      <c r="H432" s="30"/>
      <c r="I432" s="21" t="str">
        <f t="shared" si="1"/>
        <v/>
      </c>
      <c r="J432" s="19"/>
    </row>
    <row r="433" ht="15.75" customHeight="1">
      <c r="A433" s="3"/>
      <c r="B433" s="19"/>
      <c r="C433" s="19"/>
      <c r="D433" s="27"/>
      <c r="E433" s="27"/>
      <c r="F433" s="28"/>
      <c r="G433" s="31" t="str">
        <f t="shared" si="2"/>
        <v/>
      </c>
      <c r="H433" s="30"/>
      <c r="I433" s="21" t="str">
        <f t="shared" si="1"/>
        <v/>
      </c>
      <c r="J433" s="19"/>
    </row>
    <row r="434" ht="15.75" customHeight="1">
      <c r="A434" s="3"/>
      <c r="B434" s="19"/>
      <c r="C434" s="19"/>
      <c r="D434" s="27"/>
      <c r="E434" s="27"/>
      <c r="F434" s="28"/>
      <c r="G434" s="31" t="str">
        <f t="shared" si="2"/>
        <v/>
      </c>
      <c r="H434" s="30"/>
      <c r="I434" s="21" t="str">
        <f t="shared" si="1"/>
        <v/>
      </c>
      <c r="J434" s="19"/>
    </row>
    <row r="435" ht="15.75" customHeight="1">
      <c r="A435" s="3"/>
      <c r="B435" s="19"/>
      <c r="C435" s="19"/>
      <c r="D435" s="27"/>
      <c r="E435" s="27"/>
      <c r="F435" s="28"/>
      <c r="G435" s="31" t="str">
        <f t="shared" si="2"/>
        <v/>
      </c>
      <c r="H435" s="30"/>
      <c r="I435" s="21" t="str">
        <f t="shared" si="1"/>
        <v/>
      </c>
      <c r="J435" s="19"/>
    </row>
    <row r="436" ht="15.75" customHeight="1">
      <c r="A436" s="3"/>
      <c r="B436" s="19"/>
      <c r="C436" s="19"/>
      <c r="D436" s="27"/>
      <c r="E436" s="27"/>
      <c r="F436" s="28"/>
      <c r="G436" s="31" t="str">
        <f t="shared" si="2"/>
        <v/>
      </c>
      <c r="H436" s="30"/>
      <c r="I436" s="21" t="str">
        <f t="shared" si="1"/>
        <v/>
      </c>
      <c r="J436" s="19"/>
    </row>
    <row r="437" ht="15.75" customHeight="1">
      <c r="A437" s="3"/>
      <c r="B437" s="19"/>
      <c r="C437" s="19"/>
      <c r="D437" s="27"/>
      <c r="E437" s="27"/>
      <c r="F437" s="28"/>
      <c r="G437" s="31" t="str">
        <f t="shared" si="2"/>
        <v/>
      </c>
      <c r="H437" s="30"/>
      <c r="I437" s="21" t="str">
        <f t="shared" si="1"/>
        <v/>
      </c>
      <c r="J437" s="19"/>
    </row>
    <row r="438" ht="15.75" customHeight="1">
      <c r="A438" s="3"/>
      <c r="B438" s="19"/>
      <c r="C438" s="19"/>
      <c r="D438" s="27"/>
      <c r="E438" s="27"/>
      <c r="F438" s="28"/>
      <c r="G438" s="31" t="str">
        <f t="shared" si="2"/>
        <v/>
      </c>
      <c r="H438" s="30"/>
      <c r="I438" s="21" t="str">
        <f t="shared" si="1"/>
        <v/>
      </c>
      <c r="J438" s="19"/>
    </row>
    <row r="439" ht="15.75" customHeight="1">
      <c r="A439" s="3"/>
      <c r="B439" s="19"/>
      <c r="C439" s="19"/>
      <c r="D439" s="27"/>
      <c r="E439" s="27"/>
      <c r="F439" s="28"/>
      <c r="G439" s="31" t="str">
        <f t="shared" si="2"/>
        <v/>
      </c>
      <c r="H439" s="30"/>
      <c r="I439" s="21" t="str">
        <f t="shared" si="1"/>
        <v/>
      </c>
      <c r="J439" s="19"/>
    </row>
    <row r="440" ht="15.75" customHeight="1">
      <c r="A440" s="3"/>
      <c r="B440" s="19"/>
      <c r="C440" s="19"/>
      <c r="D440" s="27"/>
      <c r="E440" s="27"/>
      <c r="F440" s="28"/>
      <c r="G440" s="31" t="str">
        <f t="shared" si="2"/>
        <v/>
      </c>
      <c r="H440" s="30"/>
      <c r="I440" s="21" t="str">
        <f t="shared" si="1"/>
        <v/>
      </c>
      <c r="J440" s="19"/>
    </row>
    <row r="441" ht="15.75" customHeight="1">
      <c r="A441" s="3"/>
      <c r="B441" s="19"/>
      <c r="C441" s="19"/>
      <c r="D441" s="27"/>
      <c r="E441" s="27"/>
      <c r="F441" s="28"/>
      <c r="G441" s="31" t="str">
        <f t="shared" si="2"/>
        <v/>
      </c>
      <c r="H441" s="30"/>
      <c r="I441" s="21" t="str">
        <f t="shared" si="1"/>
        <v/>
      </c>
      <c r="J441" s="19"/>
    </row>
    <row r="442" ht="15.75" customHeight="1">
      <c r="A442" s="3"/>
      <c r="B442" s="19"/>
      <c r="C442" s="19"/>
      <c r="D442" s="27"/>
      <c r="E442" s="27"/>
      <c r="F442" s="28"/>
      <c r="G442" s="31" t="str">
        <f t="shared" si="2"/>
        <v/>
      </c>
      <c r="H442" s="30"/>
      <c r="I442" s="21" t="str">
        <f t="shared" si="1"/>
        <v/>
      </c>
      <c r="J442" s="19"/>
    </row>
    <row r="443" ht="15.75" customHeight="1">
      <c r="A443" s="3"/>
      <c r="B443" s="19"/>
      <c r="C443" s="19"/>
      <c r="D443" s="27"/>
      <c r="E443" s="27"/>
      <c r="F443" s="28"/>
      <c r="G443" s="31" t="str">
        <f t="shared" si="2"/>
        <v/>
      </c>
      <c r="H443" s="30"/>
      <c r="I443" s="21" t="str">
        <f t="shared" si="1"/>
        <v/>
      </c>
      <c r="J443" s="19"/>
    </row>
    <row r="444" ht="15.75" customHeight="1">
      <c r="A444" s="3"/>
      <c r="B444" s="19"/>
      <c r="C444" s="19"/>
      <c r="D444" s="27"/>
      <c r="E444" s="27"/>
      <c r="F444" s="28"/>
      <c r="G444" s="31" t="str">
        <f t="shared" si="2"/>
        <v/>
      </c>
      <c r="H444" s="30"/>
      <c r="I444" s="21" t="str">
        <f t="shared" si="1"/>
        <v/>
      </c>
      <c r="J444" s="19"/>
    </row>
    <row r="445" ht="15.75" customHeight="1">
      <c r="A445" s="3"/>
      <c r="B445" s="19"/>
      <c r="C445" s="19"/>
      <c r="D445" s="27"/>
      <c r="E445" s="27"/>
      <c r="F445" s="28"/>
      <c r="G445" s="31" t="str">
        <f t="shared" si="2"/>
        <v/>
      </c>
      <c r="H445" s="30"/>
      <c r="I445" s="21" t="str">
        <f t="shared" si="1"/>
        <v/>
      </c>
      <c r="J445" s="19"/>
    </row>
    <row r="446" ht="15.75" customHeight="1">
      <c r="A446" s="3"/>
      <c r="B446" s="19"/>
      <c r="C446" s="19"/>
      <c r="D446" s="27"/>
      <c r="E446" s="27"/>
      <c r="F446" s="28"/>
      <c r="G446" s="31" t="str">
        <f t="shared" si="2"/>
        <v/>
      </c>
      <c r="H446" s="30"/>
      <c r="I446" s="21" t="str">
        <f t="shared" si="1"/>
        <v/>
      </c>
      <c r="J446" s="19"/>
    </row>
    <row r="447" ht="15.75" customHeight="1">
      <c r="A447" s="3"/>
      <c r="B447" s="19"/>
      <c r="C447" s="19"/>
      <c r="D447" s="27"/>
      <c r="E447" s="27"/>
      <c r="F447" s="28"/>
      <c r="G447" s="31" t="str">
        <f t="shared" si="2"/>
        <v/>
      </c>
      <c r="H447" s="30"/>
      <c r="I447" s="21" t="str">
        <f t="shared" si="1"/>
        <v/>
      </c>
      <c r="J447" s="19"/>
    </row>
    <row r="448" ht="15.75" customHeight="1">
      <c r="A448" s="3"/>
      <c r="B448" s="19"/>
      <c r="C448" s="19"/>
      <c r="D448" s="27"/>
      <c r="E448" s="27"/>
      <c r="F448" s="28"/>
      <c r="G448" s="31" t="str">
        <f t="shared" si="2"/>
        <v/>
      </c>
      <c r="H448" s="30"/>
      <c r="I448" s="21" t="str">
        <f t="shared" si="1"/>
        <v/>
      </c>
      <c r="J448" s="19"/>
    </row>
    <row r="449" ht="15.75" customHeight="1">
      <c r="A449" s="3"/>
      <c r="B449" s="19"/>
      <c r="C449" s="19"/>
      <c r="D449" s="27"/>
      <c r="E449" s="27"/>
      <c r="F449" s="28"/>
      <c r="G449" s="31" t="str">
        <f t="shared" si="2"/>
        <v/>
      </c>
      <c r="H449" s="30"/>
      <c r="I449" s="21" t="str">
        <f t="shared" si="1"/>
        <v/>
      </c>
      <c r="J449" s="19"/>
    </row>
    <row r="450" ht="15.75" customHeight="1">
      <c r="A450" s="3"/>
      <c r="B450" s="19"/>
      <c r="C450" s="19"/>
      <c r="D450" s="27"/>
      <c r="E450" s="27"/>
      <c r="F450" s="28"/>
      <c r="G450" s="31" t="str">
        <f t="shared" si="2"/>
        <v/>
      </c>
      <c r="H450" s="30"/>
      <c r="I450" s="21" t="str">
        <f t="shared" si="1"/>
        <v/>
      </c>
      <c r="J450" s="19"/>
    </row>
    <row r="451" ht="15.75" customHeight="1">
      <c r="A451" s="3"/>
      <c r="B451" s="19"/>
      <c r="C451" s="19"/>
      <c r="D451" s="27"/>
      <c r="E451" s="27"/>
      <c r="F451" s="28"/>
      <c r="G451" s="31" t="str">
        <f t="shared" si="2"/>
        <v/>
      </c>
      <c r="H451" s="30"/>
      <c r="I451" s="21" t="str">
        <f t="shared" si="1"/>
        <v/>
      </c>
      <c r="J451" s="19"/>
    </row>
    <row r="452" ht="15.75" customHeight="1">
      <c r="A452" s="3"/>
      <c r="B452" s="19"/>
      <c r="C452" s="19"/>
      <c r="D452" s="27"/>
      <c r="E452" s="27"/>
      <c r="F452" s="28"/>
      <c r="G452" s="31" t="str">
        <f t="shared" si="2"/>
        <v/>
      </c>
      <c r="H452" s="30"/>
      <c r="I452" s="21" t="str">
        <f t="shared" si="1"/>
        <v/>
      </c>
      <c r="J452" s="19"/>
    </row>
    <row r="453" ht="15.75" customHeight="1">
      <c r="A453" s="3"/>
      <c r="B453" s="19"/>
      <c r="C453" s="19"/>
      <c r="D453" s="27"/>
      <c r="E453" s="27"/>
      <c r="F453" s="28"/>
      <c r="G453" s="31" t="str">
        <f t="shared" si="2"/>
        <v/>
      </c>
      <c r="H453" s="30"/>
      <c r="I453" s="21" t="str">
        <f t="shared" si="1"/>
        <v/>
      </c>
      <c r="J453" s="19"/>
    </row>
    <row r="454" ht="15.75" customHeight="1">
      <c r="A454" s="3"/>
      <c r="B454" s="19"/>
      <c r="C454" s="19"/>
      <c r="D454" s="27"/>
      <c r="E454" s="27"/>
      <c r="F454" s="28"/>
      <c r="G454" s="31" t="str">
        <f t="shared" si="2"/>
        <v/>
      </c>
      <c r="H454" s="30"/>
      <c r="I454" s="21" t="str">
        <f t="shared" si="1"/>
        <v/>
      </c>
      <c r="J454" s="19"/>
    </row>
    <row r="455" ht="15.75" customHeight="1">
      <c r="A455" s="3"/>
      <c r="B455" s="19"/>
      <c r="C455" s="19"/>
      <c r="D455" s="27"/>
      <c r="E455" s="27"/>
      <c r="F455" s="28"/>
      <c r="G455" s="31" t="str">
        <f t="shared" si="2"/>
        <v/>
      </c>
      <c r="H455" s="30"/>
      <c r="I455" s="21" t="str">
        <f t="shared" si="1"/>
        <v/>
      </c>
      <c r="J455" s="19"/>
    </row>
    <row r="456" ht="15.75" customHeight="1">
      <c r="A456" s="3"/>
      <c r="B456" s="19"/>
      <c r="C456" s="19"/>
      <c r="D456" s="27"/>
      <c r="E456" s="27"/>
      <c r="F456" s="28"/>
      <c r="G456" s="31" t="str">
        <f t="shared" si="2"/>
        <v/>
      </c>
      <c r="H456" s="30"/>
      <c r="I456" s="21" t="str">
        <f t="shared" si="1"/>
        <v/>
      </c>
      <c r="J456" s="19"/>
    </row>
    <row r="457" ht="15.75" customHeight="1">
      <c r="A457" s="3"/>
      <c r="B457" s="19"/>
      <c r="C457" s="19"/>
      <c r="D457" s="27"/>
      <c r="E457" s="27"/>
      <c r="F457" s="28"/>
      <c r="G457" s="31" t="str">
        <f t="shared" si="2"/>
        <v/>
      </c>
      <c r="H457" s="30"/>
      <c r="I457" s="21" t="str">
        <f t="shared" si="1"/>
        <v/>
      </c>
      <c r="J457" s="19"/>
    </row>
    <row r="458" ht="15.75" customHeight="1">
      <c r="A458" s="3"/>
      <c r="B458" s="19"/>
      <c r="C458" s="19"/>
      <c r="D458" s="27"/>
      <c r="E458" s="27"/>
      <c r="F458" s="28"/>
      <c r="G458" s="31" t="str">
        <f t="shared" si="2"/>
        <v/>
      </c>
      <c r="H458" s="30"/>
      <c r="I458" s="21" t="str">
        <f t="shared" si="1"/>
        <v/>
      </c>
      <c r="J458" s="19"/>
    </row>
    <row r="459" ht="15.75" customHeight="1">
      <c r="A459" s="3"/>
      <c r="B459" s="19"/>
      <c r="C459" s="19"/>
      <c r="D459" s="27"/>
      <c r="E459" s="27"/>
      <c r="F459" s="28"/>
      <c r="G459" s="31" t="str">
        <f t="shared" si="2"/>
        <v/>
      </c>
      <c r="H459" s="30"/>
      <c r="I459" s="21" t="str">
        <f t="shared" si="1"/>
        <v/>
      </c>
      <c r="J459" s="19"/>
    </row>
    <row r="460" ht="15.75" customHeight="1">
      <c r="A460" s="3"/>
      <c r="B460" s="19"/>
      <c r="C460" s="19"/>
      <c r="D460" s="27"/>
      <c r="E460" s="27"/>
      <c r="F460" s="28"/>
      <c r="G460" s="31" t="str">
        <f t="shared" si="2"/>
        <v/>
      </c>
      <c r="H460" s="30"/>
      <c r="I460" s="21" t="str">
        <f t="shared" si="1"/>
        <v/>
      </c>
      <c r="J460" s="19"/>
    </row>
    <row r="461" ht="15.75" customHeight="1">
      <c r="A461" s="3"/>
      <c r="B461" s="19"/>
      <c r="C461" s="19"/>
      <c r="D461" s="27"/>
      <c r="E461" s="27"/>
      <c r="F461" s="28"/>
      <c r="G461" s="31" t="str">
        <f t="shared" si="2"/>
        <v/>
      </c>
      <c r="H461" s="30"/>
      <c r="I461" s="21" t="str">
        <f t="shared" si="1"/>
        <v/>
      </c>
      <c r="J461" s="19"/>
    </row>
    <row r="462" ht="15.75" customHeight="1">
      <c r="A462" s="3"/>
      <c r="B462" s="19"/>
      <c r="C462" s="19"/>
      <c r="D462" s="27"/>
      <c r="E462" s="27"/>
      <c r="F462" s="28"/>
      <c r="G462" s="31" t="str">
        <f t="shared" si="2"/>
        <v/>
      </c>
      <c r="H462" s="30"/>
      <c r="I462" s="21" t="str">
        <f t="shared" si="1"/>
        <v/>
      </c>
      <c r="J462" s="19"/>
    </row>
    <row r="463" ht="15.75" customHeight="1">
      <c r="A463" s="3"/>
      <c r="B463" s="19"/>
      <c r="C463" s="19"/>
      <c r="D463" s="27"/>
      <c r="E463" s="27"/>
      <c r="F463" s="28"/>
      <c r="G463" s="31" t="str">
        <f t="shared" si="2"/>
        <v/>
      </c>
      <c r="H463" s="30"/>
      <c r="I463" s="21" t="str">
        <f t="shared" si="1"/>
        <v/>
      </c>
      <c r="J463" s="19"/>
    </row>
    <row r="464" ht="15.75" customHeight="1">
      <c r="A464" s="3"/>
      <c r="B464" s="19"/>
      <c r="C464" s="19"/>
      <c r="D464" s="27"/>
      <c r="E464" s="27"/>
      <c r="F464" s="28"/>
      <c r="G464" s="31" t="str">
        <f t="shared" si="2"/>
        <v/>
      </c>
      <c r="H464" s="30"/>
      <c r="I464" s="21" t="str">
        <f t="shared" si="1"/>
        <v/>
      </c>
      <c r="J464" s="19"/>
    </row>
    <row r="465" ht="15.75" customHeight="1">
      <c r="A465" s="3"/>
      <c r="B465" s="19"/>
      <c r="C465" s="19"/>
      <c r="D465" s="27"/>
      <c r="E465" s="27"/>
      <c r="F465" s="28"/>
      <c r="G465" s="31" t="str">
        <f t="shared" si="2"/>
        <v/>
      </c>
      <c r="H465" s="30"/>
      <c r="I465" s="21" t="str">
        <f t="shared" si="1"/>
        <v/>
      </c>
      <c r="J465" s="19"/>
    </row>
    <row r="466" ht="15.75" customHeight="1">
      <c r="A466" s="3"/>
      <c r="B466" s="19"/>
      <c r="C466" s="19"/>
      <c r="D466" s="27"/>
      <c r="E466" s="27"/>
      <c r="F466" s="28"/>
      <c r="G466" s="31" t="str">
        <f t="shared" si="2"/>
        <v/>
      </c>
      <c r="H466" s="30"/>
      <c r="I466" s="21" t="str">
        <f t="shared" si="1"/>
        <v/>
      </c>
      <c r="J466" s="19"/>
    </row>
    <row r="467" ht="15.75" customHeight="1">
      <c r="A467" s="3"/>
      <c r="B467" s="19"/>
      <c r="C467" s="19"/>
      <c r="D467" s="27"/>
      <c r="E467" s="27"/>
      <c r="F467" s="28"/>
      <c r="G467" s="31" t="str">
        <f t="shared" si="2"/>
        <v/>
      </c>
      <c r="H467" s="30"/>
      <c r="I467" s="21" t="str">
        <f t="shared" si="1"/>
        <v/>
      </c>
      <c r="J467" s="19"/>
    </row>
    <row r="468" ht="15.75" customHeight="1">
      <c r="A468" s="3"/>
      <c r="B468" s="19"/>
      <c r="C468" s="19"/>
      <c r="D468" s="27"/>
      <c r="E468" s="27"/>
      <c r="F468" s="28"/>
      <c r="G468" s="31" t="str">
        <f t="shared" si="2"/>
        <v/>
      </c>
      <c r="H468" s="30"/>
      <c r="I468" s="21" t="str">
        <f t="shared" si="1"/>
        <v/>
      </c>
      <c r="J468" s="19"/>
    </row>
    <row r="469" ht="15.75" customHeight="1">
      <c r="A469" s="3"/>
      <c r="B469" s="19"/>
      <c r="C469" s="19"/>
      <c r="D469" s="27"/>
      <c r="E469" s="27"/>
      <c r="F469" s="28"/>
      <c r="G469" s="31" t="str">
        <f t="shared" si="2"/>
        <v/>
      </c>
      <c r="H469" s="30"/>
      <c r="I469" s="21" t="str">
        <f t="shared" si="1"/>
        <v/>
      </c>
      <c r="J469" s="19"/>
    </row>
    <row r="470" ht="15.75" customHeight="1">
      <c r="A470" s="3"/>
      <c r="B470" s="19"/>
      <c r="C470" s="19"/>
      <c r="D470" s="27"/>
      <c r="E470" s="27"/>
      <c r="F470" s="28"/>
      <c r="G470" s="31" t="str">
        <f t="shared" si="2"/>
        <v/>
      </c>
      <c r="H470" s="30"/>
      <c r="I470" s="21" t="str">
        <f t="shared" si="1"/>
        <v/>
      </c>
      <c r="J470" s="19"/>
    </row>
    <row r="471" ht="15.75" customHeight="1">
      <c r="A471" s="3"/>
      <c r="B471" s="19"/>
      <c r="C471" s="19"/>
      <c r="D471" s="27"/>
      <c r="E471" s="27"/>
      <c r="F471" s="28"/>
      <c r="G471" s="31" t="str">
        <f t="shared" si="2"/>
        <v/>
      </c>
      <c r="H471" s="30"/>
      <c r="I471" s="21" t="str">
        <f t="shared" si="1"/>
        <v/>
      </c>
      <c r="J471" s="19"/>
    </row>
    <row r="472" ht="15.75" customHeight="1">
      <c r="A472" s="3"/>
      <c r="B472" s="19"/>
      <c r="C472" s="19"/>
      <c r="D472" s="27"/>
      <c r="E472" s="27"/>
      <c r="F472" s="28"/>
      <c r="G472" s="31" t="str">
        <f t="shared" si="2"/>
        <v/>
      </c>
      <c r="H472" s="30"/>
      <c r="I472" s="21" t="str">
        <f t="shared" si="1"/>
        <v/>
      </c>
      <c r="J472" s="19"/>
    </row>
    <row r="473" ht="15.75" customHeight="1">
      <c r="A473" s="3"/>
      <c r="B473" s="19"/>
      <c r="C473" s="19"/>
      <c r="D473" s="27"/>
      <c r="E473" s="27"/>
      <c r="F473" s="28"/>
      <c r="G473" s="31" t="str">
        <f t="shared" si="2"/>
        <v/>
      </c>
      <c r="H473" s="30"/>
      <c r="I473" s="21" t="str">
        <f t="shared" si="1"/>
        <v/>
      </c>
      <c r="J473" s="19"/>
    </row>
    <row r="474" ht="15.75" customHeight="1">
      <c r="A474" s="3"/>
      <c r="B474" s="19"/>
      <c r="C474" s="19"/>
      <c r="D474" s="27"/>
      <c r="E474" s="27"/>
      <c r="F474" s="28"/>
      <c r="G474" s="31" t="str">
        <f t="shared" si="2"/>
        <v/>
      </c>
      <c r="H474" s="30"/>
      <c r="I474" s="21" t="str">
        <f t="shared" si="1"/>
        <v/>
      </c>
      <c r="J474" s="19"/>
    </row>
    <row r="475" ht="15.75" customHeight="1">
      <c r="A475" s="3"/>
      <c r="B475" s="19"/>
      <c r="C475" s="19"/>
      <c r="D475" s="27"/>
      <c r="E475" s="27"/>
      <c r="F475" s="28"/>
      <c r="G475" s="31" t="str">
        <f t="shared" si="2"/>
        <v/>
      </c>
      <c r="H475" s="30"/>
      <c r="I475" s="21" t="str">
        <f t="shared" si="1"/>
        <v/>
      </c>
      <c r="J475" s="19"/>
    </row>
    <row r="476" ht="15.75" customHeight="1">
      <c r="A476" s="3"/>
      <c r="B476" s="19"/>
      <c r="C476" s="19"/>
      <c r="D476" s="27"/>
      <c r="E476" s="27"/>
      <c r="F476" s="28"/>
      <c r="G476" s="31" t="str">
        <f t="shared" si="2"/>
        <v/>
      </c>
      <c r="H476" s="30"/>
      <c r="I476" s="21" t="str">
        <f t="shared" si="1"/>
        <v/>
      </c>
      <c r="J476" s="19"/>
    </row>
    <row r="477" ht="15.75" customHeight="1">
      <c r="A477" s="3"/>
      <c r="B477" s="19"/>
      <c r="C477" s="19"/>
      <c r="D477" s="27"/>
      <c r="E477" s="27"/>
      <c r="F477" s="28"/>
      <c r="G477" s="31" t="str">
        <f t="shared" si="2"/>
        <v/>
      </c>
      <c r="H477" s="30"/>
      <c r="I477" s="21" t="str">
        <f t="shared" si="1"/>
        <v/>
      </c>
      <c r="J477" s="19"/>
    </row>
    <row r="478" ht="15.75" customHeight="1">
      <c r="A478" s="3"/>
      <c r="B478" s="19"/>
      <c r="C478" s="19"/>
      <c r="D478" s="27"/>
      <c r="E478" s="27"/>
      <c r="F478" s="28"/>
      <c r="G478" s="31" t="str">
        <f t="shared" si="2"/>
        <v/>
      </c>
      <c r="H478" s="30"/>
      <c r="I478" s="21" t="str">
        <f t="shared" si="1"/>
        <v/>
      </c>
      <c r="J478" s="19"/>
    </row>
    <row r="479" ht="15.75" customHeight="1">
      <c r="A479" s="3"/>
      <c r="B479" s="19"/>
      <c r="C479" s="19"/>
      <c r="D479" s="27"/>
      <c r="E479" s="27"/>
      <c r="F479" s="28"/>
      <c r="G479" s="31" t="str">
        <f t="shared" si="2"/>
        <v/>
      </c>
      <c r="H479" s="30"/>
      <c r="I479" s="21" t="str">
        <f t="shared" si="1"/>
        <v/>
      </c>
      <c r="J479" s="19"/>
    </row>
    <row r="480" ht="15.75" customHeight="1">
      <c r="A480" s="3"/>
      <c r="B480" s="19"/>
      <c r="C480" s="19"/>
      <c r="D480" s="27"/>
      <c r="E480" s="27"/>
      <c r="F480" s="28"/>
      <c r="G480" s="31" t="str">
        <f t="shared" si="2"/>
        <v/>
      </c>
      <c r="H480" s="30"/>
      <c r="I480" s="21" t="str">
        <f t="shared" si="1"/>
        <v/>
      </c>
      <c r="J480" s="19"/>
    </row>
    <row r="481" ht="15.75" customHeight="1">
      <c r="A481" s="3"/>
      <c r="B481" s="19"/>
      <c r="C481" s="19"/>
      <c r="D481" s="27"/>
      <c r="E481" s="27"/>
      <c r="F481" s="28"/>
      <c r="G481" s="31" t="str">
        <f t="shared" si="2"/>
        <v/>
      </c>
      <c r="H481" s="30"/>
      <c r="I481" s="21" t="str">
        <f t="shared" si="1"/>
        <v/>
      </c>
      <c r="J481" s="19"/>
    </row>
    <row r="482" ht="15.75" customHeight="1">
      <c r="A482" s="3"/>
      <c r="B482" s="19"/>
      <c r="C482" s="19"/>
      <c r="D482" s="27"/>
      <c r="E482" s="27"/>
      <c r="F482" s="28"/>
      <c r="G482" s="31" t="str">
        <f t="shared" si="2"/>
        <v/>
      </c>
      <c r="H482" s="30"/>
      <c r="I482" s="21" t="str">
        <f t="shared" si="1"/>
        <v/>
      </c>
      <c r="J482" s="19"/>
    </row>
    <row r="483" ht="15.75" customHeight="1">
      <c r="A483" s="3"/>
      <c r="B483" s="19"/>
      <c r="C483" s="19"/>
      <c r="D483" s="27"/>
      <c r="E483" s="27"/>
      <c r="F483" s="28"/>
      <c r="G483" s="31" t="str">
        <f t="shared" si="2"/>
        <v/>
      </c>
      <c r="H483" s="30"/>
      <c r="I483" s="21" t="str">
        <f t="shared" si="1"/>
        <v/>
      </c>
      <c r="J483" s="19"/>
    </row>
    <row r="484" ht="15.75" customHeight="1">
      <c r="A484" s="3"/>
      <c r="B484" s="19"/>
      <c r="C484" s="19"/>
      <c r="D484" s="27"/>
      <c r="E484" s="27"/>
      <c r="F484" s="28"/>
      <c r="G484" s="31" t="str">
        <f t="shared" si="2"/>
        <v/>
      </c>
      <c r="H484" s="30"/>
      <c r="I484" s="21" t="str">
        <f t="shared" si="1"/>
        <v/>
      </c>
      <c r="J484" s="19"/>
    </row>
    <row r="485" ht="15.75" customHeight="1">
      <c r="A485" s="3"/>
      <c r="B485" s="19"/>
      <c r="C485" s="19"/>
      <c r="D485" s="27"/>
      <c r="E485" s="27"/>
      <c r="F485" s="28"/>
      <c r="G485" s="31" t="str">
        <f t="shared" si="2"/>
        <v/>
      </c>
      <c r="H485" s="30"/>
      <c r="I485" s="21" t="str">
        <f t="shared" si="1"/>
        <v/>
      </c>
      <c r="J485" s="19"/>
    </row>
    <row r="486" ht="15.75" customHeight="1">
      <c r="A486" s="3"/>
      <c r="B486" s="19"/>
      <c r="C486" s="19"/>
      <c r="D486" s="27"/>
      <c r="E486" s="27"/>
      <c r="F486" s="28"/>
      <c r="G486" s="31" t="str">
        <f t="shared" si="2"/>
        <v/>
      </c>
      <c r="H486" s="30"/>
      <c r="I486" s="21" t="str">
        <f t="shared" si="1"/>
        <v/>
      </c>
      <c r="J486" s="19"/>
    </row>
    <row r="487" ht="15.75" customHeight="1">
      <c r="A487" s="3"/>
      <c r="B487" s="19"/>
      <c r="C487" s="19"/>
      <c r="D487" s="27"/>
      <c r="E487" s="27"/>
      <c r="F487" s="28"/>
      <c r="G487" s="31" t="str">
        <f t="shared" si="2"/>
        <v/>
      </c>
      <c r="H487" s="30"/>
      <c r="I487" s="21" t="str">
        <f t="shared" si="1"/>
        <v/>
      </c>
      <c r="J487" s="19"/>
    </row>
    <row r="488" ht="15.75" customHeight="1">
      <c r="A488" s="3"/>
      <c r="B488" s="19"/>
      <c r="C488" s="19"/>
      <c r="D488" s="27"/>
      <c r="E488" s="27"/>
      <c r="F488" s="28"/>
      <c r="G488" s="31" t="str">
        <f t="shared" si="2"/>
        <v/>
      </c>
      <c r="H488" s="30"/>
      <c r="I488" s="21" t="str">
        <f t="shared" si="1"/>
        <v/>
      </c>
      <c r="J488" s="19"/>
    </row>
    <row r="489" ht="15.75" customHeight="1">
      <c r="A489" s="3"/>
      <c r="B489" s="19"/>
      <c r="C489" s="19"/>
      <c r="D489" s="27"/>
      <c r="E489" s="27"/>
      <c r="F489" s="28"/>
      <c r="G489" s="31" t="str">
        <f t="shared" si="2"/>
        <v/>
      </c>
      <c r="H489" s="30"/>
      <c r="I489" s="21" t="str">
        <f t="shared" si="1"/>
        <v/>
      </c>
      <c r="J489" s="19"/>
    </row>
    <row r="490" ht="15.75" customHeight="1">
      <c r="A490" s="3"/>
      <c r="B490" s="19"/>
      <c r="C490" s="19"/>
      <c r="D490" s="27"/>
      <c r="E490" s="27"/>
      <c r="F490" s="28"/>
      <c r="G490" s="31" t="str">
        <f t="shared" si="2"/>
        <v/>
      </c>
      <c r="H490" s="30"/>
      <c r="I490" s="21" t="str">
        <f t="shared" si="1"/>
        <v/>
      </c>
      <c r="J490" s="19"/>
    </row>
    <row r="491" ht="15.75" customHeight="1">
      <c r="A491" s="3"/>
      <c r="B491" s="19"/>
      <c r="C491" s="19"/>
      <c r="D491" s="27"/>
      <c r="E491" s="27"/>
      <c r="F491" s="28"/>
      <c r="G491" s="31" t="str">
        <f t="shared" si="2"/>
        <v/>
      </c>
      <c r="H491" s="30"/>
      <c r="I491" s="21" t="str">
        <f t="shared" si="1"/>
        <v/>
      </c>
      <c r="J491" s="19"/>
    </row>
    <row r="492" ht="15.75" customHeight="1">
      <c r="A492" s="3"/>
      <c r="B492" s="19"/>
      <c r="C492" s="19"/>
      <c r="D492" s="27"/>
      <c r="E492" s="27"/>
      <c r="F492" s="28"/>
      <c r="G492" s="31" t="str">
        <f t="shared" si="2"/>
        <v/>
      </c>
      <c r="H492" s="30"/>
      <c r="I492" s="21" t="str">
        <f t="shared" si="1"/>
        <v/>
      </c>
      <c r="J492" s="19"/>
    </row>
    <row r="493" ht="15.75" customHeight="1">
      <c r="A493" s="3"/>
      <c r="B493" s="19"/>
      <c r="C493" s="19"/>
      <c r="D493" s="27"/>
      <c r="E493" s="27"/>
      <c r="F493" s="28"/>
      <c r="G493" s="31" t="str">
        <f t="shared" si="2"/>
        <v/>
      </c>
      <c r="H493" s="30"/>
      <c r="I493" s="21" t="str">
        <f t="shared" si="1"/>
        <v/>
      </c>
      <c r="J493" s="19"/>
    </row>
    <row r="494" ht="15.75" customHeight="1">
      <c r="A494" s="3"/>
      <c r="B494" s="19"/>
      <c r="C494" s="19"/>
      <c r="D494" s="27"/>
      <c r="E494" s="27"/>
      <c r="F494" s="28"/>
      <c r="G494" s="31" t="str">
        <f t="shared" si="2"/>
        <v/>
      </c>
      <c r="H494" s="30"/>
      <c r="I494" s="21" t="str">
        <f t="shared" si="1"/>
        <v/>
      </c>
      <c r="J494" s="19"/>
    </row>
    <row r="495" ht="15.75" customHeight="1">
      <c r="A495" s="3"/>
      <c r="B495" s="19"/>
      <c r="C495" s="19"/>
      <c r="D495" s="27"/>
      <c r="E495" s="27"/>
      <c r="F495" s="28"/>
      <c r="G495" s="31" t="str">
        <f t="shared" si="2"/>
        <v/>
      </c>
      <c r="H495" s="30"/>
      <c r="I495" s="21" t="str">
        <f t="shared" si="1"/>
        <v/>
      </c>
      <c r="J495" s="19"/>
    </row>
    <row r="496" ht="15.75" customHeight="1">
      <c r="A496" s="3"/>
      <c r="B496" s="19"/>
      <c r="C496" s="19"/>
      <c r="D496" s="27"/>
      <c r="E496" s="27"/>
      <c r="F496" s="28"/>
      <c r="G496" s="31" t="str">
        <f t="shared" si="2"/>
        <v/>
      </c>
      <c r="H496" s="30"/>
      <c r="I496" s="21" t="str">
        <f t="shared" si="1"/>
        <v/>
      </c>
      <c r="J496" s="19"/>
    </row>
    <row r="497" ht="15.75" customHeight="1">
      <c r="A497" s="3"/>
      <c r="B497" s="19"/>
      <c r="C497" s="19"/>
      <c r="D497" s="27"/>
      <c r="E497" s="27"/>
      <c r="F497" s="28"/>
      <c r="G497" s="31" t="str">
        <f t="shared" si="2"/>
        <v/>
      </c>
      <c r="H497" s="30"/>
      <c r="I497" s="21" t="str">
        <f t="shared" si="1"/>
        <v/>
      </c>
      <c r="J497" s="19"/>
    </row>
    <row r="498" ht="15.75" customHeight="1">
      <c r="A498" s="3"/>
      <c r="B498" s="19"/>
      <c r="C498" s="19"/>
      <c r="D498" s="27"/>
      <c r="E498" s="27"/>
      <c r="F498" s="28"/>
      <c r="G498" s="31" t="str">
        <f t="shared" si="2"/>
        <v/>
      </c>
      <c r="H498" s="30"/>
      <c r="I498" s="21" t="str">
        <f t="shared" si="1"/>
        <v/>
      </c>
      <c r="J498" s="19"/>
    </row>
    <row r="499" ht="15.75" customHeight="1">
      <c r="A499" s="3"/>
      <c r="B499" s="19"/>
      <c r="C499" s="19"/>
      <c r="D499" s="27"/>
      <c r="E499" s="27"/>
      <c r="F499" s="28"/>
      <c r="G499" s="31" t="str">
        <f t="shared" si="2"/>
        <v/>
      </c>
      <c r="H499" s="30"/>
      <c r="I499" s="21" t="str">
        <f t="shared" si="1"/>
        <v/>
      </c>
      <c r="J499" s="19"/>
    </row>
    <row r="500" ht="15.75" customHeight="1">
      <c r="A500" s="3"/>
      <c r="B500" s="19"/>
      <c r="C500" s="19"/>
      <c r="D500" s="27"/>
      <c r="E500" s="27"/>
      <c r="F500" s="28"/>
      <c r="G500" s="31" t="str">
        <f t="shared" si="2"/>
        <v/>
      </c>
      <c r="H500" s="30"/>
      <c r="I500" s="21" t="str">
        <f t="shared" si="1"/>
        <v/>
      </c>
      <c r="J500" s="19"/>
    </row>
    <row r="501" ht="15.75" customHeight="1">
      <c r="A501" s="3"/>
      <c r="B501" s="19"/>
      <c r="C501" s="19"/>
      <c r="D501" s="27"/>
      <c r="E501" s="27"/>
      <c r="F501" s="28"/>
      <c r="G501" s="31" t="str">
        <f t="shared" si="2"/>
        <v/>
      </c>
      <c r="H501" s="30"/>
      <c r="I501" s="21" t="str">
        <f t="shared" si="1"/>
        <v/>
      </c>
      <c r="J501" s="19"/>
    </row>
    <row r="502" ht="15.75" customHeight="1">
      <c r="A502" s="3"/>
      <c r="B502" s="19"/>
      <c r="C502" s="19"/>
      <c r="D502" s="27"/>
      <c r="E502" s="27"/>
      <c r="F502" s="28"/>
      <c r="G502" s="31" t="str">
        <f t="shared" si="2"/>
        <v/>
      </c>
      <c r="H502" s="30"/>
      <c r="I502" s="21" t="str">
        <f t="shared" si="1"/>
        <v/>
      </c>
      <c r="J502" s="19"/>
    </row>
    <row r="503" ht="15.75" customHeight="1">
      <c r="A503" s="3"/>
      <c r="B503" s="19"/>
      <c r="C503" s="19"/>
      <c r="D503" s="27"/>
      <c r="E503" s="27"/>
      <c r="F503" s="28"/>
      <c r="G503" s="31" t="str">
        <f t="shared" si="2"/>
        <v/>
      </c>
      <c r="H503" s="30"/>
      <c r="I503" s="21" t="str">
        <f t="shared" si="1"/>
        <v/>
      </c>
      <c r="J503" s="19"/>
    </row>
    <row r="504" ht="15.75" customHeight="1">
      <c r="A504" s="3"/>
      <c r="B504" s="19"/>
      <c r="C504" s="19"/>
      <c r="D504" s="27"/>
      <c r="E504" s="27"/>
      <c r="F504" s="28"/>
      <c r="G504" s="31" t="str">
        <f t="shared" si="2"/>
        <v/>
      </c>
      <c r="H504" s="30"/>
      <c r="I504" s="21" t="str">
        <f t="shared" si="1"/>
        <v/>
      </c>
      <c r="J504" s="19"/>
    </row>
    <row r="505" ht="15.75" customHeight="1">
      <c r="A505" s="3"/>
      <c r="B505" s="19"/>
      <c r="C505" s="19"/>
      <c r="D505" s="27"/>
      <c r="E505" s="27"/>
      <c r="F505" s="28"/>
      <c r="G505" s="31" t="str">
        <f t="shared" si="2"/>
        <v/>
      </c>
      <c r="H505" s="30"/>
      <c r="I505" s="21" t="str">
        <f t="shared" si="1"/>
        <v/>
      </c>
      <c r="J505" s="19"/>
    </row>
    <row r="506" ht="15.75" customHeight="1">
      <c r="A506" s="3"/>
      <c r="B506" s="19"/>
      <c r="C506" s="19"/>
      <c r="D506" s="27"/>
      <c r="E506" s="27"/>
      <c r="F506" s="28"/>
      <c r="G506" s="31" t="str">
        <f t="shared" si="2"/>
        <v/>
      </c>
      <c r="H506" s="30"/>
      <c r="I506" s="21" t="str">
        <f t="shared" si="1"/>
        <v/>
      </c>
      <c r="J506" s="19"/>
    </row>
    <row r="507" ht="15.75" customHeight="1">
      <c r="A507" s="3"/>
      <c r="B507" s="19"/>
      <c r="C507" s="19"/>
      <c r="D507" s="27"/>
      <c r="E507" s="27"/>
      <c r="F507" s="28"/>
      <c r="G507" s="31" t="str">
        <f t="shared" si="2"/>
        <v/>
      </c>
      <c r="H507" s="30"/>
      <c r="I507" s="21" t="str">
        <f t="shared" si="1"/>
        <v/>
      </c>
      <c r="J507" s="19"/>
    </row>
    <row r="508" ht="15.75" customHeight="1">
      <c r="A508" s="3"/>
      <c r="B508" s="19"/>
      <c r="C508" s="19"/>
      <c r="D508" s="27"/>
      <c r="E508" s="27"/>
      <c r="F508" s="28"/>
      <c r="G508" s="31" t="str">
        <f t="shared" si="2"/>
        <v/>
      </c>
      <c r="H508" s="30"/>
      <c r="I508" s="21" t="str">
        <f t="shared" si="1"/>
        <v/>
      </c>
      <c r="J508" s="19"/>
    </row>
    <row r="509" ht="15.75" customHeight="1">
      <c r="A509" s="3"/>
      <c r="B509" s="19"/>
      <c r="C509" s="19"/>
      <c r="D509" s="27"/>
      <c r="E509" s="27"/>
      <c r="F509" s="28"/>
      <c r="G509" s="31" t="str">
        <f t="shared" si="2"/>
        <v/>
      </c>
      <c r="H509" s="30"/>
      <c r="I509" s="21" t="str">
        <f t="shared" si="1"/>
        <v/>
      </c>
      <c r="J509" s="19"/>
    </row>
    <row r="510" ht="15.75" customHeight="1">
      <c r="A510" s="3"/>
      <c r="B510" s="19"/>
      <c r="C510" s="19"/>
      <c r="D510" s="27"/>
      <c r="E510" s="27"/>
      <c r="F510" s="28"/>
      <c r="G510" s="31" t="str">
        <f t="shared" si="2"/>
        <v/>
      </c>
      <c r="H510" s="30"/>
      <c r="I510" s="21" t="str">
        <f t="shared" si="1"/>
        <v/>
      </c>
      <c r="J510" s="19"/>
    </row>
    <row r="511" ht="15.75" customHeight="1">
      <c r="A511" s="3"/>
      <c r="B511" s="19"/>
      <c r="C511" s="19"/>
      <c r="D511" s="27"/>
      <c r="E511" s="27"/>
      <c r="F511" s="28"/>
      <c r="G511" s="31" t="str">
        <f t="shared" si="2"/>
        <v/>
      </c>
      <c r="H511" s="30"/>
      <c r="I511" s="21" t="str">
        <f t="shared" si="1"/>
        <v/>
      </c>
      <c r="J511" s="19"/>
    </row>
    <row r="512" ht="15.75" customHeight="1">
      <c r="A512" s="3"/>
      <c r="B512" s="19"/>
      <c r="C512" s="19"/>
      <c r="D512" s="27"/>
      <c r="E512" s="27"/>
      <c r="F512" s="28"/>
      <c r="G512" s="31" t="str">
        <f t="shared" si="2"/>
        <v/>
      </c>
      <c r="H512" s="30"/>
      <c r="I512" s="21" t="str">
        <f t="shared" si="1"/>
        <v/>
      </c>
      <c r="J512" s="19"/>
    </row>
    <row r="513" ht="15.75" customHeight="1">
      <c r="A513" s="3"/>
      <c r="B513" s="19"/>
      <c r="C513" s="19"/>
      <c r="D513" s="27"/>
      <c r="E513" s="27"/>
      <c r="F513" s="28"/>
      <c r="G513" s="31" t="str">
        <f t="shared" si="2"/>
        <v/>
      </c>
      <c r="H513" s="30"/>
      <c r="I513" s="21" t="str">
        <f t="shared" si="1"/>
        <v/>
      </c>
      <c r="J513" s="19"/>
    </row>
    <row r="514" ht="15.75" customHeight="1">
      <c r="A514" s="3"/>
      <c r="B514" s="19"/>
      <c r="C514" s="19"/>
      <c r="D514" s="27"/>
      <c r="E514" s="27"/>
      <c r="F514" s="28"/>
      <c r="G514" s="31" t="str">
        <f t="shared" si="2"/>
        <v/>
      </c>
      <c r="H514" s="30"/>
      <c r="I514" s="21" t="str">
        <f t="shared" si="1"/>
        <v/>
      </c>
      <c r="J514" s="19"/>
    </row>
    <row r="515" ht="15.75" customHeight="1">
      <c r="A515" s="3"/>
      <c r="B515" s="19"/>
      <c r="C515" s="19"/>
      <c r="D515" s="27"/>
      <c r="E515" s="27"/>
      <c r="F515" s="28"/>
      <c r="G515" s="31" t="str">
        <f t="shared" si="2"/>
        <v/>
      </c>
      <c r="H515" s="30"/>
      <c r="I515" s="21" t="str">
        <f t="shared" si="1"/>
        <v/>
      </c>
      <c r="J515" s="19"/>
    </row>
    <row r="516" ht="15.75" customHeight="1">
      <c r="A516" s="3"/>
      <c r="B516" s="19"/>
      <c r="C516" s="19"/>
      <c r="D516" s="27"/>
      <c r="E516" s="27"/>
      <c r="F516" s="28"/>
      <c r="G516" s="31" t="str">
        <f t="shared" si="2"/>
        <v/>
      </c>
      <c r="H516" s="30"/>
      <c r="I516" s="21" t="str">
        <f t="shared" si="1"/>
        <v/>
      </c>
      <c r="J516" s="19"/>
    </row>
    <row r="517" ht="15.75" customHeight="1">
      <c r="A517" s="3"/>
      <c r="B517" s="19"/>
      <c r="C517" s="19"/>
      <c r="D517" s="27"/>
      <c r="E517" s="27"/>
      <c r="F517" s="28"/>
      <c r="G517" s="31" t="str">
        <f t="shared" si="2"/>
        <v/>
      </c>
      <c r="H517" s="30"/>
      <c r="I517" s="21" t="str">
        <f t="shared" si="1"/>
        <v/>
      </c>
      <c r="J517" s="19"/>
    </row>
    <row r="518" ht="15.75" customHeight="1">
      <c r="A518" s="3"/>
      <c r="B518" s="19"/>
      <c r="C518" s="19"/>
      <c r="D518" s="27"/>
      <c r="E518" s="27"/>
      <c r="F518" s="28"/>
      <c r="G518" s="31" t="str">
        <f t="shared" si="2"/>
        <v/>
      </c>
      <c r="H518" s="30"/>
      <c r="I518" s="21" t="str">
        <f t="shared" si="1"/>
        <v/>
      </c>
      <c r="J518" s="19"/>
    </row>
    <row r="519" ht="15.75" customHeight="1">
      <c r="A519" s="3"/>
      <c r="B519" s="19"/>
      <c r="C519" s="19"/>
      <c r="D519" s="27"/>
      <c r="E519" s="27"/>
      <c r="F519" s="28"/>
      <c r="G519" s="31" t="str">
        <f t="shared" si="2"/>
        <v/>
      </c>
      <c r="H519" s="30"/>
      <c r="I519" s="21" t="str">
        <f t="shared" si="1"/>
        <v/>
      </c>
      <c r="J519" s="19"/>
    </row>
    <row r="520" ht="15.75" customHeight="1">
      <c r="A520" s="3"/>
      <c r="B520" s="19"/>
      <c r="C520" s="19"/>
      <c r="D520" s="27"/>
      <c r="E520" s="27"/>
      <c r="F520" s="28"/>
      <c r="G520" s="31" t="str">
        <f t="shared" si="2"/>
        <v/>
      </c>
      <c r="H520" s="30"/>
      <c r="I520" s="21" t="str">
        <f t="shared" si="1"/>
        <v/>
      </c>
      <c r="J520" s="19"/>
    </row>
    <row r="521" ht="15.75" customHeight="1">
      <c r="A521" s="3"/>
      <c r="B521" s="19"/>
      <c r="C521" s="19"/>
      <c r="D521" s="27"/>
      <c r="E521" s="27"/>
      <c r="F521" s="28"/>
      <c r="G521" s="31" t="str">
        <f t="shared" si="2"/>
        <v/>
      </c>
      <c r="H521" s="30"/>
      <c r="I521" s="21" t="str">
        <f t="shared" si="1"/>
        <v/>
      </c>
      <c r="J521" s="19"/>
    </row>
    <row r="522" ht="15.75" customHeight="1">
      <c r="A522" s="3"/>
      <c r="B522" s="19"/>
      <c r="C522" s="19"/>
      <c r="D522" s="27"/>
      <c r="E522" s="27"/>
      <c r="F522" s="28"/>
      <c r="G522" s="31" t="str">
        <f t="shared" si="2"/>
        <v/>
      </c>
      <c r="H522" s="30"/>
      <c r="I522" s="21" t="str">
        <f t="shared" si="1"/>
        <v/>
      </c>
      <c r="J522" s="19"/>
    </row>
    <row r="523" ht="15.75" customHeight="1">
      <c r="A523" s="3"/>
      <c r="B523" s="19"/>
      <c r="C523" s="19"/>
      <c r="D523" s="27"/>
      <c r="E523" s="27"/>
      <c r="F523" s="28"/>
      <c r="G523" s="31" t="str">
        <f t="shared" si="2"/>
        <v/>
      </c>
      <c r="H523" s="30"/>
      <c r="I523" s="21" t="str">
        <f t="shared" si="1"/>
        <v/>
      </c>
      <c r="J523" s="19"/>
    </row>
    <row r="524" ht="15.75" customHeight="1">
      <c r="A524" s="3"/>
      <c r="B524" s="19"/>
      <c r="C524" s="19"/>
      <c r="D524" s="27"/>
      <c r="E524" s="27"/>
      <c r="F524" s="28"/>
      <c r="G524" s="31" t="str">
        <f t="shared" si="2"/>
        <v/>
      </c>
      <c r="H524" s="30"/>
      <c r="I524" s="21" t="str">
        <f t="shared" si="1"/>
        <v/>
      </c>
      <c r="J524" s="19"/>
    </row>
    <row r="525" ht="15.75" customHeight="1">
      <c r="A525" s="3"/>
      <c r="B525" s="19"/>
      <c r="C525" s="19"/>
      <c r="D525" s="27"/>
      <c r="E525" s="27"/>
      <c r="F525" s="28"/>
      <c r="G525" s="31" t="str">
        <f t="shared" si="2"/>
        <v/>
      </c>
      <c r="H525" s="30"/>
      <c r="I525" s="21" t="str">
        <f t="shared" si="1"/>
        <v/>
      </c>
      <c r="J525" s="19"/>
    </row>
    <row r="526" ht="15.75" customHeight="1">
      <c r="A526" s="3"/>
      <c r="B526" s="19"/>
      <c r="C526" s="19"/>
      <c r="D526" s="27"/>
      <c r="E526" s="27"/>
      <c r="F526" s="28"/>
      <c r="G526" s="31" t="str">
        <f t="shared" si="2"/>
        <v/>
      </c>
      <c r="H526" s="30"/>
      <c r="I526" s="21" t="str">
        <f t="shared" si="1"/>
        <v/>
      </c>
      <c r="J526" s="19"/>
    </row>
    <row r="527" ht="15.75" customHeight="1">
      <c r="A527" s="3"/>
      <c r="B527" s="19"/>
      <c r="C527" s="19"/>
      <c r="D527" s="27"/>
      <c r="E527" s="27"/>
      <c r="F527" s="28"/>
      <c r="G527" s="31" t="str">
        <f t="shared" si="2"/>
        <v/>
      </c>
      <c r="H527" s="30"/>
      <c r="I527" s="21" t="str">
        <f t="shared" si="1"/>
        <v/>
      </c>
      <c r="J527" s="19"/>
    </row>
    <row r="528" ht="15.75" customHeight="1">
      <c r="A528" s="3"/>
      <c r="B528" s="19"/>
      <c r="C528" s="19"/>
      <c r="D528" s="27"/>
      <c r="E528" s="27"/>
      <c r="F528" s="28"/>
      <c r="G528" s="31" t="str">
        <f t="shared" si="2"/>
        <v/>
      </c>
      <c r="H528" s="30"/>
      <c r="I528" s="21" t="str">
        <f t="shared" si="1"/>
        <v/>
      </c>
      <c r="J528" s="19"/>
    </row>
    <row r="529" ht="15.75" customHeight="1">
      <c r="A529" s="3"/>
      <c r="B529" s="19"/>
      <c r="C529" s="19"/>
      <c r="D529" s="27"/>
      <c r="E529" s="27"/>
      <c r="F529" s="28"/>
      <c r="G529" s="31" t="str">
        <f t="shared" si="2"/>
        <v/>
      </c>
      <c r="H529" s="30"/>
      <c r="I529" s="21" t="str">
        <f t="shared" si="1"/>
        <v/>
      </c>
      <c r="J529" s="19"/>
    </row>
    <row r="530" ht="15.75" customHeight="1">
      <c r="A530" s="3"/>
      <c r="B530" s="19"/>
      <c r="C530" s="19"/>
      <c r="D530" s="27"/>
      <c r="E530" s="27"/>
      <c r="F530" s="28"/>
      <c r="G530" s="31" t="str">
        <f t="shared" si="2"/>
        <v/>
      </c>
      <c r="H530" s="30"/>
      <c r="I530" s="21" t="str">
        <f t="shared" si="1"/>
        <v/>
      </c>
      <c r="J530" s="19"/>
    </row>
    <row r="531" ht="15.75" customHeight="1">
      <c r="A531" s="3"/>
      <c r="B531" s="19"/>
      <c r="C531" s="19"/>
      <c r="D531" s="27"/>
      <c r="E531" s="27"/>
      <c r="F531" s="28"/>
      <c r="G531" s="31" t="str">
        <f t="shared" si="2"/>
        <v/>
      </c>
      <c r="H531" s="30"/>
      <c r="I531" s="21" t="str">
        <f t="shared" si="1"/>
        <v/>
      </c>
      <c r="J531" s="19"/>
    </row>
    <row r="532" ht="15.75" customHeight="1">
      <c r="A532" s="3"/>
      <c r="B532" s="19"/>
      <c r="C532" s="19"/>
      <c r="D532" s="27"/>
      <c r="E532" s="27"/>
      <c r="F532" s="28"/>
      <c r="G532" s="31" t="str">
        <f t="shared" si="2"/>
        <v/>
      </c>
      <c r="H532" s="30"/>
      <c r="I532" s="21" t="str">
        <f t="shared" si="1"/>
        <v/>
      </c>
      <c r="J532" s="19"/>
    </row>
    <row r="533" ht="15.75" customHeight="1">
      <c r="A533" s="3"/>
      <c r="B533" s="19"/>
      <c r="C533" s="19"/>
      <c r="D533" s="27"/>
      <c r="E533" s="27"/>
      <c r="F533" s="28"/>
      <c r="G533" s="31" t="str">
        <f t="shared" si="2"/>
        <v/>
      </c>
      <c r="H533" s="30"/>
      <c r="I533" s="21" t="str">
        <f t="shared" si="1"/>
        <v/>
      </c>
      <c r="J533" s="19"/>
    </row>
    <row r="534" ht="15.75" customHeight="1">
      <c r="A534" s="3"/>
      <c r="B534" s="19"/>
      <c r="C534" s="19"/>
      <c r="D534" s="27"/>
      <c r="E534" s="27"/>
      <c r="F534" s="28"/>
      <c r="G534" s="31" t="str">
        <f t="shared" si="2"/>
        <v/>
      </c>
      <c r="H534" s="30"/>
      <c r="I534" s="21" t="str">
        <f t="shared" si="1"/>
        <v/>
      </c>
      <c r="J534" s="19"/>
    </row>
    <row r="535" ht="15.75" customHeight="1">
      <c r="A535" s="3"/>
      <c r="B535" s="19"/>
      <c r="C535" s="19"/>
      <c r="D535" s="27"/>
      <c r="E535" s="27"/>
      <c r="F535" s="28"/>
      <c r="G535" s="31" t="str">
        <f t="shared" si="2"/>
        <v/>
      </c>
      <c r="H535" s="30"/>
      <c r="I535" s="21" t="str">
        <f t="shared" si="1"/>
        <v/>
      </c>
      <c r="J535" s="19"/>
    </row>
    <row r="536" ht="15.75" customHeight="1">
      <c r="A536" s="3"/>
      <c r="B536" s="19"/>
      <c r="C536" s="19"/>
      <c r="D536" s="27"/>
      <c r="E536" s="27"/>
      <c r="F536" s="28"/>
      <c r="G536" s="31" t="str">
        <f t="shared" si="2"/>
        <v/>
      </c>
      <c r="H536" s="30"/>
      <c r="I536" s="21" t="str">
        <f t="shared" si="1"/>
        <v/>
      </c>
      <c r="J536" s="19"/>
    </row>
    <row r="537" ht="15.75" customHeight="1">
      <c r="A537" s="3"/>
      <c r="B537" s="19"/>
      <c r="C537" s="19"/>
      <c r="D537" s="27"/>
      <c r="E537" s="27"/>
      <c r="F537" s="28"/>
      <c r="G537" s="31" t="str">
        <f t="shared" si="2"/>
        <v/>
      </c>
      <c r="H537" s="30"/>
      <c r="I537" s="21" t="str">
        <f t="shared" si="1"/>
        <v/>
      </c>
      <c r="J537" s="19"/>
    </row>
    <row r="538" ht="15.75" customHeight="1">
      <c r="A538" s="3"/>
      <c r="B538" s="19"/>
      <c r="C538" s="19"/>
      <c r="D538" s="27"/>
      <c r="E538" s="27"/>
      <c r="F538" s="28"/>
      <c r="G538" s="31" t="str">
        <f t="shared" si="2"/>
        <v/>
      </c>
      <c r="H538" s="30"/>
      <c r="I538" s="21" t="str">
        <f t="shared" si="1"/>
        <v/>
      </c>
      <c r="J538" s="19"/>
    </row>
    <row r="539" ht="15.75" customHeight="1">
      <c r="A539" s="3"/>
      <c r="B539" s="19"/>
      <c r="C539" s="19"/>
      <c r="D539" s="27"/>
      <c r="E539" s="27"/>
      <c r="F539" s="28"/>
      <c r="G539" s="31" t="str">
        <f t="shared" si="2"/>
        <v/>
      </c>
      <c r="H539" s="30"/>
      <c r="I539" s="21" t="str">
        <f t="shared" si="1"/>
        <v/>
      </c>
      <c r="J539" s="19"/>
    </row>
    <row r="540" ht="15.75" customHeight="1">
      <c r="A540" s="3"/>
      <c r="B540" s="19"/>
      <c r="C540" s="19"/>
      <c r="D540" s="27"/>
      <c r="E540" s="27"/>
      <c r="F540" s="28"/>
      <c r="G540" s="31" t="str">
        <f t="shared" si="2"/>
        <v/>
      </c>
      <c r="H540" s="30"/>
      <c r="I540" s="21" t="str">
        <f t="shared" si="1"/>
        <v/>
      </c>
      <c r="J540" s="19"/>
    </row>
    <row r="541" ht="15.75" customHeight="1">
      <c r="A541" s="3"/>
      <c r="B541" s="19"/>
      <c r="C541" s="19"/>
      <c r="D541" s="27"/>
      <c r="E541" s="27"/>
      <c r="F541" s="28"/>
      <c r="G541" s="31" t="str">
        <f t="shared" si="2"/>
        <v/>
      </c>
      <c r="H541" s="30"/>
      <c r="I541" s="21" t="str">
        <f t="shared" si="1"/>
        <v/>
      </c>
      <c r="J541" s="19"/>
    </row>
    <row r="542" ht="15.75" customHeight="1">
      <c r="A542" s="3"/>
      <c r="B542" s="19"/>
      <c r="C542" s="19"/>
      <c r="D542" s="27"/>
      <c r="E542" s="27"/>
      <c r="F542" s="28"/>
      <c r="G542" s="31" t="str">
        <f t="shared" si="2"/>
        <v/>
      </c>
      <c r="H542" s="30"/>
      <c r="I542" s="21" t="str">
        <f t="shared" si="1"/>
        <v/>
      </c>
      <c r="J542" s="19"/>
    </row>
    <row r="543" ht="15.75" customHeight="1">
      <c r="A543" s="3"/>
      <c r="B543" s="19"/>
      <c r="C543" s="19"/>
      <c r="D543" s="27"/>
      <c r="E543" s="27"/>
      <c r="F543" s="28"/>
      <c r="G543" s="31" t="str">
        <f t="shared" si="2"/>
        <v/>
      </c>
      <c r="H543" s="30"/>
      <c r="I543" s="21" t="str">
        <f t="shared" si="1"/>
        <v/>
      </c>
      <c r="J543" s="19"/>
    </row>
    <row r="544" ht="15.75" customHeight="1">
      <c r="A544" s="3"/>
      <c r="B544" s="19"/>
      <c r="C544" s="19"/>
      <c r="D544" s="27"/>
      <c r="E544" s="27"/>
      <c r="F544" s="28"/>
      <c r="G544" s="31" t="str">
        <f t="shared" si="2"/>
        <v/>
      </c>
      <c r="H544" s="30"/>
      <c r="I544" s="21" t="str">
        <f t="shared" si="1"/>
        <v/>
      </c>
      <c r="J544" s="19"/>
    </row>
    <row r="545" ht="15.75" customHeight="1">
      <c r="A545" s="3"/>
      <c r="B545" s="19"/>
      <c r="C545" s="19"/>
      <c r="D545" s="27"/>
      <c r="E545" s="27"/>
      <c r="F545" s="28"/>
      <c r="G545" s="31" t="str">
        <f t="shared" si="2"/>
        <v/>
      </c>
      <c r="H545" s="30"/>
      <c r="I545" s="21" t="str">
        <f t="shared" si="1"/>
        <v/>
      </c>
      <c r="J545" s="19"/>
    </row>
    <row r="546" ht="15.75" customHeight="1">
      <c r="A546" s="3"/>
      <c r="B546" s="19"/>
      <c r="C546" s="19"/>
      <c r="D546" s="27"/>
      <c r="E546" s="27"/>
      <c r="F546" s="28"/>
      <c r="G546" s="31" t="str">
        <f t="shared" si="2"/>
        <v/>
      </c>
      <c r="H546" s="30"/>
      <c r="I546" s="21" t="str">
        <f t="shared" si="1"/>
        <v/>
      </c>
      <c r="J546" s="19"/>
    </row>
    <row r="547" ht="15.75" customHeight="1">
      <c r="A547" s="3"/>
      <c r="B547" s="19"/>
      <c r="C547" s="19"/>
      <c r="D547" s="27"/>
      <c r="E547" s="27"/>
      <c r="F547" s="28"/>
      <c r="G547" s="31" t="str">
        <f t="shared" si="2"/>
        <v/>
      </c>
      <c r="H547" s="30"/>
      <c r="I547" s="21" t="str">
        <f t="shared" si="1"/>
        <v/>
      </c>
      <c r="J547" s="19"/>
    </row>
    <row r="548" ht="15.75" customHeight="1">
      <c r="A548" s="3"/>
      <c r="B548" s="19"/>
      <c r="C548" s="19"/>
      <c r="D548" s="27"/>
      <c r="E548" s="27"/>
      <c r="F548" s="28"/>
      <c r="G548" s="31" t="str">
        <f t="shared" si="2"/>
        <v/>
      </c>
      <c r="H548" s="30"/>
      <c r="I548" s="21" t="str">
        <f t="shared" si="1"/>
        <v/>
      </c>
      <c r="J548" s="19"/>
    </row>
    <row r="549" ht="15.75" customHeight="1">
      <c r="A549" s="3"/>
      <c r="B549" s="19"/>
      <c r="C549" s="19"/>
      <c r="D549" s="27"/>
      <c r="E549" s="27"/>
      <c r="F549" s="28"/>
      <c r="G549" s="31" t="str">
        <f t="shared" si="2"/>
        <v/>
      </c>
      <c r="H549" s="30"/>
      <c r="I549" s="21" t="str">
        <f t="shared" si="1"/>
        <v/>
      </c>
      <c r="J549" s="19"/>
    </row>
    <row r="550" ht="15.75" customHeight="1">
      <c r="A550" s="3"/>
      <c r="B550" s="19"/>
      <c r="C550" s="19"/>
      <c r="D550" s="27"/>
      <c r="E550" s="27"/>
      <c r="F550" s="28"/>
      <c r="G550" s="31" t="str">
        <f t="shared" si="2"/>
        <v/>
      </c>
      <c r="H550" s="30"/>
      <c r="I550" s="21" t="str">
        <f t="shared" si="1"/>
        <v/>
      </c>
      <c r="J550" s="19"/>
    </row>
    <row r="551" ht="15.75" customHeight="1">
      <c r="A551" s="3"/>
      <c r="B551" s="19"/>
      <c r="C551" s="19"/>
      <c r="D551" s="27"/>
      <c r="E551" s="27"/>
      <c r="F551" s="28"/>
      <c r="G551" s="31" t="str">
        <f t="shared" si="2"/>
        <v/>
      </c>
      <c r="H551" s="30"/>
      <c r="I551" s="21" t="str">
        <f t="shared" si="1"/>
        <v/>
      </c>
      <c r="J551" s="19"/>
    </row>
    <row r="552" ht="15.75" customHeight="1">
      <c r="A552" s="3"/>
      <c r="B552" s="19"/>
      <c r="C552" s="19"/>
      <c r="D552" s="27"/>
      <c r="E552" s="27"/>
      <c r="F552" s="28"/>
      <c r="G552" s="31" t="str">
        <f t="shared" si="2"/>
        <v/>
      </c>
      <c r="H552" s="30"/>
      <c r="I552" s="21" t="str">
        <f t="shared" si="1"/>
        <v/>
      </c>
      <c r="J552" s="19"/>
    </row>
    <row r="553" ht="15.75" customHeight="1">
      <c r="A553" s="3"/>
      <c r="B553" s="19"/>
      <c r="C553" s="19"/>
      <c r="D553" s="27"/>
      <c r="E553" s="27"/>
      <c r="F553" s="28"/>
      <c r="G553" s="31" t="str">
        <f t="shared" si="2"/>
        <v/>
      </c>
      <c r="H553" s="30"/>
      <c r="I553" s="21" t="str">
        <f t="shared" si="1"/>
        <v/>
      </c>
      <c r="J553" s="19"/>
    </row>
    <row r="554" ht="15.75" customHeight="1">
      <c r="A554" s="3"/>
      <c r="B554" s="19"/>
      <c r="C554" s="19"/>
      <c r="D554" s="27"/>
      <c r="E554" s="27"/>
      <c r="F554" s="28"/>
      <c r="G554" s="31" t="str">
        <f t="shared" si="2"/>
        <v/>
      </c>
      <c r="H554" s="30"/>
      <c r="I554" s="21" t="str">
        <f t="shared" si="1"/>
        <v/>
      </c>
      <c r="J554" s="19"/>
    </row>
    <row r="555" ht="15.75" customHeight="1">
      <c r="A555" s="3"/>
      <c r="B555" s="19"/>
      <c r="C555" s="19"/>
      <c r="D555" s="27"/>
      <c r="E555" s="27"/>
      <c r="F555" s="28"/>
      <c r="G555" s="31" t="str">
        <f t="shared" si="2"/>
        <v/>
      </c>
      <c r="H555" s="30"/>
      <c r="I555" s="21" t="str">
        <f t="shared" si="1"/>
        <v/>
      </c>
      <c r="J555" s="19"/>
    </row>
    <row r="556" ht="15.75" customHeight="1">
      <c r="A556" s="3"/>
      <c r="B556" s="19"/>
      <c r="C556" s="19"/>
      <c r="D556" s="27"/>
      <c r="E556" s="27"/>
      <c r="F556" s="28"/>
      <c r="G556" s="31" t="str">
        <f t="shared" si="2"/>
        <v/>
      </c>
      <c r="H556" s="30"/>
      <c r="I556" s="21" t="str">
        <f t="shared" si="1"/>
        <v/>
      </c>
      <c r="J556" s="19"/>
    </row>
    <row r="557" ht="15.75" customHeight="1">
      <c r="A557" s="3"/>
      <c r="B557" s="19"/>
      <c r="C557" s="19"/>
      <c r="D557" s="27"/>
      <c r="E557" s="27"/>
      <c r="F557" s="28"/>
      <c r="G557" s="31" t="str">
        <f t="shared" si="2"/>
        <v/>
      </c>
      <c r="H557" s="30"/>
      <c r="I557" s="21" t="str">
        <f t="shared" si="1"/>
        <v/>
      </c>
      <c r="J557" s="19"/>
    </row>
    <row r="558" ht="15.75" customHeight="1">
      <c r="A558" s="3"/>
      <c r="B558" s="19"/>
      <c r="C558" s="19"/>
      <c r="D558" s="27"/>
      <c r="E558" s="27"/>
      <c r="F558" s="28"/>
      <c r="G558" s="31" t="str">
        <f t="shared" si="2"/>
        <v/>
      </c>
      <c r="H558" s="30"/>
      <c r="I558" s="21" t="str">
        <f t="shared" si="1"/>
        <v/>
      </c>
      <c r="J558" s="19"/>
    </row>
    <row r="559" ht="15.75" customHeight="1">
      <c r="A559" s="3"/>
      <c r="B559" s="19"/>
      <c r="C559" s="19"/>
      <c r="D559" s="27"/>
      <c r="E559" s="27"/>
      <c r="F559" s="28"/>
      <c r="G559" s="31" t="str">
        <f t="shared" si="2"/>
        <v/>
      </c>
      <c r="H559" s="30"/>
      <c r="I559" s="21" t="str">
        <f t="shared" si="1"/>
        <v/>
      </c>
      <c r="J559" s="19"/>
    </row>
    <row r="560" ht="15.75" customHeight="1">
      <c r="A560" s="3"/>
      <c r="B560" s="19"/>
      <c r="C560" s="19"/>
      <c r="D560" s="27"/>
      <c r="E560" s="27"/>
      <c r="F560" s="28"/>
      <c r="G560" s="31" t="str">
        <f t="shared" si="2"/>
        <v/>
      </c>
      <c r="H560" s="30"/>
      <c r="I560" s="21" t="str">
        <f t="shared" si="1"/>
        <v/>
      </c>
      <c r="J560" s="19"/>
    </row>
    <row r="561" ht="15.75" customHeight="1">
      <c r="A561" s="3"/>
      <c r="B561" s="19"/>
      <c r="C561" s="19"/>
      <c r="D561" s="27"/>
      <c r="E561" s="27"/>
      <c r="F561" s="28"/>
      <c r="G561" s="31" t="str">
        <f t="shared" si="2"/>
        <v/>
      </c>
      <c r="H561" s="30"/>
      <c r="I561" s="21" t="str">
        <f t="shared" si="1"/>
        <v/>
      </c>
      <c r="J561" s="19"/>
    </row>
    <row r="562" ht="15.75" customHeight="1">
      <c r="A562" s="3"/>
      <c r="B562" s="19"/>
      <c r="C562" s="19"/>
      <c r="D562" s="27"/>
      <c r="E562" s="27"/>
      <c r="F562" s="28"/>
      <c r="G562" s="31" t="str">
        <f t="shared" si="2"/>
        <v/>
      </c>
      <c r="H562" s="30"/>
      <c r="I562" s="21" t="str">
        <f t="shared" si="1"/>
        <v/>
      </c>
      <c r="J562" s="19"/>
    </row>
    <row r="563" ht="15.75" customHeight="1">
      <c r="A563" s="3"/>
      <c r="B563" s="19"/>
      <c r="C563" s="19"/>
      <c r="D563" s="27"/>
      <c r="E563" s="27"/>
      <c r="F563" s="28"/>
      <c r="G563" s="31" t="str">
        <f t="shared" si="2"/>
        <v/>
      </c>
      <c r="H563" s="30"/>
      <c r="I563" s="21" t="str">
        <f t="shared" si="1"/>
        <v/>
      </c>
      <c r="J563" s="19"/>
    </row>
    <row r="564" ht="15.75" customHeight="1">
      <c r="A564" s="3"/>
      <c r="B564" s="19"/>
      <c r="C564" s="19"/>
      <c r="D564" s="27"/>
      <c r="E564" s="27"/>
      <c r="F564" s="28"/>
      <c r="G564" s="31" t="str">
        <f t="shared" si="2"/>
        <v/>
      </c>
      <c r="H564" s="30"/>
      <c r="I564" s="21" t="str">
        <f t="shared" si="1"/>
        <v/>
      </c>
      <c r="J564" s="19"/>
    </row>
    <row r="565" ht="15.75" customHeight="1">
      <c r="A565" s="3"/>
      <c r="B565" s="19"/>
      <c r="C565" s="19"/>
      <c r="D565" s="27"/>
      <c r="E565" s="27"/>
      <c r="F565" s="28"/>
      <c r="G565" s="31" t="str">
        <f t="shared" si="2"/>
        <v/>
      </c>
      <c r="H565" s="30"/>
      <c r="I565" s="21" t="str">
        <f t="shared" si="1"/>
        <v/>
      </c>
      <c r="J565" s="19"/>
    </row>
    <row r="566" ht="15.75" customHeight="1">
      <c r="A566" s="3"/>
      <c r="B566" s="19"/>
      <c r="C566" s="19"/>
      <c r="D566" s="27"/>
      <c r="E566" s="27"/>
      <c r="F566" s="28"/>
      <c r="G566" s="31" t="str">
        <f t="shared" si="2"/>
        <v/>
      </c>
      <c r="H566" s="30"/>
      <c r="I566" s="21" t="str">
        <f t="shared" si="1"/>
        <v/>
      </c>
      <c r="J566" s="19"/>
    </row>
    <row r="567" ht="15.75" customHeight="1">
      <c r="A567" s="3"/>
      <c r="B567" s="19"/>
      <c r="C567" s="19"/>
      <c r="D567" s="27"/>
      <c r="E567" s="27"/>
      <c r="F567" s="28"/>
      <c r="G567" s="31" t="str">
        <f t="shared" si="2"/>
        <v/>
      </c>
      <c r="H567" s="30"/>
      <c r="I567" s="21" t="str">
        <f t="shared" si="1"/>
        <v/>
      </c>
      <c r="J567" s="19"/>
    </row>
    <row r="568" ht="15.75" customHeight="1">
      <c r="A568" s="3"/>
      <c r="B568" s="19"/>
      <c r="C568" s="19"/>
      <c r="D568" s="27"/>
      <c r="E568" s="27"/>
      <c r="F568" s="28"/>
      <c r="G568" s="31" t="str">
        <f t="shared" si="2"/>
        <v/>
      </c>
      <c r="H568" s="30"/>
      <c r="I568" s="21" t="str">
        <f t="shared" si="1"/>
        <v/>
      </c>
      <c r="J568" s="19"/>
    </row>
    <row r="569" ht="15.75" customHeight="1">
      <c r="A569" s="3"/>
      <c r="B569" s="19"/>
      <c r="C569" s="19"/>
      <c r="D569" s="27"/>
      <c r="E569" s="27"/>
      <c r="F569" s="28"/>
      <c r="G569" s="31" t="str">
        <f t="shared" si="2"/>
        <v/>
      </c>
      <c r="H569" s="30"/>
      <c r="I569" s="21" t="str">
        <f t="shared" si="1"/>
        <v/>
      </c>
      <c r="J569" s="19"/>
    </row>
    <row r="570" ht="15.75" customHeight="1">
      <c r="A570" s="3"/>
      <c r="B570" s="19"/>
      <c r="C570" s="19"/>
      <c r="D570" s="27"/>
      <c r="E570" s="27"/>
      <c r="F570" s="28"/>
      <c r="G570" s="31" t="str">
        <f t="shared" si="2"/>
        <v/>
      </c>
      <c r="H570" s="30"/>
      <c r="I570" s="21" t="str">
        <f t="shared" si="1"/>
        <v/>
      </c>
      <c r="J570" s="19"/>
    </row>
    <row r="571" ht="15.75" customHeight="1">
      <c r="A571" s="3"/>
      <c r="B571" s="19"/>
      <c r="C571" s="19"/>
      <c r="D571" s="27"/>
      <c r="E571" s="27"/>
      <c r="F571" s="28"/>
      <c r="G571" s="31" t="str">
        <f t="shared" si="2"/>
        <v/>
      </c>
      <c r="H571" s="30"/>
      <c r="I571" s="21" t="str">
        <f t="shared" si="1"/>
        <v/>
      </c>
      <c r="J571" s="19"/>
    </row>
    <row r="572" ht="15.75" customHeight="1">
      <c r="A572" s="3"/>
      <c r="B572" s="19"/>
      <c r="C572" s="19"/>
      <c r="D572" s="27"/>
      <c r="E572" s="27"/>
      <c r="F572" s="28"/>
      <c r="G572" s="31" t="str">
        <f t="shared" si="2"/>
        <v/>
      </c>
      <c r="H572" s="30"/>
      <c r="I572" s="21" t="str">
        <f t="shared" si="1"/>
        <v/>
      </c>
      <c r="J572" s="19"/>
    </row>
    <row r="573" ht="15.75" customHeight="1">
      <c r="A573" s="3"/>
      <c r="B573" s="19"/>
      <c r="C573" s="19"/>
      <c r="D573" s="27"/>
      <c r="E573" s="27"/>
      <c r="F573" s="28"/>
      <c r="G573" s="31" t="str">
        <f t="shared" si="2"/>
        <v/>
      </c>
      <c r="H573" s="30"/>
      <c r="I573" s="21" t="str">
        <f t="shared" si="1"/>
        <v/>
      </c>
      <c r="J573" s="19"/>
    </row>
    <row r="574" ht="15.75" customHeight="1">
      <c r="A574" s="3"/>
      <c r="B574" s="19"/>
      <c r="C574" s="19"/>
      <c r="D574" s="27"/>
      <c r="E574" s="27"/>
      <c r="F574" s="28"/>
      <c r="G574" s="31" t="str">
        <f t="shared" si="2"/>
        <v/>
      </c>
      <c r="H574" s="30"/>
      <c r="I574" s="21" t="str">
        <f t="shared" si="1"/>
        <v/>
      </c>
      <c r="J574" s="19"/>
    </row>
    <row r="575" ht="15.75" customHeight="1">
      <c r="A575" s="3"/>
      <c r="B575" s="19"/>
      <c r="C575" s="19"/>
      <c r="D575" s="27"/>
      <c r="E575" s="27"/>
      <c r="F575" s="28"/>
      <c r="G575" s="31" t="str">
        <f t="shared" si="2"/>
        <v/>
      </c>
      <c r="H575" s="30"/>
      <c r="I575" s="21" t="str">
        <f t="shared" si="1"/>
        <v/>
      </c>
      <c r="J575" s="19"/>
    </row>
    <row r="576" ht="15.75" customHeight="1">
      <c r="A576" s="3"/>
      <c r="B576" s="19"/>
      <c r="C576" s="19"/>
      <c r="D576" s="27"/>
      <c r="E576" s="27"/>
      <c r="F576" s="28"/>
      <c r="G576" s="31" t="str">
        <f t="shared" si="2"/>
        <v/>
      </c>
      <c r="H576" s="30"/>
      <c r="I576" s="21" t="str">
        <f t="shared" si="1"/>
        <v/>
      </c>
      <c r="J576" s="19"/>
    </row>
    <row r="577" ht="15.75" customHeight="1">
      <c r="A577" s="3"/>
      <c r="B577" s="19"/>
      <c r="C577" s="19"/>
      <c r="D577" s="27"/>
      <c r="E577" s="27"/>
      <c r="F577" s="28"/>
      <c r="G577" s="31" t="str">
        <f t="shared" si="2"/>
        <v/>
      </c>
      <c r="H577" s="30"/>
      <c r="I577" s="21" t="str">
        <f t="shared" si="1"/>
        <v/>
      </c>
      <c r="J577" s="19"/>
    </row>
    <row r="578" ht="15.75" customHeight="1">
      <c r="A578" s="3"/>
      <c r="B578" s="19"/>
      <c r="C578" s="19"/>
      <c r="D578" s="27"/>
      <c r="E578" s="27"/>
      <c r="F578" s="28"/>
      <c r="G578" s="31" t="str">
        <f t="shared" si="2"/>
        <v/>
      </c>
      <c r="H578" s="30"/>
      <c r="I578" s="21" t="str">
        <f t="shared" si="1"/>
        <v/>
      </c>
      <c r="J578" s="19"/>
    </row>
    <row r="579" ht="15.75" customHeight="1">
      <c r="A579" s="3"/>
      <c r="B579" s="19"/>
      <c r="C579" s="19"/>
      <c r="D579" s="27"/>
      <c r="E579" s="27"/>
      <c r="F579" s="28"/>
      <c r="G579" s="31" t="str">
        <f t="shared" si="2"/>
        <v/>
      </c>
      <c r="H579" s="30"/>
      <c r="I579" s="21" t="str">
        <f t="shared" si="1"/>
        <v/>
      </c>
      <c r="J579" s="19"/>
    </row>
    <row r="580" ht="15.75" customHeight="1">
      <c r="A580" s="3"/>
      <c r="B580" s="19"/>
      <c r="C580" s="19"/>
      <c r="D580" s="27"/>
      <c r="E580" s="27"/>
      <c r="F580" s="28"/>
      <c r="G580" s="31" t="str">
        <f t="shared" si="2"/>
        <v/>
      </c>
      <c r="H580" s="30"/>
      <c r="I580" s="21" t="str">
        <f t="shared" si="1"/>
        <v/>
      </c>
      <c r="J580" s="19"/>
    </row>
    <row r="581" ht="15.75" customHeight="1">
      <c r="A581" s="3"/>
      <c r="B581" s="19"/>
      <c r="C581" s="19"/>
      <c r="D581" s="27"/>
      <c r="E581" s="27"/>
      <c r="F581" s="28"/>
      <c r="G581" s="31" t="str">
        <f t="shared" si="2"/>
        <v/>
      </c>
      <c r="H581" s="30"/>
      <c r="I581" s="21" t="str">
        <f t="shared" si="1"/>
        <v/>
      </c>
      <c r="J581" s="19"/>
    </row>
    <row r="582" ht="15.75" customHeight="1">
      <c r="A582" s="3"/>
      <c r="B582" s="19"/>
      <c r="C582" s="19"/>
      <c r="D582" s="27"/>
      <c r="E582" s="27"/>
      <c r="F582" s="28"/>
      <c r="G582" s="31" t="str">
        <f t="shared" si="2"/>
        <v/>
      </c>
      <c r="H582" s="30"/>
      <c r="I582" s="21" t="str">
        <f t="shared" si="1"/>
        <v/>
      </c>
      <c r="J582" s="19"/>
    </row>
    <row r="583" ht="15.75" customHeight="1">
      <c r="A583" s="3"/>
      <c r="B583" s="19"/>
      <c r="C583" s="19"/>
      <c r="D583" s="27"/>
      <c r="E583" s="27"/>
      <c r="F583" s="28"/>
      <c r="G583" s="31" t="str">
        <f t="shared" si="2"/>
        <v/>
      </c>
      <c r="H583" s="30"/>
      <c r="I583" s="21" t="str">
        <f t="shared" si="1"/>
        <v/>
      </c>
      <c r="J583" s="19"/>
    </row>
    <row r="584" ht="15.75" customHeight="1">
      <c r="A584" s="3"/>
      <c r="B584" s="19"/>
      <c r="C584" s="19"/>
      <c r="D584" s="27"/>
      <c r="E584" s="27"/>
      <c r="F584" s="28"/>
      <c r="G584" s="31" t="str">
        <f t="shared" si="2"/>
        <v/>
      </c>
      <c r="H584" s="30"/>
      <c r="I584" s="21" t="str">
        <f t="shared" si="1"/>
        <v/>
      </c>
      <c r="J584" s="19"/>
    </row>
    <row r="585" ht="15.75" customHeight="1">
      <c r="A585" s="3"/>
      <c r="B585" s="19"/>
      <c r="C585" s="19"/>
      <c r="D585" s="27"/>
      <c r="E585" s="27"/>
      <c r="F585" s="28"/>
      <c r="G585" s="31" t="str">
        <f t="shared" si="2"/>
        <v/>
      </c>
      <c r="H585" s="30"/>
      <c r="I585" s="21" t="str">
        <f t="shared" si="1"/>
        <v/>
      </c>
      <c r="J585" s="19"/>
    </row>
    <row r="586" ht="15.75" customHeight="1">
      <c r="A586" s="3"/>
      <c r="B586" s="19"/>
      <c r="C586" s="19"/>
      <c r="D586" s="27"/>
      <c r="E586" s="27"/>
      <c r="F586" s="28"/>
      <c r="G586" s="31" t="str">
        <f t="shared" si="2"/>
        <v/>
      </c>
      <c r="H586" s="30"/>
      <c r="I586" s="21" t="str">
        <f t="shared" si="1"/>
        <v/>
      </c>
      <c r="J586" s="19"/>
    </row>
    <row r="587" ht="15.75" customHeight="1">
      <c r="A587" s="3"/>
      <c r="B587" s="19"/>
      <c r="C587" s="19"/>
      <c r="D587" s="27"/>
      <c r="E587" s="27"/>
      <c r="F587" s="28"/>
      <c r="G587" s="31" t="str">
        <f t="shared" si="2"/>
        <v/>
      </c>
      <c r="H587" s="30"/>
      <c r="I587" s="21" t="str">
        <f t="shared" si="1"/>
        <v/>
      </c>
      <c r="J587" s="19"/>
    </row>
    <row r="588" ht="15.75" customHeight="1">
      <c r="A588" s="3"/>
      <c r="B588" s="19"/>
      <c r="C588" s="19"/>
      <c r="D588" s="27"/>
      <c r="E588" s="27"/>
      <c r="F588" s="28"/>
      <c r="G588" s="31" t="str">
        <f t="shared" si="2"/>
        <v/>
      </c>
      <c r="H588" s="30"/>
      <c r="I588" s="21" t="str">
        <f t="shared" si="1"/>
        <v/>
      </c>
      <c r="J588" s="19"/>
    </row>
    <row r="589" ht="15.75" customHeight="1">
      <c r="A589" s="3"/>
      <c r="B589" s="19"/>
      <c r="C589" s="19"/>
      <c r="D589" s="27"/>
      <c r="E589" s="27"/>
      <c r="F589" s="28"/>
      <c r="G589" s="31" t="str">
        <f t="shared" si="2"/>
        <v/>
      </c>
      <c r="H589" s="30"/>
      <c r="I589" s="21" t="str">
        <f t="shared" si="1"/>
        <v/>
      </c>
      <c r="J589" s="19"/>
    </row>
    <row r="590" ht="15.75" customHeight="1">
      <c r="A590" s="3"/>
      <c r="B590" s="19"/>
      <c r="C590" s="19"/>
      <c r="D590" s="27"/>
      <c r="E590" s="27"/>
      <c r="F590" s="28"/>
      <c r="G590" s="31" t="str">
        <f t="shared" si="2"/>
        <v/>
      </c>
      <c r="H590" s="30"/>
      <c r="I590" s="21" t="str">
        <f t="shared" si="1"/>
        <v/>
      </c>
      <c r="J590" s="19"/>
    </row>
    <row r="591" ht="15.75" customHeight="1">
      <c r="A591" s="3"/>
      <c r="B591" s="19"/>
      <c r="C591" s="19"/>
      <c r="D591" s="27"/>
      <c r="E591" s="27"/>
      <c r="F591" s="28"/>
      <c r="G591" s="31" t="str">
        <f t="shared" si="2"/>
        <v/>
      </c>
      <c r="H591" s="30"/>
      <c r="I591" s="21" t="str">
        <f t="shared" si="1"/>
        <v/>
      </c>
      <c r="J591" s="19"/>
    </row>
    <row r="592" ht="15.75" customHeight="1">
      <c r="A592" s="3"/>
      <c r="B592" s="19"/>
      <c r="C592" s="19"/>
      <c r="D592" s="27"/>
      <c r="E592" s="27"/>
      <c r="F592" s="28"/>
      <c r="G592" s="31" t="str">
        <f t="shared" si="2"/>
        <v/>
      </c>
      <c r="H592" s="30"/>
      <c r="I592" s="21" t="str">
        <f t="shared" si="1"/>
        <v/>
      </c>
      <c r="J592" s="19"/>
    </row>
    <row r="593" ht="15.75" customHeight="1">
      <c r="A593" s="3"/>
      <c r="B593" s="19"/>
      <c r="C593" s="19"/>
      <c r="D593" s="27"/>
      <c r="E593" s="27"/>
      <c r="F593" s="28"/>
      <c r="G593" s="31" t="str">
        <f t="shared" si="2"/>
        <v/>
      </c>
      <c r="H593" s="30"/>
      <c r="I593" s="21" t="str">
        <f t="shared" si="1"/>
        <v/>
      </c>
      <c r="J593" s="19"/>
    </row>
    <row r="594" ht="15.75" customHeight="1">
      <c r="A594" s="3"/>
      <c r="B594" s="19"/>
      <c r="C594" s="19"/>
      <c r="D594" s="27"/>
      <c r="E594" s="27"/>
      <c r="F594" s="28"/>
      <c r="G594" s="31" t="str">
        <f t="shared" si="2"/>
        <v/>
      </c>
      <c r="H594" s="30"/>
      <c r="I594" s="21" t="str">
        <f t="shared" si="1"/>
        <v/>
      </c>
      <c r="J594" s="19"/>
    </row>
    <row r="595" ht="15.75" customHeight="1">
      <c r="A595" s="3"/>
      <c r="B595" s="19"/>
      <c r="C595" s="19"/>
      <c r="D595" s="27"/>
      <c r="E595" s="27"/>
      <c r="F595" s="28"/>
      <c r="G595" s="31" t="str">
        <f t="shared" si="2"/>
        <v/>
      </c>
      <c r="H595" s="30"/>
      <c r="I595" s="21" t="str">
        <f t="shared" si="1"/>
        <v/>
      </c>
      <c r="J595" s="19"/>
    </row>
    <row r="596" ht="15.75" customHeight="1">
      <c r="A596" s="3"/>
      <c r="B596" s="19"/>
      <c r="C596" s="19"/>
      <c r="D596" s="27"/>
      <c r="E596" s="27"/>
      <c r="F596" s="28"/>
      <c r="G596" s="31" t="str">
        <f t="shared" si="2"/>
        <v/>
      </c>
      <c r="H596" s="30"/>
      <c r="I596" s="21" t="str">
        <f t="shared" si="1"/>
        <v/>
      </c>
      <c r="J596" s="19"/>
    </row>
    <row r="597" ht="15.75" customHeight="1">
      <c r="A597" s="3"/>
      <c r="B597" s="19"/>
      <c r="C597" s="19"/>
      <c r="D597" s="27"/>
      <c r="E597" s="27"/>
      <c r="F597" s="28"/>
      <c r="G597" s="31" t="str">
        <f t="shared" si="2"/>
        <v/>
      </c>
      <c r="H597" s="30"/>
      <c r="I597" s="21" t="str">
        <f t="shared" si="1"/>
        <v/>
      </c>
      <c r="J597" s="19"/>
    </row>
    <row r="598" ht="15.75" customHeight="1">
      <c r="A598" s="3"/>
      <c r="B598" s="19"/>
      <c r="C598" s="19"/>
      <c r="D598" s="27"/>
      <c r="E598" s="27"/>
      <c r="F598" s="28"/>
      <c r="G598" s="31" t="str">
        <f t="shared" si="2"/>
        <v/>
      </c>
      <c r="H598" s="30"/>
      <c r="I598" s="21" t="str">
        <f t="shared" si="1"/>
        <v/>
      </c>
      <c r="J598" s="19"/>
    </row>
    <row r="599" ht="15.75" customHeight="1">
      <c r="A599" s="3"/>
      <c r="B599" s="19"/>
      <c r="C599" s="19"/>
      <c r="D599" s="27"/>
      <c r="E599" s="27"/>
      <c r="F599" s="28"/>
      <c r="G599" s="31" t="str">
        <f t="shared" si="2"/>
        <v/>
      </c>
      <c r="H599" s="30"/>
      <c r="I599" s="21" t="str">
        <f t="shared" si="1"/>
        <v/>
      </c>
      <c r="J599" s="19"/>
    </row>
    <row r="600" ht="15.75" customHeight="1">
      <c r="A600" s="3"/>
      <c r="B600" s="19"/>
      <c r="C600" s="19"/>
      <c r="D600" s="27"/>
      <c r="E600" s="27"/>
      <c r="F600" s="28"/>
      <c r="G600" s="31" t="str">
        <f t="shared" si="2"/>
        <v/>
      </c>
      <c r="H600" s="30"/>
      <c r="I600" s="21" t="str">
        <f t="shared" si="1"/>
        <v/>
      </c>
      <c r="J600" s="19"/>
    </row>
    <row r="601" ht="15.75" customHeight="1">
      <c r="A601" s="3"/>
      <c r="B601" s="19"/>
      <c r="C601" s="19"/>
      <c r="D601" s="27"/>
      <c r="E601" s="27"/>
      <c r="F601" s="28"/>
      <c r="G601" s="31" t="str">
        <f t="shared" si="2"/>
        <v/>
      </c>
      <c r="H601" s="30"/>
      <c r="I601" s="21" t="str">
        <f t="shared" si="1"/>
        <v/>
      </c>
      <c r="J601" s="19"/>
    </row>
    <row r="602" ht="15.75" customHeight="1">
      <c r="A602" s="3"/>
      <c r="B602" s="19"/>
      <c r="C602" s="19"/>
      <c r="D602" s="27"/>
      <c r="E602" s="27"/>
      <c r="F602" s="28"/>
      <c r="G602" s="31" t="str">
        <f t="shared" si="2"/>
        <v/>
      </c>
      <c r="H602" s="30"/>
      <c r="I602" s="21" t="str">
        <f t="shared" si="1"/>
        <v/>
      </c>
      <c r="J602" s="19"/>
    </row>
    <row r="603" ht="15.75" customHeight="1">
      <c r="A603" s="3"/>
      <c r="B603" s="19"/>
      <c r="C603" s="19"/>
      <c r="D603" s="27"/>
      <c r="E603" s="27"/>
      <c r="F603" s="28"/>
      <c r="G603" s="31" t="str">
        <f t="shared" si="2"/>
        <v/>
      </c>
      <c r="H603" s="30"/>
      <c r="I603" s="21" t="str">
        <f t="shared" si="1"/>
        <v/>
      </c>
      <c r="J603" s="19"/>
    </row>
    <row r="604" ht="15.75" customHeight="1">
      <c r="A604" s="3"/>
      <c r="B604" s="19"/>
      <c r="C604" s="19"/>
      <c r="D604" s="27"/>
      <c r="E604" s="27"/>
      <c r="F604" s="28"/>
      <c r="G604" s="31" t="str">
        <f t="shared" si="2"/>
        <v/>
      </c>
      <c r="H604" s="30"/>
      <c r="I604" s="21" t="str">
        <f t="shared" si="1"/>
        <v/>
      </c>
      <c r="J604" s="19"/>
    </row>
    <row r="605" ht="15.75" customHeight="1">
      <c r="A605" s="3"/>
      <c r="B605" s="19"/>
      <c r="C605" s="19"/>
      <c r="D605" s="27"/>
      <c r="E605" s="27"/>
      <c r="F605" s="28"/>
      <c r="G605" s="31" t="str">
        <f t="shared" si="2"/>
        <v/>
      </c>
      <c r="H605" s="30"/>
      <c r="I605" s="21" t="str">
        <f t="shared" si="1"/>
        <v/>
      </c>
      <c r="J605" s="19"/>
    </row>
    <row r="606" ht="15.75" customHeight="1">
      <c r="A606" s="3"/>
      <c r="B606" s="19"/>
      <c r="C606" s="19"/>
      <c r="D606" s="27"/>
      <c r="E606" s="27"/>
      <c r="F606" s="28"/>
      <c r="G606" s="31" t="str">
        <f t="shared" si="2"/>
        <v/>
      </c>
      <c r="H606" s="30"/>
      <c r="I606" s="21" t="str">
        <f t="shared" si="1"/>
        <v/>
      </c>
      <c r="J606" s="19"/>
    </row>
    <row r="607" ht="15.75" customHeight="1">
      <c r="A607" s="3"/>
      <c r="B607" s="19"/>
      <c r="C607" s="19"/>
      <c r="D607" s="27"/>
      <c r="E607" s="27"/>
      <c r="F607" s="28"/>
      <c r="G607" s="31" t="str">
        <f t="shared" si="2"/>
        <v/>
      </c>
      <c r="H607" s="30"/>
      <c r="I607" s="21" t="str">
        <f t="shared" si="1"/>
        <v/>
      </c>
      <c r="J607" s="19"/>
    </row>
    <row r="608" ht="15.75" customHeight="1">
      <c r="A608" s="3"/>
      <c r="B608" s="19"/>
      <c r="C608" s="19"/>
      <c r="D608" s="27"/>
      <c r="E608" s="27"/>
      <c r="F608" s="28"/>
      <c r="G608" s="31" t="str">
        <f t="shared" si="2"/>
        <v/>
      </c>
      <c r="H608" s="30"/>
      <c r="I608" s="21" t="str">
        <f t="shared" si="1"/>
        <v/>
      </c>
      <c r="J608" s="19"/>
    </row>
    <row r="609" ht="15.75" customHeight="1">
      <c r="A609" s="3"/>
      <c r="B609" s="19"/>
      <c r="C609" s="19"/>
      <c r="D609" s="27"/>
      <c r="E609" s="27"/>
      <c r="F609" s="28"/>
      <c r="G609" s="31" t="str">
        <f t="shared" si="2"/>
        <v/>
      </c>
      <c r="H609" s="30"/>
      <c r="I609" s="21" t="str">
        <f t="shared" si="1"/>
        <v/>
      </c>
      <c r="J609" s="19"/>
    </row>
    <row r="610" ht="15.75" customHeight="1">
      <c r="A610" s="3"/>
      <c r="B610" s="19"/>
      <c r="C610" s="19"/>
      <c r="D610" s="27"/>
      <c r="E610" s="27"/>
      <c r="F610" s="28"/>
      <c r="G610" s="31" t="str">
        <f t="shared" si="2"/>
        <v/>
      </c>
      <c r="H610" s="30"/>
      <c r="I610" s="21" t="str">
        <f t="shared" si="1"/>
        <v/>
      </c>
      <c r="J610" s="19"/>
    </row>
    <row r="611" ht="15.75" customHeight="1">
      <c r="A611" s="3"/>
      <c r="B611" s="19"/>
      <c r="C611" s="19"/>
      <c r="D611" s="27"/>
      <c r="E611" s="27"/>
      <c r="F611" s="28"/>
      <c r="G611" s="31" t="str">
        <f t="shared" si="2"/>
        <v/>
      </c>
      <c r="H611" s="30"/>
      <c r="I611" s="21" t="str">
        <f t="shared" si="1"/>
        <v/>
      </c>
      <c r="J611" s="19"/>
    </row>
    <row r="612" ht="15.75" customHeight="1">
      <c r="A612" s="3"/>
      <c r="B612" s="19"/>
      <c r="C612" s="19"/>
      <c r="D612" s="27"/>
      <c r="E612" s="27"/>
      <c r="F612" s="28"/>
      <c r="G612" s="31" t="str">
        <f t="shared" si="2"/>
        <v/>
      </c>
      <c r="H612" s="30"/>
      <c r="I612" s="21" t="str">
        <f t="shared" si="1"/>
        <v/>
      </c>
      <c r="J612" s="19"/>
    </row>
    <row r="613" ht="15.75" customHeight="1">
      <c r="A613" s="3"/>
      <c r="B613" s="19"/>
      <c r="C613" s="19"/>
      <c r="D613" s="27"/>
      <c r="E613" s="27"/>
      <c r="F613" s="28"/>
      <c r="G613" s="31" t="str">
        <f t="shared" si="2"/>
        <v/>
      </c>
      <c r="H613" s="30"/>
      <c r="I613" s="21" t="str">
        <f t="shared" si="1"/>
        <v/>
      </c>
      <c r="J613" s="19"/>
    </row>
    <row r="614" ht="15.75" customHeight="1">
      <c r="A614" s="3"/>
      <c r="B614" s="19"/>
      <c r="C614" s="19"/>
      <c r="D614" s="27"/>
      <c r="E614" s="27"/>
      <c r="F614" s="28"/>
      <c r="G614" s="31" t="str">
        <f t="shared" si="2"/>
        <v/>
      </c>
      <c r="H614" s="30"/>
      <c r="I614" s="21" t="str">
        <f t="shared" si="1"/>
        <v/>
      </c>
      <c r="J614" s="19"/>
    </row>
    <row r="615" ht="15.75" customHeight="1">
      <c r="A615" s="3"/>
      <c r="B615" s="19"/>
      <c r="C615" s="19"/>
      <c r="D615" s="27"/>
      <c r="E615" s="27"/>
      <c r="F615" s="28"/>
      <c r="G615" s="31" t="str">
        <f t="shared" si="2"/>
        <v/>
      </c>
      <c r="H615" s="30"/>
      <c r="I615" s="21" t="str">
        <f t="shared" si="1"/>
        <v/>
      </c>
      <c r="J615" s="19"/>
    </row>
    <row r="616" ht="15.75" customHeight="1">
      <c r="A616" s="3"/>
      <c r="B616" s="19"/>
      <c r="C616" s="19"/>
      <c r="D616" s="27"/>
      <c r="E616" s="27"/>
      <c r="F616" s="28"/>
      <c r="G616" s="31" t="str">
        <f t="shared" si="2"/>
        <v/>
      </c>
      <c r="H616" s="30"/>
      <c r="I616" s="21" t="str">
        <f t="shared" si="1"/>
        <v/>
      </c>
      <c r="J616" s="19"/>
    </row>
    <row r="617" ht="15.75" customHeight="1">
      <c r="A617" s="3"/>
      <c r="B617" s="19"/>
      <c r="C617" s="19"/>
      <c r="D617" s="27"/>
      <c r="E617" s="27"/>
      <c r="F617" s="28"/>
      <c r="G617" s="31" t="str">
        <f t="shared" si="2"/>
        <v/>
      </c>
      <c r="H617" s="30"/>
      <c r="I617" s="21" t="str">
        <f t="shared" si="1"/>
        <v/>
      </c>
      <c r="J617" s="19"/>
    </row>
    <row r="618" ht="15.75" customHeight="1">
      <c r="A618" s="3"/>
      <c r="B618" s="19"/>
      <c r="C618" s="19"/>
      <c r="D618" s="27"/>
      <c r="E618" s="27"/>
      <c r="F618" s="28"/>
      <c r="G618" s="31" t="str">
        <f t="shared" si="2"/>
        <v/>
      </c>
      <c r="H618" s="30"/>
      <c r="I618" s="21" t="str">
        <f t="shared" si="1"/>
        <v/>
      </c>
      <c r="J618" s="19"/>
    </row>
    <row r="619" ht="15.75" customHeight="1">
      <c r="A619" s="3"/>
      <c r="B619" s="19"/>
      <c r="C619" s="19"/>
      <c r="D619" s="27"/>
      <c r="E619" s="27"/>
      <c r="F619" s="28"/>
      <c r="G619" s="31" t="str">
        <f t="shared" si="2"/>
        <v/>
      </c>
      <c r="H619" s="30"/>
      <c r="I619" s="21" t="str">
        <f t="shared" si="1"/>
        <v/>
      </c>
      <c r="J619" s="19"/>
    </row>
    <row r="620" ht="15.75" customHeight="1">
      <c r="A620" s="3"/>
      <c r="B620" s="19"/>
      <c r="C620" s="19"/>
      <c r="D620" s="27"/>
      <c r="E620" s="27"/>
      <c r="F620" s="28"/>
      <c r="G620" s="31" t="str">
        <f t="shared" si="2"/>
        <v/>
      </c>
      <c r="H620" s="30"/>
      <c r="I620" s="21" t="str">
        <f t="shared" si="1"/>
        <v/>
      </c>
      <c r="J620" s="19"/>
    </row>
    <row r="621" ht="15.75" customHeight="1">
      <c r="A621" s="3"/>
      <c r="B621" s="19"/>
      <c r="C621" s="19"/>
      <c r="D621" s="27"/>
      <c r="E621" s="27"/>
      <c r="F621" s="28"/>
      <c r="G621" s="31" t="str">
        <f t="shared" si="2"/>
        <v/>
      </c>
      <c r="H621" s="30"/>
      <c r="I621" s="21" t="str">
        <f t="shared" si="1"/>
        <v/>
      </c>
      <c r="J621" s="19"/>
    </row>
    <row r="622" ht="15.75" customHeight="1">
      <c r="A622" s="3"/>
      <c r="B622" s="19"/>
      <c r="C622" s="19"/>
      <c r="D622" s="27"/>
      <c r="E622" s="27"/>
      <c r="F622" s="28"/>
      <c r="G622" s="31" t="str">
        <f t="shared" si="2"/>
        <v/>
      </c>
      <c r="H622" s="30"/>
      <c r="I622" s="21" t="str">
        <f t="shared" si="1"/>
        <v/>
      </c>
      <c r="J622" s="19"/>
    </row>
    <row r="623" ht="15.75" customHeight="1">
      <c r="A623" s="3"/>
      <c r="B623" s="19"/>
      <c r="C623" s="19"/>
      <c r="D623" s="27"/>
      <c r="E623" s="27"/>
      <c r="F623" s="28"/>
      <c r="G623" s="31" t="str">
        <f t="shared" si="2"/>
        <v/>
      </c>
      <c r="H623" s="30"/>
      <c r="I623" s="21" t="str">
        <f t="shared" si="1"/>
        <v/>
      </c>
      <c r="J623" s="19"/>
    </row>
    <row r="624" ht="15.75" customHeight="1">
      <c r="A624" s="3"/>
      <c r="B624" s="19"/>
      <c r="C624" s="19"/>
      <c r="D624" s="27"/>
      <c r="E624" s="27"/>
      <c r="F624" s="28"/>
      <c r="G624" s="31" t="str">
        <f t="shared" si="2"/>
        <v/>
      </c>
      <c r="H624" s="30"/>
      <c r="I624" s="21" t="str">
        <f t="shared" si="1"/>
        <v/>
      </c>
      <c r="J624" s="19"/>
    </row>
    <row r="625" ht="15.75" customHeight="1">
      <c r="A625" s="3"/>
      <c r="B625" s="19"/>
      <c r="C625" s="19"/>
      <c r="D625" s="27"/>
      <c r="E625" s="27"/>
      <c r="F625" s="28"/>
      <c r="G625" s="31" t="str">
        <f t="shared" si="2"/>
        <v/>
      </c>
      <c r="H625" s="30"/>
      <c r="I625" s="21" t="str">
        <f t="shared" si="1"/>
        <v/>
      </c>
      <c r="J625" s="19"/>
    </row>
    <row r="626" ht="15.75" customHeight="1">
      <c r="A626" s="3"/>
      <c r="B626" s="19"/>
      <c r="C626" s="19"/>
      <c r="D626" s="27"/>
      <c r="E626" s="27"/>
      <c r="F626" s="28"/>
      <c r="G626" s="31" t="str">
        <f t="shared" si="2"/>
        <v/>
      </c>
      <c r="H626" s="30"/>
      <c r="I626" s="21" t="str">
        <f t="shared" si="1"/>
        <v/>
      </c>
      <c r="J626" s="19"/>
    </row>
    <row r="627" ht="15.75" customHeight="1">
      <c r="A627" s="3"/>
      <c r="B627" s="19"/>
      <c r="C627" s="19"/>
      <c r="D627" s="27"/>
      <c r="E627" s="27"/>
      <c r="F627" s="28"/>
      <c r="G627" s="31" t="str">
        <f t="shared" si="2"/>
        <v/>
      </c>
      <c r="H627" s="30"/>
      <c r="I627" s="21" t="str">
        <f t="shared" si="1"/>
        <v/>
      </c>
      <c r="J627" s="19"/>
    </row>
    <row r="628" ht="15.75" customHeight="1">
      <c r="A628" s="3"/>
      <c r="B628" s="19"/>
      <c r="C628" s="19"/>
      <c r="D628" s="27"/>
      <c r="E628" s="27"/>
      <c r="F628" s="28"/>
      <c r="G628" s="31" t="str">
        <f t="shared" si="2"/>
        <v/>
      </c>
      <c r="H628" s="30"/>
      <c r="I628" s="21" t="str">
        <f t="shared" si="1"/>
        <v/>
      </c>
      <c r="J628" s="19"/>
    </row>
    <row r="629" ht="15.75" customHeight="1">
      <c r="A629" s="3"/>
      <c r="B629" s="19"/>
      <c r="C629" s="19"/>
      <c r="D629" s="27"/>
      <c r="E629" s="27"/>
      <c r="F629" s="28"/>
      <c r="G629" s="31" t="str">
        <f t="shared" si="2"/>
        <v/>
      </c>
      <c r="H629" s="30"/>
      <c r="I629" s="21" t="str">
        <f t="shared" si="1"/>
        <v/>
      </c>
      <c r="J629" s="19"/>
    </row>
    <row r="630" ht="15.75" customHeight="1">
      <c r="A630" s="3"/>
      <c r="B630" s="19"/>
      <c r="C630" s="19"/>
      <c r="D630" s="27"/>
      <c r="E630" s="27"/>
      <c r="F630" s="28"/>
      <c r="G630" s="31" t="str">
        <f t="shared" si="2"/>
        <v/>
      </c>
      <c r="H630" s="30"/>
      <c r="I630" s="21" t="str">
        <f t="shared" si="1"/>
        <v/>
      </c>
      <c r="J630" s="19"/>
    </row>
    <row r="631" ht="15.75" customHeight="1">
      <c r="A631" s="3"/>
      <c r="B631" s="19"/>
      <c r="C631" s="19"/>
      <c r="D631" s="27"/>
      <c r="E631" s="27"/>
      <c r="F631" s="28"/>
      <c r="G631" s="31" t="str">
        <f t="shared" si="2"/>
        <v/>
      </c>
      <c r="H631" s="30"/>
      <c r="I631" s="21" t="str">
        <f t="shared" si="1"/>
        <v/>
      </c>
      <c r="J631" s="19"/>
    </row>
    <row r="632" ht="15.75" customHeight="1">
      <c r="A632" s="3"/>
      <c r="B632" s="19"/>
      <c r="C632" s="19"/>
      <c r="D632" s="27"/>
      <c r="E632" s="27"/>
      <c r="F632" s="28"/>
      <c r="G632" s="31" t="str">
        <f t="shared" si="2"/>
        <v/>
      </c>
      <c r="H632" s="30"/>
      <c r="I632" s="21" t="str">
        <f t="shared" si="1"/>
        <v/>
      </c>
      <c r="J632" s="19"/>
    </row>
    <row r="633" ht="15.75" customHeight="1">
      <c r="A633" s="3"/>
      <c r="B633" s="19"/>
      <c r="C633" s="19"/>
      <c r="D633" s="27"/>
      <c r="E633" s="27"/>
      <c r="F633" s="28"/>
      <c r="G633" s="31" t="str">
        <f t="shared" si="2"/>
        <v/>
      </c>
      <c r="H633" s="30"/>
      <c r="I633" s="21" t="str">
        <f t="shared" si="1"/>
        <v/>
      </c>
      <c r="J633" s="19"/>
    </row>
    <row r="634" ht="15.75" customHeight="1">
      <c r="A634" s="3"/>
      <c r="B634" s="19"/>
      <c r="C634" s="19"/>
      <c r="D634" s="27"/>
      <c r="E634" s="27"/>
      <c r="F634" s="28"/>
      <c r="G634" s="31" t="str">
        <f t="shared" si="2"/>
        <v/>
      </c>
      <c r="H634" s="30"/>
      <c r="I634" s="21" t="str">
        <f t="shared" si="1"/>
        <v/>
      </c>
      <c r="J634" s="19"/>
    </row>
    <row r="635" ht="15.75" customHeight="1">
      <c r="A635" s="3"/>
      <c r="B635" s="19"/>
      <c r="C635" s="19"/>
      <c r="D635" s="27"/>
      <c r="E635" s="27"/>
      <c r="F635" s="28"/>
      <c r="G635" s="31" t="str">
        <f t="shared" si="2"/>
        <v/>
      </c>
      <c r="H635" s="30"/>
      <c r="I635" s="21" t="str">
        <f t="shared" si="1"/>
        <v/>
      </c>
      <c r="J635" s="19"/>
    </row>
    <row r="636" ht="15.75" customHeight="1">
      <c r="A636" s="3"/>
      <c r="B636" s="19"/>
      <c r="C636" s="19"/>
      <c r="D636" s="27"/>
      <c r="E636" s="27"/>
      <c r="F636" s="28"/>
      <c r="G636" s="31" t="str">
        <f t="shared" si="2"/>
        <v/>
      </c>
      <c r="H636" s="30"/>
      <c r="I636" s="21" t="str">
        <f t="shared" si="1"/>
        <v/>
      </c>
      <c r="J636" s="19"/>
    </row>
    <row r="637" ht="15.75" customHeight="1">
      <c r="A637" s="3"/>
      <c r="B637" s="19"/>
      <c r="C637" s="19"/>
      <c r="D637" s="27"/>
      <c r="E637" s="27"/>
      <c r="F637" s="28"/>
      <c r="G637" s="31" t="str">
        <f t="shared" si="2"/>
        <v/>
      </c>
      <c r="H637" s="30"/>
      <c r="I637" s="21" t="str">
        <f t="shared" si="1"/>
        <v/>
      </c>
      <c r="J637" s="19"/>
    </row>
    <row r="638" ht="15.75" customHeight="1">
      <c r="A638" s="3"/>
      <c r="B638" s="19"/>
      <c r="C638" s="19"/>
      <c r="D638" s="27"/>
      <c r="E638" s="27"/>
      <c r="F638" s="28"/>
      <c r="G638" s="31" t="str">
        <f t="shared" si="2"/>
        <v/>
      </c>
      <c r="H638" s="30"/>
      <c r="I638" s="21" t="str">
        <f t="shared" si="1"/>
        <v/>
      </c>
      <c r="J638" s="19"/>
    </row>
    <row r="639" ht="15.75" customHeight="1">
      <c r="A639" s="3"/>
      <c r="B639" s="19"/>
      <c r="C639" s="19"/>
      <c r="D639" s="27"/>
      <c r="E639" s="27"/>
      <c r="F639" s="28"/>
      <c r="G639" s="31" t="str">
        <f t="shared" si="2"/>
        <v/>
      </c>
      <c r="H639" s="30"/>
      <c r="I639" s="21" t="str">
        <f t="shared" si="1"/>
        <v/>
      </c>
      <c r="J639" s="19"/>
    </row>
    <row r="640" ht="15.75" customHeight="1">
      <c r="A640" s="3"/>
      <c r="B640" s="19"/>
      <c r="C640" s="19"/>
      <c r="D640" s="27"/>
      <c r="E640" s="27"/>
      <c r="F640" s="28"/>
      <c r="G640" s="31" t="str">
        <f t="shared" si="2"/>
        <v/>
      </c>
      <c r="H640" s="30"/>
      <c r="I640" s="21" t="str">
        <f t="shared" si="1"/>
        <v/>
      </c>
      <c r="J640" s="19"/>
    </row>
    <row r="641" ht="15.75" customHeight="1">
      <c r="A641" s="3"/>
      <c r="B641" s="19"/>
      <c r="C641" s="19"/>
      <c r="D641" s="27"/>
      <c r="E641" s="27"/>
      <c r="F641" s="28"/>
      <c r="G641" s="31" t="str">
        <f t="shared" si="2"/>
        <v/>
      </c>
      <c r="H641" s="30"/>
      <c r="I641" s="21" t="str">
        <f t="shared" si="1"/>
        <v/>
      </c>
      <c r="J641" s="19"/>
    </row>
    <row r="642" ht="15.75" customHeight="1">
      <c r="A642" s="3"/>
      <c r="B642" s="19"/>
      <c r="C642" s="19"/>
      <c r="D642" s="27"/>
      <c r="E642" s="27"/>
      <c r="F642" s="28"/>
      <c r="G642" s="31" t="str">
        <f t="shared" si="2"/>
        <v/>
      </c>
      <c r="H642" s="30"/>
      <c r="I642" s="21" t="str">
        <f t="shared" si="1"/>
        <v/>
      </c>
      <c r="J642" s="19"/>
    </row>
    <row r="643" ht="15.75" customHeight="1">
      <c r="A643" s="3"/>
      <c r="B643" s="19"/>
      <c r="C643" s="19"/>
      <c r="D643" s="27"/>
      <c r="E643" s="27"/>
      <c r="F643" s="28"/>
      <c r="G643" s="31" t="str">
        <f t="shared" si="2"/>
        <v/>
      </c>
      <c r="H643" s="30"/>
      <c r="I643" s="21" t="str">
        <f t="shared" si="1"/>
        <v/>
      </c>
      <c r="J643" s="19"/>
    </row>
    <row r="644" ht="15.75" customHeight="1">
      <c r="A644" s="3"/>
      <c r="B644" s="19"/>
      <c r="C644" s="19"/>
      <c r="D644" s="27"/>
      <c r="E644" s="27"/>
      <c r="F644" s="28"/>
      <c r="G644" s="31" t="str">
        <f t="shared" si="2"/>
        <v/>
      </c>
      <c r="H644" s="30"/>
      <c r="I644" s="21" t="str">
        <f t="shared" si="1"/>
        <v/>
      </c>
      <c r="J644" s="19"/>
    </row>
    <row r="645" ht="15.75" customHeight="1">
      <c r="A645" s="3"/>
      <c r="B645" s="19"/>
      <c r="C645" s="19"/>
      <c r="D645" s="27"/>
      <c r="E645" s="27"/>
      <c r="F645" s="28"/>
      <c r="G645" s="31" t="str">
        <f t="shared" si="2"/>
        <v/>
      </c>
      <c r="H645" s="30"/>
      <c r="I645" s="21" t="str">
        <f t="shared" si="1"/>
        <v/>
      </c>
      <c r="J645" s="19"/>
    </row>
    <row r="646" ht="15.75" customHeight="1">
      <c r="A646" s="3"/>
      <c r="B646" s="19"/>
      <c r="C646" s="19"/>
      <c r="D646" s="27"/>
      <c r="E646" s="27"/>
      <c r="F646" s="28"/>
      <c r="G646" s="31" t="str">
        <f t="shared" si="2"/>
        <v/>
      </c>
      <c r="H646" s="30"/>
      <c r="I646" s="21" t="str">
        <f t="shared" si="1"/>
        <v/>
      </c>
      <c r="J646" s="19"/>
    </row>
    <row r="647" ht="15.75" customHeight="1">
      <c r="A647" s="3"/>
      <c r="B647" s="19"/>
      <c r="C647" s="19"/>
      <c r="D647" s="27"/>
      <c r="E647" s="27"/>
      <c r="F647" s="28"/>
      <c r="G647" s="31" t="str">
        <f t="shared" si="2"/>
        <v/>
      </c>
      <c r="H647" s="30"/>
      <c r="I647" s="21" t="str">
        <f t="shared" si="1"/>
        <v/>
      </c>
      <c r="J647" s="19"/>
    </row>
    <row r="648" ht="15.75" customHeight="1">
      <c r="A648" s="3"/>
      <c r="B648" s="19"/>
      <c r="C648" s="19"/>
      <c r="D648" s="27"/>
      <c r="E648" s="27"/>
      <c r="F648" s="28"/>
      <c r="G648" s="31" t="str">
        <f t="shared" si="2"/>
        <v/>
      </c>
      <c r="H648" s="30"/>
      <c r="I648" s="21" t="str">
        <f t="shared" si="1"/>
        <v/>
      </c>
      <c r="J648" s="19"/>
    </row>
    <row r="649" ht="15.75" customHeight="1">
      <c r="A649" s="3"/>
      <c r="B649" s="19"/>
      <c r="C649" s="19"/>
      <c r="D649" s="27"/>
      <c r="E649" s="27"/>
      <c r="F649" s="28"/>
      <c r="G649" s="31" t="str">
        <f t="shared" si="2"/>
        <v/>
      </c>
      <c r="H649" s="30"/>
      <c r="I649" s="21" t="str">
        <f t="shared" si="1"/>
        <v/>
      </c>
      <c r="J649" s="19"/>
    </row>
    <row r="650" ht="15.75" customHeight="1">
      <c r="A650" s="3"/>
      <c r="B650" s="19"/>
      <c r="C650" s="19"/>
      <c r="D650" s="27"/>
      <c r="E650" s="27"/>
      <c r="F650" s="28"/>
      <c r="G650" s="31" t="str">
        <f t="shared" si="2"/>
        <v/>
      </c>
      <c r="H650" s="30"/>
      <c r="I650" s="21" t="str">
        <f t="shared" si="1"/>
        <v/>
      </c>
      <c r="J650" s="19"/>
    </row>
    <row r="651" ht="15.75" customHeight="1">
      <c r="A651" s="3"/>
      <c r="B651" s="19"/>
      <c r="C651" s="19"/>
      <c r="D651" s="27"/>
      <c r="E651" s="27"/>
      <c r="F651" s="28"/>
      <c r="G651" s="31" t="str">
        <f t="shared" si="2"/>
        <v/>
      </c>
      <c r="H651" s="30"/>
      <c r="I651" s="21" t="str">
        <f t="shared" si="1"/>
        <v/>
      </c>
      <c r="J651" s="19"/>
    </row>
    <row r="652" ht="15.75" customHeight="1">
      <c r="A652" s="3"/>
      <c r="B652" s="19"/>
      <c r="C652" s="19"/>
      <c r="D652" s="27"/>
      <c r="E652" s="27"/>
      <c r="F652" s="28"/>
      <c r="G652" s="31" t="str">
        <f t="shared" si="2"/>
        <v/>
      </c>
      <c r="H652" s="30"/>
      <c r="I652" s="21" t="str">
        <f t="shared" si="1"/>
        <v/>
      </c>
      <c r="J652" s="19"/>
    </row>
    <row r="653" ht="15.75" customHeight="1">
      <c r="A653" s="3"/>
      <c r="B653" s="19"/>
      <c r="C653" s="19"/>
      <c r="D653" s="27"/>
      <c r="E653" s="27"/>
      <c r="F653" s="28"/>
      <c r="G653" s="31" t="str">
        <f t="shared" si="2"/>
        <v/>
      </c>
      <c r="H653" s="30"/>
      <c r="I653" s="21" t="str">
        <f t="shared" si="1"/>
        <v/>
      </c>
      <c r="J653" s="19"/>
    </row>
    <row r="654" ht="15.75" customHeight="1">
      <c r="A654" s="3"/>
      <c r="B654" s="19"/>
      <c r="C654" s="19"/>
      <c r="D654" s="27"/>
      <c r="E654" s="27"/>
      <c r="F654" s="28"/>
      <c r="G654" s="31" t="str">
        <f t="shared" si="2"/>
        <v/>
      </c>
      <c r="H654" s="30"/>
      <c r="I654" s="21" t="str">
        <f t="shared" si="1"/>
        <v/>
      </c>
      <c r="J654" s="19"/>
    </row>
    <row r="655" ht="15.75" customHeight="1">
      <c r="A655" s="3"/>
      <c r="B655" s="19"/>
      <c r="C655" s="19"/>
      <c r="D655" s="27"/>
      <c r="E655" s="27"/>
      <c r="F655" s="28"/>
      <c r="G655" s="31" t="str">
        <f t="shared" si="2"/>
        <v/>
      </c>
      <c r="H655" s="30"/>
      <c r="I655" s="21" t="str">
        <f t="shared" si="1"/>
        <v/>
      </c>
      <c r="J655" s="19"/>
    </row>
    <row r="656" ht="15.75" customHeight="1">
      <c r="A656" s="3"/>
      <c r="B656" s="19"/>
      <c r="C656" s="19"/>
      <c r="D656" s="27"/>
      <c r="E656" s="27"/>
      <c r="F656" s="28"/>
      <c r="G656" s="31" t="str">
        <f t="shared" si="2"/>
        <v/>
      </c>
      <c r="H656" s="30"/>
      <c r="I656" s="21" t="str">
        <f t="shared" si="1"/>
        <v/>
      </c>
      <c r="J656" s="19"/>
    </row>
    <row r="657" ht="15.75" customHeight="1">
      <c r="A657" s="3"/>
      <c r="B657" s="19"/>
      <c r="C657" s="19"/>
      <c r="D657" s="27"/>
      <c r="E657" s="27"/>
      <c r="F657" s="28"/>
      <c r="G657" s="31" t="str">
        <f t="shared" si="2"/>
        <v/>
      </c>
      <c r="H657" s="30"/>
      <c r="I657" s="21" t="str">
        <f t="shared" si="1"/>
        <v/>
      </c>
      <c r="J657" s="19"/>
    </row>
    <row r="658" ht="15.75" customHeight="1">
      <c r="A658" s="3"/>
      <c r="B658" s="19"/>
      <c r="C658" s="19"/>
      <c r="D658" s="27"/>
      <c r="E658" s="27"/>
      <c r="F658" s="28"/>
      <c r="G658" s="31" t="str">
        <f t="shared" si="2"/>
        <v/>
      </c>
      <c r="H658" s="30"/>
      <c r="I658" s="21" t="str">
        <f t="shared" si="1"/>
        <v/>
      </c>
      <c r="J658" s="19"/>
    </row>
    <row r="659" ht="15.75" customHeight="1">
      <c r="A659" s="3"/>
      <c r="B659" s="19"/>
      <c r="C659" s="19"/>
      <c r="D659" s="27"/>
      <c r="E659" s="27"/>
      <c r="F659" s="28"/>
      <c r="G659" s="31" t="str">
        <f t="shared" si="2"/>
        <v/>
      </c>
      <c r="H659" s="30"/>
      <c r="I659" s="21" t="str">
        <f t="shared" si="1"/>
        <v/>
      </c>
      <c r="J659" s="19"/>
    </row>
    <row r="660" ht="15.75" customHeight="1">
      <c r="A660" s="3"/>
      <c r="B660" s="19"/>
      <c r="C660" s="19"/>
      <c r="D660" s="27"/>
      <c r="E660" s="27"/>
      <c r="F660" s="28"/>
      <c r="G660" s="31" t="str">
        <f t="shared" si="2"/>
        <v/>
      </c>
      <c r="H660" s="30"/>
      <c r="I660" s="21" t="str">
        <f t="shared" si="1"/>
        <v/>
      </c>
      <c r="J660" s="19"/>
    </row>
    <row r="661" ht="15.75" customHeight="1">
      <c r="A661" s="3"/>
      <c r="B661" s="19"/>
      <c r="C661" s="19"/>
      <c r="D661" s="27"/>
      <c r="E661" s="27"/>
      <c r="F661" s="28"/>
      <c r="G661" s="31" t="str">
        <f t="shared" si="2"/>
        <v/>
      </c>
      <c r="H661" s="30"/>
      <c r="I661" s="21" t="str">
        <f t="shared" si="1"/>
        <v/>
      </c>
      <c r="J661" s="19"/>
    </row>
    <row r="662" ht="15.75" customHeight="1">
      <c r="A662" s="3"/>
      <c r="B662" s="19"/>
      <c r="C662" s="19"/>
      <c r="D662" s="27"/>
      <c r="E662" s="27"/>
      <c r="F662" s="28"/>
      <c r="G662" s="31" t="str">
        <f t="shared" si="2"/>
        <v/>
      </c>
      <c r="H662" s="30"/>
      <c r="I662" s="21" t="str">
        <f t="shared" si="1"/>
        <v/>
      </c>
      <c r="J662" s="19"/>
    </row>
    <row r="663" ht="15.75" customHeight="1">
      <c r="A663" s="3"/>
      <c r="B663" s="19"/>
      <c r="C663" s="19"/>
      <c r="D663" s="27"/>
      <c r="E663" s="27"/>
      <c r="F663" s="28"/>
      <c r="G663" s="31" t="str">
        <f t="shared" si="2"/>
        <v/>
      </c>
      <c r="H663" s="30"/>
      <c r="I663" s="21" t="str">
        <f t="shared" si="1"/>
        <v/>
      </c>
      <c r="J663" s="19"/>
    </row>
    <row r="664" ht="15.75" customHeight="1">
      <c r="A664" s="3"/>
      <c r="B664" s="19"/>
      <c r="C664" s="19"/>
      <c r="D664" s="27"/>
      <c r="E664" s="27"/>
      <c r="F664" s="28"/>
      <c r="G664" s="31" t="str">
        <f t="shared" si="2"/>
        <v/>
      </c>
      <c r="H664" s="30"/>
      <c r="I664" s="21" t="str">
        <f t="shared" si="1"/>
        <v/>
      </c>
      <c r="J664" s="19"/>
    </row>
    <row r="665" ht="15.75" customHeight="1">
      <c r="A665" s="3"/>
      <c r="B665" s="19"/>
      <c r="C665" s="19"/>
      <c r="D665" s="27"/>
      <c r="E665" s="27"/>
      <c r="F665" s="28"/>
      <c r="G665" s="31" t="str">
        <f t="shared" si="2"/>
        <v/>
      </c>
      <c r="H665" s="30"/>
      <c r="I665" s="21" t="str">
        <f t="shared" si="1"/>
        <v/>
      </c>
      <c r="J665" s="19"/>
    </row>
    <row r="666" ht="15.75" customHeight="1">
      <c r="A666" s="3"/>
      <c r="B666" s="19"/>
      <c r="C666" s="19"/>
      <c r="D666" s="27"/>
      <c r="E666" s="27"/>
      <c r="F666" s="28"/>
      <c r="G666" s="31" t="str">
        <f t="shared" si="2"/>
        <v/>
      </c>
      <c r="H666" s="30"/>
      <c r="I666" s="21" t="str">
        <f t="shared" si="1"/>
        <v/>
      </c>
      <c r="J666" s="19"/>
    </row>
    <row r="667" ht="15.75" customHeight="1">
      <c r="A667" s="3"/>
      <c r="B667" s="19"/>
      <c r="C667" s="19"/>
      <c r="D667" s="27"/>
      <c r="E667" s="27"/>
      <c r="F667" s="28"/>
      <c r="G667" s="31" t="str">
        <f t="shared" si="2"/>
        <v/>
      </c>
      <c r="H667" s="30"/>
      <c r="I667" s="21" t="str">
        <f t="shared" si="1"/>
        <v/>
      </c>
      <c r="J667" s="19"/>
    </row>
    <row r="668" ht="15.75" customHeight="1">
      <c r="A668" s="3"/>
      <c r="B668" s="19"/>
      <c r="C668" s="19"/>
      <c r="D668" s="27"/>
      <c r="E668" s="27"/>
      <c r="F668" s="28"/>
      <c r="G668" s="31" t="str">
        <f t="shared" si="2"/>
        <v/>
      </c>
      <c r="H668" s="30"/>
      <c r="I668" s="21" t="str">
        <f t="shared" si="1"/>
        <v/>
      </c>
      <c r="J668" s="19"/>
    </row>
    <row r="669" ht="15.75" customHeight="1">
      <c r="A669" s="3"/>
      <c r="B669" s="19"/>
      <c r="C669" s="19"/>
      <c r="D669" s="27"/>
      <c r="E669" s="27"/>
      <c r="F669" s="28"/>
      <c r="G669" s="31" t="str">
        <f t="shared" si="2"/>
        <v/>
      </c>
      <c r="H669" s="30"/>
      <c r="I669" s="21" t="str">
        <f t="shared" si="1"/>
        <v/>
      </c>
      <c r="J669" s="19"/>
    </row>
    <row r="670" ht="15.75" customHeight="1">
      <c r="A670" s="3"/>
      <c r="B670" s="19"/>
      <c r="C670" s="19"/>
      <c r="D670" s="27"/>
      <c r="E670" s="27"/>
      <c r="F670" s="28"/>
      <c r="G670" s="31" t="str">
        <f t="shared" si="2"/>
        <v/>
      </c>
      <c r="H670" s="30"/>
      <c r="I670" s="21" t="str">
        <f t="shared" si="1"/>
        <v/>
      </c>
      <c r="J670" s="19"/>
    </row>
    <row r="671" ht="15.75" customHeight="1">
      <c r="A671" s="3"/>
      <c r="B671" s="19"/>
      <c r="C671" s="19"/>
      <c r="D671" s="27"/>
      <c r="E671" s="27"/>
      <c r="F671" s="28"/>
      <c r="G671" s="31" t="str">
        <f t="shared" si="2"/>
        <v/>
      </c>
      <c r="H671" s="30"/>
      <c r="I671" s="21" t="str">
        <f t="shared" si="1"/>
        <v/>
      </c>
      <c r="J671" s="19"/>
    </row>
    <row r="672" ht="15.75" customHeight="1">
      <c r="A672" s="3"/>
      <c r="B672" s="19"/>
      <c r="C672" s="19"/>
      <c r="D672" s="27"/>
      <c r="E672" s="27"/>
      <c r="F672" s="28"/>
      <c r="G672" s="31" t="str">
        <f t="shared" si="2"/>
        <v/>
      </c>
      <c r="H672" s="30"/>
      <c r="I672" s="21" t="str">
        <f t="shared" si="1"/>
        <v/>
      </c>
      <c r="J672" s="19"/>
    </row>
    <row r="673" ht="15.75" customHeight="1">
      <c r="A673" s="3"/>
      <c r="B673" s="19"/>
      <c r="C673" s="19"/>
      <c r="D673" s="27"/>
      <c r="E673" s="27"/>
      <c r="F673" s="28"/>
      <c r="G673" s="31" t="str">
        <f t="shared" si="2"/>
        <v/>
      </c>
      <c r="H673" s="30"/>
      <c r="I673" s="21" t="str">
        <f t="shared" si="1"/>
        <v/>
      </c>
      <c r="J673" s="19"/>
    </row>
    <row r="674" ht="15.75" customHeight="1">
      <c r="A674" s="3"/>
      <c r="B674" s="19"/>
      <c r="C674" s="19"/>
      <c r="D674" s="27"/>
      <c r="E674" s="27"/>
      <c r="F674" s="28"/>
      <c r="G674" s="31" t="str">
        <f t="shared" si="2"/>
        <v/>
      </c>
      <c r="H674" s="30"/>
      <c r="I674" s="21" t="str">
        <f t="shared" si="1"/>
        <v/>
      </c>
      <c r="J674" s="19"/>
    </row>
    <row r="675" ht="15.75" customHeight="1">
      <c r="A675" s="3"/>
      <c r="B675" s="19"/>
      <c r="C675" s="19"/>
      <c r="D675" s="27"/>
      <c r="E675" s="27"/>
      <c r="F675" s="28"/>
      <c r="G675" s="31" t="str">
        <f t="shared" si="2"/>
        <v/>
      </c>
      <c r="H675" s="30"/>
      <c r="I675" s="21" t="str">
        <f t="shared" si="1"/>
        <v/>
      </c>
      <c r="J675" s="19"/>
    </row>
    <row r="676" ht="15.75" customHeight="1">
      <c r="A676" s="3"/>
      <c r="B676" s="19"/>
      <c r="C676" s="19"/>
      <c r="D676" s="27"/>
      <c r="E676" s="27"/>
      <c r="F676" s="28"/>
      <c r="G676" s="31" t="str">
        <f t="shared" si="2"/>
        <v/>
      </c>
      <c r="H676" s="30"/>
      <c r="I676" s="21" t="str">
        <f t="shared" si="1"/>
        <v/>
      </c>
      <c r="J676" s="19"/>
    </row>
    <row r="677" ht="15.75" customHeight="1">
      <c r="A677" s="3"/>
      <c r="B677" s="19"/>
      <c r="C677" s="19"/>
      <c r="D677" s="27"/>
      <c r="E677" s="27"/>
      <c r="F677" s="28"/>
      <c r="G677" s="31" t="str">
        <f t="shared" si="2"/>
        <v/>
      </c>
      <c r="H677" s="30"/>
      <c r="I677" s="21" t="str">
        <f t="shared" si="1"/>
        <v/>
      </c>
      <c r="J677" s="19"/>
    </row>
    <row r="678" ht="15.75" customHeight="1">
      <c r="A678" s="3"/>
      <c r="B678" s="19"/>
      <c r="C678" s="19"/>
      <c r="D678" s="27"/>
      <c r="E678" s="27"/>
      <c r="F678" s="28"/>
      <c r="G678" s="31" t="str">
        <f t="shared" si="2"/>
        <v/>
      </c>
      <c r="H678" s="30"/>
      <c r="I678" s="21" t="str">
        <f t="shared" si="1"/>
        <v/>
      </c>
      <c r="J678" s="19"/>
    </row>
    <row r="679" ht="15.75" customHeight="1">
      <c r="A679" s="3"/>
      <c r="B679" s="19"/>
      <c r="C679" s="19"/>
      <c r="D679" s="27"/>
      <c r="E679" s="27"/>
      <c r="F679" s="28"/>
      <c r="G679" s="31" t="str">
        <f t="shared" si="2"/>
        <v/>
      </c>
      <c r="H679" s="30"/>
      <c r="I679" s="21" t="str">
        <f t="shared" si="1"/>
        <v/>
      </c>
      <c r="J679" s="19"/>
    </row>
    <row r="680" ht="15.75" customHeight="1">
      <c r="A680" s="3"/>
      <c r="B680" s="19"/>
      <c r="C680" s="19"/>
      <c r="D680" s="27"/>
      <c r="E680" s="27"/>
      <c r="F680" s="28"/>
      <c r="G680" s="31" t="str">
        <f t="shared" si="2"/>
        <v/>
      </c>
      <c r="H680" s="30"/>
      <c r="I680" s="21" t="str">
        <f t="shared" si="1"/>
        <v/>
      </c>
      <c r="J680" s="19"/>
    </row>
    <row r="681" ht="15.75" customHeight="1">
      <c r="A681" s="3"/>
      <c r="B681" s="19"/>
      <c r="C681" s="19"/>
      <c r="D681" s="27"/>
      <c r="E681" s="27"/>
      <c r="F681" s="28"/>
      <c r="G681" s="31" t="str">
        <f t="shared" si="2"/>
        <v/>
      </c>
      <c r="H681" s="30"/>
      <c r="I681" s="21" t="str">
        <f t="shared" si="1"/>
        <v/>
      </c>
      <c r="J681" s="19"/>
    </row>
    <row r="682" ht="15.75" customHeight="1">
      <c r="A682" s="3"/>
      <c r="B682" s="19"/>
      <c r="C682" s="19"/>
      <c r="D682" s="27"/>
      <c r="E682" s="27"/>
      <c r="F682" s="28"/>
      <c r="G682" s="31" t="str">
        <f t="shared" si="2"/>
        <v/>
      </c>
      <c r="H682" s="30"/>
      <c r="I682" s="21" t="str">
        <f t="shared" si="1"/>
        <v/>
      </c>
      <c r="J682" s="19"/>
    </row>
    <row r="683" ht="15.75" customHeight="1">
      <c r="A683" s="3"/>
      <c r="B683" s="19"/>
      <c r="C683" s="19"/>
      <c r="D683" s="27"/>
      <c r="E683" s="27"/>
      <c r="F683" s="28"/>
      <c r="G683" s="31" t="str">
        <f t="shared" si="2"/>
        <v/>
      </c>
      <c r="H683" s="30"/>
      <c r="I683" s="21" t="str">
        <f t="shared" si="1"/>
        <v/>
      </c>
      <c r="J683" s="19"/>
    </row>
    <row r="684" ht="15.75" customHeight="1">
      <c r="A684" s="3"/>
      <c r="B684" s="19"/>
      <c r="C684" s="19"/>
      <c r="D684" s="27"/>
      <c r="E684" s="27"/>
      <c r="F684" s="28"/>
      <c r="G684" s="31" t="str">
        <f t="shared" si="2"/>
        <v/>
      </c>
      <c r="H684" s="30"/>
      <c r="I684" s="21" t="str">
        <f t="shared" si="1"/>
        <v/>
      </c>
      <c r="J684" s="19"/>
    </row>
    <row r="685" ht="15.75" customHeight="1">
      <c r="A685" s="3"/>
      <c r="B685" s="19"/>
      <c r="C685" s="19"/>
      <c r="D685" s="27"/>
      <c r="E685" s="27"/>
      <c r="F685" s="28"/>
      <c r="G685" s="31" t="str">
        <f t="shared" si="2"/>
        <v/>
      </c>
      <c r="H685" s="30"/>
      <c r="I685" s="21" t="str">
        <f t="shared" si="1"/>
        <v/>
      </c>
      <c r="J685" s="19"/>
    </row>
    <row r="686" ht="15.75" customHeight="1">
      <c r="A686" s="3"/>
      <c r="B686" s="19"/>
      <c r="C686" s="19"/>
      <c r="D686" s="27"/>
      <c r="E686" s="27"/>
      <c r="F686" s="28"/>
      <c r="G686" s="31" t="str">
        <f t="shared" si="2"/>
        <v/>
      </c>
      <c r="H686" s="30"/>
      <c r="I686" s="21" t="str">
        <f t="shared" si="1"/>
        <v/>
      </c>
      <c r="J686" s="19"/>
    </row>
    <row r="687" ht="15.75" customHeight="1">
      <c r="A687" s="3"/>
      <c r="B687" s="19"/>
      <c r="C687" s="19"/>
      <c r="D687" s="27"/>
      <c r="E687" s="27"/>
      <c r="F687" s="28"/>
      <c r="G687" s="31" t="str">
        <f t="shared" si="2"/>
        <v/>
      </c>
      <c r="H687" s="30"/>
      <c r="I687" s="21" t="str">
        <f t="shared" si="1"/>
        <v/>
      </c>
      <c r="J687" s="19"/>
    </row>
    <row r="688" ht="15.75" customHeight="1">
      <c r="A688" s="3"/>
      <c r="B688" s="19"/>
      <c r="C688" s="19"/>
      <c r="D688" s="27"/>
      <c r="E688" s="27"/>
      <c r="F688" s="28"/>
      <c r="G688" s="31" t="str">
        <f t="shared" si="2"/>
        <v/>
      </c>
      <c r="H688" s="30"/>
      <c r="I688" s="21" t="str">
        <f t="shared" si="1"/>
        <v/>
      </c>
      <c r="J688" s="19"/>
    </row>
    <row r="689" ht="15.75" customHeight="1">
      <c r="A689" s="3"/>
      <c r="B689" s="19"/>
      <c r="C689" s="19"/>
      <c r="D689" s="27"/>
      <c r="E689" s="27"/>
      <c r="F689" s="28"/>
      <c r="G689" s="31" t="str">
        <f t="shared" si="2"/>
        <v/>
      </c>
      <c r="H689" s="30"/>
      <c r="I689" s="21" t="str">
        <f t="shared" si="1"/>
        <v/>
      </c>
      <c r="J689" s="19"/>
    </row>
    <row r="690" ht="15.75" customHeight="1">
      <c r="A690" s="3"/>
      <c r="B690" s="19"/>
      <c r="C690" s="19"/>
      <c r="D690" s="27"/>
      <c r="E690" s="27"/>
      <c r="F690" s="28"/>
      <c r="G690" s="31" t="str">
        <f t="shared" si="2"/>
        <v/>
      </c>
      <c r="H690" s="30"/>
      <c r="I690" s="21" t="str">
        <f t="shared" si="1"/>
        <v/>
      </c>
      <c r="J690" s="19"/>
    </row>
    <row r="691" ht="15.75" customHeight="1">
      <c r="A691" s="3"/>
      <c r="B691" s="19"/>
      <c r="C691" s="19"/>
      <c r="D691" s="27"/>
      <c r="E691" s="27"/>
      <c r="F691" s="28"/>
      <c r="G691" s="31" t="str">
        <f t="shared" si="2"/>
        <v/>
      </c>
      <c r="H691" s="30"/>
      <c r="I691" s="21" t="str">
        <f t="shared" si="1"/>
        <v/>
      </c>
      <c r="J691" s="19"/>
    </row>
    <row r="692" ht="15.75" customHeight="1">
      <c r="A692" s="3"/>
      <c r="B692" s="19"/>
      <c r="C692" s="19"/>
      <c r="D692" s="27"/>
      <c r="E692" s="27"/>
      <c r="F692" s="28"/>
      <c r="G692" s="31" t="str">
        <f t="shared" si="2"/>
        <v/>
      </c>
      <c r="H692" s="30"/>
      <c r="I692" s="21" t="str">
        <f t="shared" si="1"/>
        <v/>
      </c>
      <c r="J692" s="19"/>
    </row>
    <row r="693" ht="15.75" customHeight="1">
      <c r="A693" s="3"/>
      <c r="B693" s="19"/>
      <c r="C693" s="19"/>
      <c r="D693" s="27"/>
      <c r="E693" s="27"/>
      <c r="F693" s="28"/>
      <c r="G693" s="31" t="str">
        <f t="shared" si="2"/>
        <v/>
      </c>
      <c r="H693" s="30"/>
      <c r="I693" s="21" t="str">
        <f t="shared" si="1"/>
        <v/>
      </c>
      <c r="J693" s="19"/>
    </row>
    <row r="694" ht="15.75" customHeight="1">
      <c r="A694" s="3"/>
      <c r="B694" s="19"/>
      <c r="C694" s="19"/>
      <c r="D694" s="27"/>
      <c r="E694" s="27"/>
      <c r="F694" s="28"/>
      <c r="G694" s="31" t="str">
        <f t="shared" si="2"/>
        <v/>
      </c>
      <c r="H694" s="30"/>
      <c r="I694" s="21" t="str">
        <f t="shared" si="1"/>
        <v/>
      </c>
      <c r="J694" s="19"/>
    </row>
    <row r="695" ht="15.75" customHeight="1">
      <c r="A695" s="3"/>
      <c r="B695" s="19"/>
      <c r="C695" s="19"/>
      <c r="D695" s="27"/>
      <c r="E695" s="27"/>
      <c r="F695" s="28"/>
      <c r="G695" s="31" t="str">
        <f t="shared" si="2"/>
        <v/>
      </c>
      <c r="H695" s="30"/>
      <c r="I695" s="21" t="str">
        <f t="shared" si="1"/>
        <v/>
      </c>
      <c r="J695" s="19"/>
    </row>
    <row r="696" ht="15.75" customHeight="1">
      <c r="A696" s="3"/>
      <c r="B696" s="19"/>
      <c r="C696" s="19"/>
      <c r="D696" s="27"/>
      <c r="E696" s="27"/>
      <c r="F696" s="28"/>
      <c r="G696" s="31" t="str">
        <f t="shared" si="2"/>
        <v/>
      </c>
      <c r="H696" s="30"/>
      <c r="I696" s="21" t="str">
        <f t="shared" si="1"/>
        <v/>
      </c>
      <c r="J696" s="19"/>
    </row>
    <row r="697" ht="15.75" customHeight="1">
      <c r="A697" s="3"/>
      <c r="B697" s="19"/>
      <c r="C697" s="19"/>
      <c r="D697" s="27"/>
      <c r="E697" s="27"/>
      <c r="F697" s="28"/>
      <c r="G697" s="31" t="str">
        <f t="shared" si="2"/>
        <v/>
      </c>
      <c r="H697" s="30"/>
      <c r="I697" s="21" t="str">
        <f t="shared" si="1"/>
        <v/>
      </c>
      <c r="J697" s="19"/>
    </row>
    <row r="698" ht="15.75" customHeight="1">
      <c r="A698" s="3"/>
      <c r="B698" s="19"/>
      <c r="C698" s="19"/>
      <c r="D698" s="27"/>
      <c r="E698" s="27"/>
      <c r="F698" s="28"/>
      <c r="G698" s="31" t="str">
        <f t="shared" si="2"/>
        <v/>
      </c>
      <c r="H698" s="30"/>
      <c r="I698" s="21" t="str">
        <f t="shared" si="1"/>
        <v/>
      </c>
      <c r="J698" s="19"/>
    </row>
    <row r="699" ht="15.75" customHeight="1">
      <c r="A699" s="3"/>
      <c r="B699" s="19"/>
      <c r="C699" s="19"/>
      <c r="D699" s="27"/>
      <c r="E699" s="27"/>
      <c r="F699" s="28"/>
      <c r="G699" s="31" t="str">
        <f t="shared" si="2"/>
        <v/>
      </c>
      <c r="H699" s="30"/>
      <c r="I699" s="21" t="str">
        <f t="shared" si="1"/>
        <v/>
      </c>
      <c r="J699" s="19"/>
    </row>
    <row r="700" ht="15.75" customHeight="1">
      <c r="A700" s="3"/>
      <c r="B700" s="19"/>
      <c r="C700" s="19"/>
      <c r="D700" s="27"/>
      <c r="E700" s="27"/>
      <c r="F700" s="28"/>
      <c r="G700" s="31" t="str">
        <f t="shared" si="2"/>
        <v/>
      </c>
      <c r="H700" s="30"/>
      <c r="I700" s="21" t="str">
        <f t="shared" si="1"/>
        <v/>
      </c>
      <c r="J700" s="19"/>
    </row>
    <row r="701" ht="15.75" customHeight="1">
      <c r="A701" s="3"/>
      <c r="B701" s="19"/>
      <c r="C701" s="19"/>
      <c r="D701" s="27"/>
      <c r="E701" s="27"/>
      <c r="F701" s="28"/>
      <c r="G701" s="31" t="str">
        <f t="shared" si="2"/>
        <v/>
      </c>
      <c r="H701" s="30"/>
      <c r="I701" s="21" t="str">
        <f t="shared" si="1"/>
        <v/>
      </c>
      <c r="J701" s="19"/>
    </row>
    <row r="702" ht="15.75" customHeight="1">
      <c r="A702" s="3"/>
      <c r="B702" s="19"/>
      <c r="C702" s="19"/>
      <c r="D702" s="27"/>
      <c r="E702" s="27"/>
      <c r="F702" s="28"/>
      <c r="G702" s="31" t="str">
        <f t="shared" si="2"/>
        <v/>
      </c>
      <c r="H702" s="30"/>
      <c r="I702" s="21" t="str">
        <f t="shared" si="1"/>
        <v/>
      </c>
      <c r="J702" s="19"/>
    </row>
    <row r="703" ht="15.75" customHeight="1">
      <c r="A703" s="3"/>
      <c r="B703" s="19"/>
      <c r="C703" s="19"/>
      <c r="D703" s="27"/>
      <c r="E703" s="27"/>
      <c r="F703" s="28"/>
      <c r="G703" s="31" t="str">
        <f t="shared" si="2"/>
        <v/>
      </c>
      <c r="H703" s="30"/>
      <c r="I703" s="21" t="str">
        <f t="shared" si="1"/>
        <v/>
      </c>
      <c r="J703" s="19"/>
    </row>
    <row r="704" ht="15.75" customHeight="1">
      <c r="A704" s="3"/>
      <c r="B704" s="19"/>
      <c r="C704" s="19"/>
      <c r="D704" s="27"/>
      <c r="E704" s="27"/>
      <c r="F704" s="28"/>
      <c r="G704" s="31" t="str">
        <f t="shared" si="2"/>
        <v/>
      </c>
      <c r="H704" s="30"/>
      <c r="I704" s="21" t="str">
        <f t="shared" si="1"/>
        <v/>
      </c>
      <c r="J704" s="19"/>
    </row>
    <row r="705" ht="15.75" customHeight="1">
      <c r="A705" s="3"/>
      <c r="B705" s="19"/>
      <c r="C705" s="19"/>
      <c r="D705" s="27"/>
      <c r="E705" s="27"/>
      <c r="F705" s="28"/>
      <c r="G705" s="31" t="str">
        <f t="shared" si="2"/>
        <v/>
      </c>
      <c r="H705" s="30"/>
      <c r="I705" s="21" t="str">
        <f t="shared" si="1"/>
        <v/>
      </c>
      <c r="J705" s="19"/>
    </row>
    <row r="706" ht="15.75" customHeight="1">
      <c r="A706" s="3"/>
      <c r="B706" s="19"/>
      <c r="C706" s="19"/>
      <c r="D706" s="27"/>
      <c r="E706" s="27"/>
      <c r="F706" s="28"/>
      <c r="G706" s="31" t="str">
        <f t="shared" si="2"/>
        <v/>
      </c>
      <c r="H706" s="30"/>
      <c r="I706" s="21" t="str">
        <f t="shared" si="1"/>
        <v/>
      </c>
      <c r="J706" s="19"/>
    </row>
    <row r="707" ht="15.75" customHeight="1">
      <c r="A707" s="3"/>
      <c r="B707" s="19"/>
      <c r="C707" s="19"/>
      <c r="D707" s="27"/>
      <c r="E707" s="27"/>
      <c r="F707" s="28"/>
      <c r="G707" s="31" t="str">
        <f t="shared" si="2"/>
        <v/>
      </c>
      <c r="H707" s="30"/>
      <c r="I707" s="21" t="str">
        <f t="shared" si="1"/>
        <v/>
      </c>
      <c r="J707" s="19"/>
    </row>
    <row r="708" ht="15.75" customHeight="1">
      <c r="A708" s="3"/>
      <c r="B708" s="19"/>
      <c r="C708" s="19"/>
      <c r="D708" s="27"/>
      <c r="E708" s="27"/>
      <c r="F708" s="28"/>
      <c r="G708" s="31" t="str">
        <f t="shared" si="2"/>
        <v/>
      </c>
      <c r="H708" s="30"/>
      <c r="I708" s="21" t="str">
        <f t="shared" si="1"/>
        <v/>
      </c>
      <c r="J708" s="19"/>
    </row>
    <row r="709" ht="15.75" customHeight="1">
      <c r="A709" s="3"/>
      <c r="B709" s="19"/>
      <c r="C709" s="19"/>
      <c r="D709" s="27"/>
      <c r="E709" s="27"/>
      <c r="F709" s="28"/>
      <c r="G709" s="31" t="str">
        <f t="shared" si="2"/>
        <v/>
      </c>
      <c r="H709" s="30"/>
      <c r="I709" s="21" t="str">
        <f t="shared" si="1"/>
        <v/>
      </c>
      <c r="J709" s="19"/>
    </row>
    <row r="710" ht="15.75" customHeight="1">
      <c r="A710" s="3"/>
      <c r="B710" s="19"/>
      <c r="C710" s="19"/>
      <c r="D710" s="27"/>
      <c r="E710" s="27"/>
      <c r="F710" s="28"/>
      <c r="G710" s="31" t="str">
        <f t="shared" si="2"/>
        <v/>
      </c>
      <c r="H710" s="30"/>
      <c r="I710" s="21" t="str">
        <f t="shared" si="1"/>
        <v/>
      </c>
      <c r="J710" s="19"/>
    </row>
    <row r="711" ht="15.75" customHeight="1">
      <c r="A711" s="3"/>
      <c r="B711" s="19"/>
      <c r="C711" s="19"/>
      <c r="D711" s="27"/>
      <c r="E711" s="27"/>
      <c r="F711" s="28"/>
      <c r="G711" s="31" t="str">
        <f t="shared" si="2"/>
        <v/>
      </c>
      <c r="H711" s="30"/>
      <c r="I711" s="21" t="str">
        <f t="shared" si="1"/>
        <v/>
      </c>
      <c r="J711" s="19"/>
    </row>
    <row r="712" ht="15.75" customHeight="1">
      <c r="A712" s="3"/>
      <c r="B712" s="19"/>
      <c r="C712" s="19"/>
      <c r="D712" s="27"/>
      <c r="E712" s="27"/>
      <c r="F712" s="28"/>
      <c r="G712" s="31" t="str">
        <f t="shared" si="2"/>
        <v/>
      </c>
      <c r="H712" s="30"/>
      <c r="I712" s="21" t="str">
        <f t="shared" si="1"/>
        <v/>
      </c>
      <c r="J712" s="19"/>
    </row>
    <row r="713" ht="15.75" customHeight="1">
      <c r="A713" s="3"/>
      <c r="B713" s="19"/>
      <c r="C713" s="19"/>
      <c r="D713" s="27"/>
      <c r="E713" s="27"/>
      <c r="F713" s="28"/>
      <c r="G713" s="31" t="str">
        <f t="shared" si="2"/>
        <v/>
      </c>
      <c r="H713" s="30"/>
      <c r="I713" s="21" t="str">
        <f t="shared" si="1"/>
        <v/>
      </c>
      <c r="J713" s="19"/>
    </row>
    <row r="714" ht="15.75" customHeight="1">
      <c r="A714" s="3"/>
      <c r="B714" s="19"/>
      <c r="C714" s="19"/>
      <c r="D714" s="27"/>
      <c r="E714" s="27"/>
      <c r="F714" s="28"/>
      <c r="G714" s="31" t="str">
        <f t="shared" si="2"/>
        <v/>
      </c>
      <c r="H714" s="30"/>
      <c r="I714" s="21" t="str">
        <f t="shared" si="1"/>
        <v/>
      </c>
      <c r="J714" s="19"/>
    </row>
    <row r="715" ht="15.75" customHeight="1">
      <c r="A715" s="3"/>
      <c r="B715" s="19"/>
      <c r="C715" s="19"/>
      <c r="D715" s="27"/>
      <c r="E715" s="27"/>
      <c r="F715" s="28"/>
      <c r="G715" s="31" t="str">
        <f t="shared" si="2"/>
        <v/>
      </c>
      <c r="H715" s="30"/>
      <c r="I715" s="21" t="str">
        <f t="shared" si="1"/>
        <v/>
      </c>
      <c r="J715" s="19"/>
    </row>
    <row r="716" ht="15.75" customHeight="1">
      <c r="A716" s="3"/>
      <c r="B716" s="19"/>
      <c r="C716" s="19"/>
      <c r="D716" s="27"/>
      <c r="E716" s="27"/>
      <c r="F716" s="28"/>
      <c r="G716" s="31" t="str">
        <f t="shared" si="2"/>
        <v/>
      </c>
      <c r="H716" s="30"/>
      <c r="I716" s="21" t="str">
        <f t="shared" si="1"/>
        <v/>
      </c>
      <c r="J716" s="19"/>
    </row>
    <row r="717" ht="15.75" customHeight="1">
      <c r="A717" s="3"/>
      <c r="B717" s="19"/>
      <c r="C717" s="19"/>
      <c r="D717" s="27"/>
      <c r="E717" s="27"/>
      <c r="F717" s="28"/>
      <c r="G717" s="31" t="str">
        <f t="shared" si="2"/>
        <v/>
      </c>
      <c r="H717" s="30"/>
      <c r="I717" s="21" t="str">
        <f t="shared" si="1"/>
        <v/>
      </c>
      <c r="J717" s="19"/>
    </row>
    <row r="718" ht="15.75" customHeight="1">
      <c r="A718" s="3"/>
      <c r="B718" s="19"/>
      <c r="C718" s="19"/>
      <c r="D718" s="27"/>
      <c r="E718" s="27"/>
      <c r="F718" s="28"/>
      <c r="G718" s="31" t="str">
        <f t="shared" si="2"/>
        <v/>
      </c>
      <c r="H718" s="30"/>
      <c r="I718" s="21" t="str">
        <f t="shared" si="1"/>
        <v/>
      </c>
      <c r="J718" s="19"/>
    </row>
    <row r="719" ht="15.75" customHeight="1">
      <c r="A719" s="3"/>
      <c r="B719" s="19"/>
      <c r="C719" s="19"/>
      <c r="D719" s="27"/>
      <c r="E719" s="27"/>
      <c r="F719" s="28"/>
      <c r="G719" s="31" t="str">
        <f t="shared" si="2"/>
        <v/>
      </c>
      <c r="H719" s="30"/>
      <c r="I719" s="21" t="str">
        <f t="shared" si="1"/>
        <v/>
      </c>
      <c r="J719" s="19"/>
    </row>
    <row r="720" ht="15.75" customHeight="1">
      <c r="A720" s="3"/>
      <c r="B720" s="19"/>
      <c r="C720" s="19"/>
      <c r="D720" s="27"/>
      <c r="E720" s="27"/>
      <c r="F720" s="28"/>
      <c r="G720" s="31" t="str">
        <f t="shared" si="2"/>
        <v/>
      </c>
      <c r="H720" s="30"/>
      <c r="I720" s="21" t="str">
        <f t="shared" si="1"/>
        <v/>
      </c>
      <c r="J720" s="19"/>
    </row>
    <row r="721" ht="15.75" customHeight="1">
      <c r="A721" s="3"/>
      <c r="B721" s="19"/>
      <c r="C721" s="19"/>
      <c r="D721" s="27"/>
      <c r="E721" s="27"/>
      <c r="F721" s="28"/>
      <c r="G721" s="31" t="str">
        <f t="shared" si="2"/>
        <v/>
      </c>
      <c r="H721" s="30"/>
      <c r="I721" s="21" t="str">
        <f t="shared" si="1"/>
        <v/>
      </c>
      <c r="J721" s="19"/>
    </row>
    <row r="722" ht="15.75" customHeight="1">
      <c r="A722" s="3"/>
      <c r="B722" s="19"/>
      <c r="C722" s="19"/>
      <c r="D722" s="27"/>
      <c r="E722" s="27"/>
      <c r="F722" s="28"/>
      <c r="G722" s="31" t="str">
        <f t="shared" si="2"/>
        <v/>
      </c>
      <c r="H722" s="30"/>
      <c r="I722" s="21" t="str">
        <f t="shared" si="1"/>
        <v/>
      </c>
      <c r="J722" s="19"/>
    </row>
    <row r="723" ht="15.75" customHeight="1">
      <c r="A723" s="3"/>
      <c r="B723" s="19"/>
      <c r="C723" s="19"/>
      <c r="D723" s="27"/>
      <c r="E723" s="27"/>
      <c r="F723" s="28"/>
      <c r="G723" s="31" t="str">
        <f t="shared" si="2"/>
        <v/>
      </c>
      <c r="H723" s="30"/>
      <c r="I723" s="21" t="str">
        <f t="shared" si="1"/>
        <v/>
      </c>
      <c r="J723" s="19"/>
    </row>
    <row r="724" ht="15.75" customHeight="1">
      <c r="A724" s="3"/>
      <c r="B724" s="19"/>
      <c r="C724" s="19"/>
      <c r="D724" s="27"/>
      <c r="E724" s="27"/>
      <c r="F724" s="28"/>
      <c r="G724" s="31" t="str">
        <f t="shared" si="2"/>
        <v/>
      </c>
      <c r="H724" s="30"/>
      <c r="I724" s="21" t="str">
        <f t="shared" si="1"/>
        <v/>
      </c>
      <c r="J724" s="19"/>
    </row>
    <row r="725" ht="15.75" customHeight="1">
      <c r="A725" s="3"/>
      <c r="B725" s="19"/>
      <c r="C725" s="19"/>
      <c r="D725" s="27"/>
      <c r="E725" s="27"/>
      <c r="F725" s="28"/>
      <c r="G725" s="31" t="str">
        <f t="shared" si="2"/>
        <v/>
      </c>
      <c r="H725" s="30"/>
      <c r="I725" s="21" t="str">
        <f t="shared" si="1"/>
        <v/>
      </c>
      <c r="J725" s="19"/>
    </row>
    <row r="726" ht="15.75" customHeight="1">
      <c r="A726" s="3"/>
      <c r="B726" s="19"/>
      <c r="C726" s="19"/>
      <c r="D726" s="27"/>
      <c r="E726" s="27"/>
      <c r="F726" s="28"/>
      <c r="G726" s="31" t="str">
        <f t="shared" si="2"/>
        <v/>
      </c>
      <c r="H726" s="30"/>
      <c r="I726" s="21" t="str">
        <f t="shared" si="1"/>
        <v/>
      </c>
      <c r="J726" s="19"/>
    </row>
    <row r="727" ht="15.75" customHeight="1">
      <c r="A727" s="3"/>
      <c r="B727" s="19"/>
      <c r="C727" s="19"/>
      <c r="D727" s="27"/>
      <c r="E727" s="27"/>
      <c r="F727" s="28"/>
      <c r="G727" s="31" t="str">
        <f t="shared" si="2"/>
        <v/>
      </c>
      <c r="H727" s="30"/>
      <c r="I727" s="21" t="str">
        <f t="shared" si="1"/>
        <v/>
      </c>
      <c r="J727" s="19"/>
    </row>
    <row r="728" ht="15.75" customHeight="1">
      <c r="A728" s="3"/>
      <c r="B728" s="19"/>
      <c r="C728" s="19"/>
      <c r="D728" s="27"/>
      <c r="E728" s="27"/>
      <c r="F728" s="28"/>
      <c r="G728" s="31" t="str">
        <f t="shared" si="2"/>
        <v/>
      </c>
      <c r="H728" s="30"/>
      <c r="I728" s="21" t="str">
        <f t="shared" si="1"/>
        <v/>
      </c>
      <c r="J728" s="19"/>
    </row>
    <row r="729" ht="15.75" customHeight="1">
      <c r="A729" s="3"/>
      <c r="B729" s="19"/>
      <c r="C729" s="19"/>
      <c r="D729" s="27"/>
      <c r="E729" s="27"/>
      <c r="F729" s="28"/>
      <c r="G729" s="31" t="str">
        <f t="shared" si="2"/>
        <v/>
      </c>
      <c r="H729" s="30"/>
      <c r="I729" s="21" t="str">
        <f t="shared" si="1"/>
        <v/>
      </c>
      <c r="J729" s="19"/>
    </row>
    <row r="730" ht="15.75" customHeight="1">
      <c r="A730" s="3"/>
      <c r="B730" s="19"/>
      <c r="C730" s="19"/>
      <c r="D730" s="27"/>
      <c r="E730" s="27"/>
      <c r="F730" s="28"/>
      <c r="G730" s="31" t="str">
        <f t="shared" si="2"/>
        <v/>
      </c>
      <c r="H730" s="30"/>
      <c r="I730" s="21" t="str">
        <f t="shared" si="1"/>
        <v/>
      </c>
      <c r="J730" s="19"/>
    </row>
    <row r="731" ht="15.75" customHeight="1">
      <c r="A731" s="3"/>
      <c r="B731" s="19"/>
      <c r="C731" s="19"/>
      <c r="D731" s="27"/>
      <c r="E731" s="27"/>
      <c r="F731" s="28"/>
      <c r="G731" s="31" t="str">
        <f t="shared" si="2"/>
        <v/>
      </c>
      <c r="H731" s="30"/>
      <c r="I731" s="21" t="str">
        <f t="shared" si="1"/>
        <v/>
      </c>
      <c r="J731" s="19"/>
    </row>
    <row r="732" ht="15.75" customHeight="1">
      <c r="A732" s="3"/>
      <c r="B732" s="19"/>
      <c r="C732" s="19"/>
      <c r="D732" s="27"/>
      <c r="E732" s="27"/>
      <c r="F732" s="28"/>
      <c r="G732" s="31" t="str">
        <f t="shared" si="2"/>
        <v/>
      </c>
      <c r="H732" s="30"/>
      <c r="I732" s="21" t="str">
        <f t="shared" si="1"/>
        <v/>
      </c>
      <c r="J732" s="19"/>
    </row>
    <row r="733" ht="15.75" customHeight="1">
      <c r="A733" s="3"/>
      <c r="B733" s="19"/>
      <c r="C733" s="19"/>
      <c r="D733" s="27"/>
      <c r="E733" s="27"/>
      <c r="F733" s="28"/>
      <c r="G733" s="31" t="str">
        <f t="shared" si="2"/>
        <v/>
      </c>
      <c r="H733" s="30"/>
      <c r="I733" s="21" t="str">
        <f t="shared" si="1"/>
        <v/>
      </c>
      <c r="J733" s="19"/>
    </row>
    <row r="734" ht="15.75" customHeight="1">
      <c r="A734" s="3"/>
      <c r="B734" s="19"/>
      <c r="C734" s="19"/>
      <c r="D734" s="27"/>
      <c r="E734" s="27"/>
      <c r="F734" s="28"/>
      <c r="G734" s="31" t="str">
        <f t="shared" si="2"/>
        <v/>
      </c>
      <c r="H734" s="30"/>
      <c r="I734" s="21" t="str">
        <f t="shared" si="1"/>
        <v/>
      </c>
      <c r="J734" s="19"/>
    </row>
    <row r="735" ht="15.75" customHeight="1">
      <c r="A735" s="3"/>
      <c r="B735" s="19"/>
      <c r="C735" s="19"/>
      <c r="D735" s="27"/>
      <c r="E735" s="27"/>
      <c r="F735" s="28"/>
      <c r="G735" s="31" t="str">
        <f t="shared" si="2"/>
        <v/>
      </c>
      <c r="H735" s="30"/>
      <c r="I735" s="21" t="str">
        <f t="shared" si="1"/>
        <v/>
      </c>
      <c r="J735" s="19"/>
    </row>
    <row r="736" ht="15.75" customHeight="1">
      <c r="A736" s="3"/>
      <c r="B736" s="19"/>
      <c r="C736" s="19"/>
      <c r="D736" s="27"/>
      <c r="E736" s="27"/>
      <c r="F736" s="28"/>
      <c r="G736" s="31" t="str">
        <f t="shared" si="2"/>
        <v/>
      </c>
      <c r="H736" s="30"/>
      <c r="I736" s="21" t="str">
        <f t="shared" si="1"/>
        <v/>
      </c>
      <c r="J736" s="19"/>
    </row>
    <row r="737" ht="15.75" customHeight="1">
      <c r="A737" s="3"/>
      <c r="B737" s="19"/>
      <c r="C737" s="19"/>
      <c r="D737" s="27"/>
      <c r="E737" s="27"/>
      <c r="F737" s="28"/>
      <c r="G737" s="31" t="str">
        <f t="shared" si="2"/>
        <v/>
      </c>
      <c r="H737" s="30"/>
      <c r="I737" s="21" t="str">
        <f t="shared" si="1"/>
        <v/>
      </c>
      <c r="J737" s="19"/>
    </row>
    <row r="738" ht="15.75" customHeight="1">
      <c r="A738" s="3"/>
      <c r="B738" s="19"/>
      <c r="C738" s="19"/>
      <c r="D738" s="27"/>
      <c r="E738" s="27"/>
      <c r="F738" s="28"/>
      <c r="G738" s="31" t="str">
        <f t="shared" si="2"/>
        <v/>
      </c>
      <c r="H738" s="30"/>
      <c r="I738" s="21" t="str">
        <f t="shared" si="1"/>
        <v/>
      </c>
      <c r="J738" s="19"/>
    </row>
    <row r="739" ht="15.75" customHeight="1">
      <c r="A739" s="3"/>
      <c r="B739" s="19"/>
      <c r="C739" s="19"/>
      <c r="D739" s="27"/>
      <c r="E739" s="27"/>
      <c r="F739" s="28"/>
      <c r="G739" s="31" t="str">
        <f t="shared" si="2"/>
        <v/>
      </c>
      <c r="H739" s="30"/>
      <c r="I739" s="21" t="str">
        <f t="shared" si="1"/>
        <v/>
      </c>
      <c r="J739" s="19"/>
    </row>
    <row r="740" ht="15.75" customHeight="1">
      <c r="A740" s="3"/>
      <c r="B740" s="19"/>
      <c r="C740" s="19"/>
      <c r="D740" s="27"/>
      <c r="E740" s="27"/>
      <c r="F740" s="28"/>
      <c r="G740" s="31" t="str">
        <f t="shared" si="2"/>
        <v/>
      </c>
      <c r="H740" s="30"/>
      <c r="I740" s="21" t="str">
        <f t="shared" si="1"/>
        <v/>
      </c>
      <c r="J740" s="19"/>
    </row>
    <row r="741" ht="15.75" customHeight="1">
      <c r="A741" s="3"/>
      <c r="B741" s="19"/>
      <c r="C741" s="19"/>
      <c r="D741" s="27"/>
      <c r="E741" s="27"/>
      <c r="F741" s="28"/>
      <c r="G741" s="31" t="str">
        <f t="shared" si="2"/>
        <v/>
      </c>
      <c r="H741" s="30"/>
      <c r="I741" s="21" t="str">
        <f t="shared" si="1"/>
        <v/>
      </c>
      <c r="J741" s="19"/>
    </row>
    <row r="742" ht="15.75" customHeight="1">
      <c r="A742" s="3"/>
      <c r="B742" s="19"/>
      <c r="C742" s="19"/>
      <c r="D742" s="27"/>
      <c r="E742" s="27"/>
      <c r="F742" s="28"/>
      <c r="G742" s="31" t="str">
        <f t="shared" si="2"/>
        <v/>
      </c>
      <c r="H742" s="30"/>
      <c r="I742" s="21" t="str">
        <f t="shared" si="1"/>
        <v/>
      </c>
      <c r="J742" s="19"/>
    </row>
    <row r="743" ht="15.75" customHeight="1">
      <c r="A743" s="3"/>
      <c r="B743" s="19"/>
      <c r="C743" s="19"/>
      <c r="D743" s="27"/>
      <c r="E743" s="27"/>
      <c r="F743" s="28"/>
      <c r="G743" s="31" t="str">
        <f t="shared" si="2"/>
        <v/>
      </c>
      <c r="H743" s="30"/>
      <c r="I743" s="21" t="str">
        <f t="shared" si="1"/>
        <v/>
      </c>
      <c r="J743" s="19"/>
    </row>
    <row r="744" ht="15.75" customHeight="1">
      <c r="A744" s="3"/>
      <c r="B744" s="19"/>
      <c r="C744" s="19"/>
      <c r="D744" s="27"/>
      <c r="E744" s="27"/>
      <c r="F744" s="28"/>
      <c r="G744" s="31" t="str">
        <f t="shared" si="2"/>
        <v/>
      </c>
      <c r="H744" s="30"/>
      <c r="I744" s="21" t="str">
        <f t="shared" si="1"/>
        <v/>
      </c>
      <c r="J744" s="19"/>
    </row>
    <row r="745" ht="15.75" customHeight="1">
      <c r="A745" s="3"/>
      <c r="B745" s="19"/>
      <c r="C745" s="19"/>
      <c r="D745" s="27"/>
      <c r="E745" s="27"/>
      <c r="F745" s="28"/>
      <c r="G745" s="31" t="str">
        <f t="shared" si="2"/>
        <v/>
      </c>
      <c r="H745" s="30"/>
      <c r="I745" s="21" t="str">
        <f t="shared" si="1"/>
        <v/>
      </c>
      <c r="J745" s="19"/>
    </row>
    <row r="746" ht="15.75" customHeight="1">
      <c r="A746" s="3"/>
      <c r="B746" s="19"/>
      <c r="C746" s="19"/>
      <c r="D746" s="27"/>
      <c r="E746" s="27"/>
      <c r="F746" s="28"/>
      <c r="G746" s="31" t="str">
        <f t="shared" si="2"/>
        <v/>
      </c>
      <c r="H746" s="30"/>
      <c r="I746" s="21" t="str">
        <f t="shared" si="1"/>
        <v/>
      </c>
      <c r="J746" s="19"/>
    </row>
    <row r="747" ht="15.75" customHeight="1">
      <c r="A747" s="3"/>
      <c r="B747" s="19"/>
      <c r="C747" s="19"/>
      <c r="D747" s="27"/>
      <c r="E747" s="27"/>
      <c r="F747" s="28"/>
      <c r="G747" s="31" t="str">
        <f t="shared" si="2"/>
        <v/>
      </c>
      <c r="H747" s="30"/>
      <c r="I747" s="21" t="str">
        <f t="shared" si="1"/>
        <v/>
      </c>
      <c r="J747" s="19"/>
    </row>
    <row r="748" ht="15.75" customHeight="1">
      <c r="A748" s="3"/>
      <c r="B748" s="19"/>
      <c r="C748" s="19"/>
      <c r="D748" s="27"/>
      <c r="E748" s="27"/>
      <c r="F748" s="28"/>
      <c r="G748" s="31" t="str">
        <f t="shared" si="2"/>
        <v/>
      </c>
      <c r="H748" s="30"/>
      <c r="I748" s="21" t="str">
        <f t="shared" si="1"/>
        <v/>
      </c>
      <c r="J748" s="19"/>
    </row>
    <row r="749" ht="15.75" customHeight="1">
      <c r="A749" s="3"/>
      <c r="B749" s="19"/>
      <c r="C749" s="19"/>
      <c r="D749" s="27"/>
      <c r="E749" s="27"/>
      <c r="F749" s="28"/>
      <c r="G749" s="31" t="str">
        <f t="shared" si="2"/>
        <v/>
      </c>
      <c r="H749" s="30"/>
      <c r="I749" s="21" t="str">
        <f t="shared" si="1"/>
        <v/>
      </c>
      <c r="J749" s="19"/>
    </row>
    <row r="750" ht="15.75" customHeight="1">
      <c r="A750" s="3"/>
      <c r="B750" s="19"/>
      <c r="C750" s="19"/>
      <c r="D750" s="27"/>
      <c r="E750" s="27"/>
      <c r="F750" s="28"/>
      <c r="G750" s="31" t="str">
        <f t="shared" si="2"/>
        <v/>
      </c>
      <c r="H750" s="30"/>
      <c r="I750" s="21" t="str">
        <f t="shared" si="1"/>
        <v/>
      </c>
      <c r="J750" s="19"/>
    </row>
    <row r="751" ht="15.75" customHeight="1">
      <c r="A751" s="3"/>
      <c r="B751" s="19"/>
      <c r="C751" s="19"/>
      <c r="D751" s="27"/>
      <c r="E751" s="27"/>
      <c r="F751" s="28"/>
      <c r="G751" s="31" t="str">
        <f t="shared" si="2"/>
        <v/>
      </c>
      <c r="H751" s="30"/>
      <c r="I751" s="21" t="str">
        <f t="shared" si="1"/>
        <v/>
      </c>
      <c r="J751" s="19"/>
    </row>
    <row r="752" ht="15.75" customHeight="1">
      <c r="A752" s="3"/>
      <c r="B752" s="19"/>
      <c r="C752" s="19"/>
      <c r="D752" s="27"/>
      <c r="E752" s="27"/>
      <c r="F752" s="28"/>
      <c r="G752" s="31" t="str">
        <f t="shared" si="2"/>
        <v/>
      </c>
      <c r="H752" s="30"/>
      <c r="I752" s="21" t="str">
        <f t="shared" si="1"/>
        <v/>
      </c>
      <c r="J752" s="19"/>
    </row>
    <row r="753" ht="15.75" customHeight="1">
      <c r="A753" s="3"/>
      <c r="B753" s="19"/>
      <c r="C753" s="19"/>
      <c r="D753" s="27"/>
      <c r="E753" s="27"/>
      <c r="F753" s="28"/>
      <c r="G753" s="31" t="str">
        <f t="shared" si="2"/>
        <v/>
      </c>
      <c r="H753" s="30"/>
      <c r="I753" s="21" t="str">
        <f t="shared" si="1"/>
        <v/>
      </c>
      <c r="J753" s="19"/>
    </row>
    <row r="754" ht="15.75" customHeight="1">
      <c r="A754" s="3"/>
      <c r="B754" s="19"/>
      <c r="C754" s="19"/>
      <c r="D754" s="27"/>
      <c r="E754" s="27"/>
      <c r="F754" s="28"/>
      <c r="G754" s="31" t="str">
        <f t="shared" si="2"/>
        <v/>
      </c>
      <c r="H754" s="30"/>
      <c r="I754" s="21" t="str">
        <f t="shared" si="1"/>
        <v/>
      </c>
      <c r="J754" s="19"/>
    </row>
    <row r="755" ht="15.75" customHeight="1">
      <c r="A755" s="3"/>
      <c r="B755" s="19"/>
      <c r="C755" s="19"/>
      <c r="D755" s="27"/>
      <c r="E755" s="27"/>
      <c r="F755" s="28"/>
      <c r="G755" s="31" t="str">
        <f t="shared" si="2"/>
        <v/>
      </c>
      <c r="H755" s="30"/>
      <c r="I755" s="21" t="str">
        <f t="shared" si="1"/>
        <v/>
      </c>
      <c r="J755" s="19"/>
    </row>
    <row r="756" ht="15.75" customHeight="1">
      <c r="A756" s="3"/>
      <c r="B756" s="19"/>
      <c r="C756" s="19"/>
      <c r="D756" s="27"/>
      <c r="E756" s="27"/>
      <c r="F756" s="28"/>
      <c r="G756" s="31" t="str">
        <f t="shared" si="2"/>
        <v/>
      </c>
      <c r="H756" s="30"/>
      <c r="I756" s="21" t="str">
        <f t="shared" si="1"/>
        <v/>
      </c>
      <c r="J756" s="19"/>
    </row>
    <row r="757" ht="15.75" customHeight="1">
      <c r="A757" s="3"/>
      <c r="B757" s="19"/>
      <c r="C757" s="19"/>
      <c r="D757" s="27"/>
      <c r="E757" s="27"/>
      <c r="F757" s="28"/>
      <c r="G757" s="31" t="str">
        <f t="shared" si="2"/>
        <v/>
      </c>
      <c r="H757" s="30"/>
      <c r="I757" s="21" t="str">
        <f t="shared" si="1"/>
        <v/>
      </c>
      <c r="J757" s="19"/>
    </row>
    <row r="758" ht="15.75" customHeight="1">
      <c r="A758" s="3"/>
      <c r="B758" s="19"/>
      <c r="C758" s="19"/>
      <c r="D758" s="27"/>
      <c r="E758" s="27"/>
      <c r="F758" s="28"/>
      <c r="G758" s="31" t="str">
        <f t="shared" si="2"/>
        <v/>
      </c>
      <c r="H758" s="30"/>
      <c r="I758" s="21" t="str">
        <f t="shared" si="1"/>
        <v/>
      </c>
      <c r="J758" s="19"/>
    </row>
    <row r="759" ht="15.75" customHeight="1">
      <c r="A759" s="3"/>
      <c r="B759" s="19"/>
      <c r="C759" s="19"/>
      <c r="D759" s="27"/>
      <c r="E759" s="27"/>
      <c r="F759" s="28"/>
      <c r="G759" s="31" t="str">
        <f t="shared" si="2"/>
        <v/>
      </c>
      <c r="H759" s="30"/>
      <c r="I759" s="21" t="str">
        <f t="shared" si="1"/>
        <v/>
      </c>
      <c r="J759" s="19"/>
    </row>
    <row r="760" ht="15.75" customHeight="1">
      <c r="A760" s="3"/>
      <c r="B760" s="19"/>
      <c r="C760" s="19"/>
      <c r="D760" s="27"/>
      <c r="E760" s="27"/>
      <c r="F760" s="28"/>
      <c r="G760" s="31" t="str">
        <f t="shared" si="2"/>
        <v/>
      </c>
      <c r="H760" s="30"/>
      <c r="I760" s="21" t="str">
        <f t="shared" si="1"/>
        <v/>
      </c>
      <c r="J760" s="19"/>
    </row>
    <row r="761" ht="15.75" customHeight="1">
      <c r="A761" s="3"/>
      <c r="B761" s="19"/>
      <c r="C761" s="19"/>
      <c r="D761" s="27"/>
      <c r="E761" s="27"/>
      <c r="F761" s="28"/>
      <c r="G761" s="31" t="str">
        <f t="shared" si="2"/>
        <v/>
      </c>
      <c r="H761" s="30"/>
      <c r="I761" s="21" t="str">
        <f t="shared" si="1"/>
        <v/>
      </c>
      <c r="J761" s="19"/>
    </row>
    <row r="762" ht="15.75" customHeight="1">
      <c r="A762" s="3"/>
      <c r="B762" s="19"/>
      <c r="C762" s="19"/>
      <c r="D762" s="27"/>
      <c r="E762" s="27"/>
      <c r="F762" s="28"/>
      <c r="G762" s="31" t="str">
        <f t="shared" si="2"/>
        <v/>
      </c>
      <c r="H762" s="30"/>
      <c r="I762" s="21" t="str">
        <f t="shared" si="1"/>
        <v/>
      </c>
      <c r="J762" s="19"/>
    </row>
    <row r="763" ht="15.75" customHeight="1">
      <c r="A763" s="3"/>
      <c r="B763" s="19"/>
      <c r="C763" s="19"/>
      <c r="D763" s="27"/>
      <c r="E763" s="27"/>
      <c r="F763" s="28"/>
      <c r="G763" s="31" t="str">
        <f t="shared" si="2"/>
        <v/>
      </c>
      <c r="H763" s="30"/>
      <c r="I763" s="21" t="str">
        <f t="shared" si="1"/>
        <v/>
      </c>
      <c r="J763" s="19"/>
    </row>
    <row r="764" ht="15.75" customHeight="1">
      <c r="A764" s="3"/>
      <c r="B764" s="19"/>
      <c r="C764" s="19"/>
      <c r="D764" s="27"/>
      <c r="E764" s="27"/>
      <c r="F764" s="28"/>
      <c r="G764" s="31" t="str">
        <f t="shared" si="2"/>
        <v/>
      </c>
      <c r="H764" s="30"/>
      <c r="I764" s="21" t="str">
        <f t="shared" si="1"/>
        <v/>
      </c>
      <c r="J764" s="19"/>
    </row>
    <row r="765" ht="15.75" customHeight="1">
      <c r="A765" s="3"/>
      <c r="B765" s="19"/>
      <c r="C765" s="19"/>
      <c r="D765" s="27"/>
      <c r="E765" s="27"/>
      <c r="F765" s="28"/>
      <c r="G765" s="31" t="str">
        <f t="shared" si="2"/>
        <v/>
      </c>
      <c r="H765" s="30"/>
      <c r="I765" s="21" t="str">
        <f t="shared" si="1"/>
        <v/>
      </c>
      <c r="J765" s="19"/>
    </row>
    <row r="766" ht="15.75" customHeight="1">
      <c r="A766" s="3"/>
      <c r="B766" s="19"/>
      <c r="C766" s="19"/>
      <c r="D766" s="27"/>
      <c r="E766" s="27"/>
      <c r="F766" s="28"/>
      <c r="G766" s="31" t="str">
        <f t="shared" si="2"/>
        <v/>
      </c>
      <c r="H766" s="30"/>
      <c r="I766" s="21" t="str">
        <f t="shared" si="1"/>
        <v/>
      </c>
      <c r="J766" s="19"/>
    </row>
    <row r="767" ht="15.75" customHeight="1">
      <c r="A767" s="3"/>
      <c r="B767" s="19"/>
      <c r="C767" s="19"/>
      <c r="D767" s="27"/>
      <c r="E767" s="27"/>
      <c r="F767" s="28"/>
      <c r="G767" s="31" t="str">
        <f t="shared" si="2"/>
        <v/>
      </c>
      <c r="H767" s="30"/>
      <c r="I767" s="21" t="str">
        <f t="shared" si="1"/>
        <v/>
      </c>
      <c r="J767" s="19"/>
    </row>
    <row r="768" ht="15.75" customHeight="1">
      <c r="A768" s="3"/>
      <c r="B768" s="19"/>
      <c r="C768" s="19"/>
      <c r="D768" s="27"/>
      <c r="E768" s="27"/>
      <c r="F768" s="28"/>
      <c r="G768" s="31" t="str">
        <f t="shared" si="2"/>
        <v/>
      </c>
      <c r="H768" s="30"/>
      <c r="I768" s="21" t="str">
        <f t="shared" si="1"/>
        <v/>
      </c>
      <c r="J768" s="19"/>
    </row>
    <row r="769" ht="15.75" customHeight="1">
      <c r="A769" s="3"/>
      <c r="B769" s="19"/>
      <c r="C769" s="19"/>
      <c r="D769" s="27"/>
      <c r="E769" s="27"/>
      <c r="F769" s="28"/>
      <c r="G769" s="31" t="str">
        <f t="shared" si="2"/>
        <v/>
      </c>
      <c r="H769" s="30"/>
      <c r="I769" s="21" t="str">
        <f t="shared" si="1"/>
        <v/>
      </c>
      <c r="J769" s="19"/>
    </row>
    <row r="770" ht="15.75" customHeight="1">
      <c r="A770" s="3"/>
      <c r="B770" s="19"/>
      <c r="C770" s="19"/>
      <c r="D770" s="27"/>
      <c r="E770" s="27"/>
      <c r="F770" s="28"/>
      <c r="G770" s="31" t="str">
        <f t="shared" si="2"/>
        <v/>
      </c>
      <c r="H770" s="30"/>
      <c r="I770" s="21" t="str">
        <f t="shared" si="1"/>
        <v/>
      </c>
      <c r="J770" s="19"/>
    </row>
    <row r="771" ht="15.75" customHeight="1">
      <c r="A771" s="3"/>
      <c r="B771" s="19"/>
      <c r="C771" s="19"/>
      <c r="D771" s="27"/>
      <c r="E771" s="27"/>
      <c r="F771" s="28"/>
      <c r="G771" s="31" t="str">
        <f t="shared" si="2"/>
        <v/>
      </c>
      <c r="H771" s="30"/>
      <c r="I771" s="21" t="str">
        <f t="shared" si="1"/>
        <v/>
      </c>
      <c r="J771" s="19"/>
    </row>
    <row r="772" ht="15.75" customHeight="1">
      <c r="A772" s="3"/>
      <c r="B772" s="19"/>
      <c r="C772" s="19"/>
      <c r="D772" s="27"/>
      <c r="E772" s="27"/>
      <c r="F772" s="28"/>
      <c r="G772" s="31" t="str">
        <f t="shared" si="2"/>
        <v/>
      </c>
      <c r="H772" s="30"/>
      <c r="I772" s="21" t="str">
        <f t="shared" si="1"/>
        <v/>
      </c>
      <c r="J772" s="19"/>
    </row>
    <row r="773" ht="15.75" customHeight="1">
      <c r="A773" s="3"/>
      <c r="B773" s="19"/>
      <c r="C773" s="19"/>
      <c r="D773" s="27"/>
      <c r="E773" s="27"/>
      <c r="F773" s="28"/>
      <c r="G773" s="31" t="str">
        <f t="shared" si="2"/>
        <v/>
      </c>
      <c r="H773" s="30"/>
      <c r="I773" s="21" t="str">
        <f t="shared" si="1"/>
        <v/>
      </c>
      <c r="J773" s="19"/>
    </row>
    <row r="774" ht="15.75" customHeight="1">
      <c r="A774" s="3"/>
      <c r="B774" s="19"/>
      <c r="C774" s="19"/>
      <c r="D774" s="27"/>
      <c r="E774" s="27"/>
      <c r="F774" s="28"/>
      <c r="G774" s="31" t="str">
        <f t="shared" si="2"/>
        <v/>
      </c>
      <c r="H774" s="30"/>
      <c r="I774" s="21" t="str">
        <f t="shared" si="1"/>
        <v/>
      </c>
      <c r="J774" s="19"/>
    </row>
    <row r="775" ht="15.75" customHeight="1">
      <c r="A775" s="3"/>
      <c r="B775" s="19"/>
      <c r="C775" s="19"/>
      <c r="D775" s="27"/>
      <c r="E775" s="27"/>
      <c r="F775" s="28"/>
      <c r="G775" s="31" t="str">
        <f t="shared" si="2"/>
        <v/>
      </c>
      <c r="H775" s="30"/>
      <c r="I775" s="21" t="str">
        <f t="shared" si="1"/>
        <v/>
      </c>
      <c r="J775" s="19"/>
    </row>
    <row r="776" ht="15.75" customHeight="1">
      <c r="A776" s="3"/>
      <c r="B776" s="19"/>
      <c r="C776" s="19"/>
      <c r="D776" s="27"/>
      <c r="E776" s="27"/>
      <c r="F776" s="28"/>
      <c r="G776" s="31" t="str">
        <f t="shared" si="2"/>
        <v/>
      </c>
      <c r="H776" s="30"/>
      <c r="I776" s="21" t="str">
        <f t="shared" si="1"/>
        <v/>
      </c>
      <c r="J776" s="19"/>
    </row>
    <row r="777" ht="15.75" customHeight="1">
      <c r="A777" s="3"/>
      <c r="B777" s="19"/>
      <c r="C777" s="19"/>
      <c r="D777" s="27"/>
      <c r="E777" s="27"/>
      <c r="F777" s="28"/>
      <c r="G777" s="31" t="str">
        <f t="shared" si="2"/>
        <v/>
      </c>
      <c r="H777" s="30"/>
      <c r="I777" s="21" t="str">
        <f t="shared" si="1"/>
        <v/>
      </c>
      <c r="J777" s="19"/>
    </row>
    <row r="778" ht="15.75" customHeight="1">
      <c r="A778" s="3"/>
      <c r="B778" s="19"/>
      <c r="C778" s="19"/>
      <c r="D778" s="27"/>
      <c r="E778" s="27"/>
      <c r="F778" s="28"/>
      <c r="G778" s="31" t="str">
        <f t="shared" si="2"/>
        <v/>
      </c>
      <c r="H778" s="30"/>
      <c r="I778" s="21" t="str">
        <f t="shared" si="1"/>
        <v/>
      </c>
      <c r="J778" s="19"/>
    </row>
    <row r="779" ht="15.75" customHeight="1">
      <c r="A779" s="3"/>
      <c r="B779" s="19"/>
      <c r="C779" s="19"/>
      <c r="D779" s="27"/>
      <c r="E779" s="27"/>
      <c r="F779" s="28"/>
      <c r="G779" s="31" t="str">
        <f t="shared" si="2"/>
        <v/>
      </c>
      <c r="H779" s="30"/>
      <c r="I779" s="21" t="str">
        <f t="shared" si="1"/>
        <v/>
      </c>
      <c r="J779" s="19"/>
    </row>
    <row r="780" ht="15.75" customHeight="1">
      <c r="A780" s="3"/>
      <c r="B780" s="19"/>
      <c r="C780" s="19"/>
      <c r="D780" s="27"/>
      <c r="E780" s="27"/>
      <c r="F780" s="28"/>
      <c r="G780" s="31" t="str">
        <f t="shared" si="2"/>
        <v/>
      </c>
      <c r="H780" s="30"/>
      <c r="I780" s="21" t="str">
        <f t="shared" si="1"/>
        <v/>
      </c>
      <c r="J780" s="19"/>
    </row>
    <row r="781" ht="15.75" customHeight="1">
      <c r="A781" s="3"/>
      <c r="B781" s="19"/>
      <c r="C781" s="19"/>
      <c r="D781" s="27"/>
      <c r="E781" s="27"/>
      <c r="F781" s="28"/>
      <c r="G781" s="31" t="str">
        <f t="shared" si="2"/>
        <v/>
      </c>
      <c r="H781" s="30"/>
      <c r="I781" s="21" t="str">
        <f t="shared" si="1"/>
        <v/>
      </c>
      <c r="J781" s="19"/>
    </row>
    <row r="782" ht="15.75" customHeight="1">
      <c r="A782" s="3"/>
      <c r="B782" s="19"/>
      <c r="C782" s="19"/>
      <c r="D782" s="27"/>
      <c r="E782" s="27"/>
      <c r="F782" s="28"/>
      <c r="G782" s="31" t="str">
        <f t="shared" si="2"/>
        <v/>
      </c>
      <c r="H782" s="30"/>
      <c r="I782" s="21" t="str">
        <f t="shared" si="1"/>
        <v/>
      </c>
      <c r="J782" s="19"/>
    </row>
    <row r="783" ht="15.75" customHeight="1">
      <c r="A783" s="3"/>
      <c r="B783" s="19"/>
      <c r="C783" s="19"/>
      <c r="D783" s="27"/>
      <c r="E783" s="27"/>
      <c r="F783" s="28"/>
      <c r="G783" s="31" t="str">
        <f t="shared" si="2"/>
        <v/>
      </c>
      <c r="H783" s="30"/>
      <c r="I783" s="21" t="str">
        <f t="shared" si="1"/>
        <v/>
      </c>
      <c r="J783" s="19"/>
    </row>
    <row r="784" ht="15.75" customHeight="1">
      <c r="A784" s="3"/>
      <c r="B784" s="19"/>
      <c r="C784" s="19"/>
      <c r="D784" s="27"/>
      <c r="E784" s="27"/>
      <c r="F784" s="28"/>
      <c r="G784" s="31" t="str">
        <f t="shared" si="2"/>
        <v/>
      </c>
      <c r="H784" s="30"/>
      <c r="I784" s="21" t="str">
        <f t="shared" si="1"/>
        <v/>
      </c>
      <c r="J784" s="19"/>
    </row>
    <row r="785" ht="15.75" customHeight="1">
      <c r="A785" s="3"/>
      <c r="B785" s="19"/>
      <c r="C785" s="19"/>
      <c r="D785" s="27"/>
      <c r="E785" s="27"/>
      <c r="F785" s="28"/>
      <c r="G785" s="31" t="str">
        <f t="shared" si="2"/>
        <v/>
      </c>
      <c r="H785" s="30"/>
      <c r="I785" s="21" t="str">
        <f t="shared" si="1"/>
        <v/>
      </c>
      <c r="J785" s="19"/>
    </row>
    <row r="786" ht="15.75" customHeight="1">
      <c r="A786" s="3"/>
      <c r="B786" s="19"/>
      <c r="C786" s="19"/>
      <c r="D786" s="27"/>
      <c r="E786" s="27"/>
      <c r="F786" s="28"/>
      <c r="G786" s="31" t="str">
        <f t="shared" si="2"/>
        <v/>
      </c>
      <c r="H786" s="30"/>
      <c r="I786" s="21" t="str">
        <f t="shared" si="1"/>
        <v/>
      </c>
      <c r="J786" s="19"/>
    </row>
    <row r="787" ht="15.75" customHeight="1">
      <c r="A787" s="3"/>
      <c r="B787" s="19"/>
      <c r="C787" s="19"/>
      <c r="D787" s="27"/>
      <c r="E787" s="27"/>
      <c r="F787" s="28"/>
      <c r="G787" s="31" t="str">
        <f t="shared" si="2"/>
        <v/>
      </c>
      <c r="H787" s="30"/>
      <c r="I787" s="21" t="str">
        <f t="shared" si="1"/>
        <v/>
      </c>
      <c r="J787" s="19"/>
    </row>
    <row r="788" ht="15.75" customHeight="1">
      <c r="A788" s="3"/>
      <c r="B788" s="19"/>
      <c r="C788" s="19"/>
      <c r="D788" s="27"/>
      <c r="E788" s="27"/>
      <c r="F788" s="28"/>
      <c r="G788" s="31" t="str">
        <f t="shared" si="2"/>
        <v/>
      </c>
      <c r="H788" s="30"/>
      <c r="I788" s="21" t="str">
        <f t="shared" si="1"/>
        <v/>
      </c>
      <c r="J788" s="19"/>
    </row>
    <row r="789" ht="15.75" customHeight="1">
      <c r="A789" s="3"/>
      <c r="B789" s="19"/>
      <c r="C789" s="19"/>
      <c r="D789" s="27"/>
      <c r="E789" s="27"/>
      <c r="F789" s="28"/>
      <c r="G789" s="31" t="str">
        <f t="shared" si="2"/>
        <v/>
      </c>
      <c r="H789" s="30"/>
      <c r="I789" s="21" t="str">
        <f t="shared" si="1"/>
        <v/>
      </c>
      <c r="J789" s="19"/>
    </row>
    <row r="790" ht="15.75" customHeight="1">
      <c r="A790" s="3"/>
      <c r="B790" s="19"/>
      <c r="C790" s="19"/>
      <c r="D790" s="27"/>
      <c r="E790" s="27"/>
      <c r="F790" s="28"/>
      <c r="G790" s="31" t="str">
        <f t="shared" si="2"/>
        <v/>
      </c>
      <c r="H790" s="30"/>
      <c r="I790" s="21" t="str">
        <f t="shared" si="1"/>
        <v/>
      </c>
      <c r="J790" s="19"/>
    </row>
    <row r="791" ht="15.75" customHeight="1">
      <c r="A791" s="3"/>
      <c r="B791" s="19"/>
      <c r="C791" s="19"/>
      <c r="D791" s="27"/>
      <c r="E791" s="27"/>
      <c r="F791" s="28"/>
      <c r="G791" s="31" t="str">
        <f t="shared" si="2"/>
        <v/>
      </c>
      <c r="H791" s="30"/>
      <c r="I791" s="21" t="str">
        <f t="shared" si="1"/>
        <v/>
      </c>
      <c r="J791" s="19"/>
    </row>
    <row r="792" ht="15.75" customHeight="1">
      <c r="A792" s="3"/>
      <c r="B792" s="19"/>
      <c r="C792" s="19"/>
      <c r="D792" s="27"/>
      <c r="E792" s="27"/>
      <c r="F792" s="28"/>
      <c r="G792" s="31" t="str">
        <f t="shared" si="2"/>
        <v/>
      </c>
      <c r="H792" s="30"/>
      <c r="I792" s="21" t="str">
        <f t="shared" si="1"/>
        <v/>
      </c>
      <c r="J792" s="19"/>
    </row>
    <row r="793" ht="15.75" customHeight="1">
      <c r="A793" s="3"/>
      <c r="B793" s="19"/>
      <c r="C793" s="19"/>
      <c r="D793" s="27"/>
      <c r="E793" s="27"/>
      <c r="F793" s="28"/>
      <c r="G793" s="31" t="str">
        <f t="shared" si="2"/>
        <v/>
      </c>
      <c r="H793" s="30"/>
      <c r="I793" s="21" t="str">
        <f t="shared" si="1"/>
        <v/>
      </c>
      <c r="J793" s="19"/>
    </row>
    <row r="794" ht="15.75" customHeight="1">
      <c r="A794" s="3"/>
      <c r="B794" s="19"/>
      <c r="C794" s="19"/>
      <c r="D794" s="27"/>
      <c r="E794" s="27"/>
      <c r="F794" s="28"/>
      <c r="G794" s="31" t="str">
        <f t="shared" si="2"/>
        <v/>
      </c>
      <c r="H794" s="30"/>
      <c r="I794" s="21" t="str">
        <f t="shared" si="1"/>
        <v/>
      </c>
      <c r="J794" s="19"/>
    </row>
    <row r="795" ht="15.75" customHeight="1">
      <c r="A795" s="3"/>
      <c r="B795" s="19"/>
      <c r="C795" s="19"/>
      <c r="D795" s="27"/>
      <c r="E795" s="27"/>
      <c r="F795" s="28"/>
      <c r="G795" s="31" t="str">
        <f t="shared" si="2"/>
        <v/>
      </c>
      <c r="H795" s="30"/>
      <c r="I795" s="21" t="str">
        <f t="shared" si="1"/>
        <v/>
      </c>
      <c r="J795" s="19"/>
    </row>
    <row r="796" ht="15.75" customHeight="1">
      <c r="A796" s="3"/>
      <c r="B796" s="19"/>
      <c r="C796" s="19"/>
      <c r="D796" s="27"/>
      <c r="E796" s="27"/>
      <c r="F796" s="28"/>
      <c r="G796" s="31" t="str">
        <f t="shared" si="2"/>
        <v/>
      </c>
      <c r="H796" s="30"/>
      <c r="I796" s="21" t="str">
        <f t="shared" si="1"/>
        <v/>
      </c>
      <c r="J796" s="19"/>
    </row>
    <row r="797" ht="15.75" customHeight="1">
      <c r="A797" s="3"/>
      <c r="B797" s="19"/>
      <c r="C797" s="19"/>
      <c r="D797" s="27"/>
      <c r="E797" s="27"/>
      <c r="F797" s="28"/>
      <c r="G797" s="31" t="str">
        <f t="shared" si="2"/>
        <v/>
      </c>
      <c r="H797" s="30"/>
      <c r="I797" s="21" t="str">
        <f t="shared" si="1"/>
        <v/>
      </c>
      <c r="J797" s="19"/>
    </row>
    <row r="798" ht="15.75" customHeight="1">
      <c r="A798" s="3"/>
      <c r="B798" s="19"/>
      <c r="C798" s="19"/>
      <c r="D798" s="27"/>
      <c r="E798" s="27"/>
      <c r="F798" s="28"/>
      <c r="G798" s="31" t="str">
        <f t="shared" si="2"/>
        <v/>
      </c>
      <c r="H798" s="30"/>
      <c r="I798" s="21" t="str">
        <f t="shared" si="1"/>
        <v/>
      </c>
      <c r="J798" s="19"/>
    </row>
    <row r="799" ht="15.75" customHeight="1">
      <c r="A799" s="3"/>
      <c r="B799" s="19"/>
      <c r="C799" s="19"/>
      <c r="D799" s="27"/>
      <c r="E799" s="27"/>
      <c r="F799" s="28"/>
      <c r="G799" s="31" t="str">
        <f t="shared" si="2"/>
        <v/>
      </c>
      <c r="H799" s="30"/>
      <c r="I799" s="21" t="str">
        <f t="shared" si="1"/>
        <v/>
      </c>
      <c r="J799" s="19"/>
    </row>
    <row r="800" ht="15.75" customHeight="1">
      <c r="A800" s="3"/>
      <c r="B800" s="19"/>
      <c r="C800" s="19"/>
      <c r="D800" s="27"/>
      <c r="E800" s="27"/>
      <c r="F800" s="28"/>
      <c r="G800" s="31" t="str">
        <f t="shared" si="2"/>
        <v/>
      </c>
      <c r="H800" s="30"/>
      <c r="I800" s="21" t="str">
        <f t="shared" si="1"/>
        <v/>
      </c>
      <c r="J800" s="19"/>
    </row>
    <row r="801" ht="15.75" customHeight="1">
      <c r="A801" s="3"/>
      <c r="B801" s="19"/>
      <c r="C801" s="19"/>
      <c r="D801" s="27"/>
      <c r="E801" s="27"/>
      <c r="F801" s="28"/>
      <c r="G801" s="31" t="str">
        <f t="shared" si="2"/>
        <v/>
      </c>
      <c r="H801" s="30"/>
      <c r="I801" s="21" t="str">
        <f t="shared" si="1"/>
        <v/>
      </c>
      <c r="J801" s="19"/>
    </row>
    <row r="802" ht="15.75" customHeight="1">
      <c r="A802" s="3"/>
      <c r="B802" s="19"/>
      <c r="C802" s="19"/>
      <c r="D802" s="27"/>
      <c r="E802" s="27"/>
      <c r="F802" s="28"/>
      <c r="G802" s="31" t="str">
        <f t="shared" si="2"/>
        <v/>
      </c>
      <c r="H802" s="30"/>
      <c r="I802" s="21" t="str">
        <f t="shared" si="1"/>
        <v/>
      </c>
      <c r="J802" s="19"/>
    </row>
    <row r="803" ht="15.75" customHeight="1">
      <c r="A803" s="3"/>
      <c r="B803" s="19"/>
      <c r="C803" s="19"/>
      <c r="D803" s="27"/>
      <c r="E803" s="27"/>
      <c r="F803" s="28"/>
      <c r="G803" s="31" t="str">
        <f t="shared" si="2"/>
        <v/>
      </c>
      <c r="H803" s="30"/>
      <c r="I803" s="21" t="str">
        <f t="shared" si="1"/>
        <v/>
      </c>
      <c r="J803" s="19"/>
    </row>
    <row r="804" ht="15.75" customHeight="1">
      <c r="A804" s="3"/>
      <c r="B804" s="19"/>
      <c r="C804" s="19"/>
      <c r="D804" s="27"/>
      <c r="E804" s="27"/>
      <c r="F804" s="28"/>
      <c r="G804" s="31" t="str">
        <f t="shared" si="2"/>
        <v/>
      </c>
      <c r="H804" s="30"/>
      <c r="I804" s="21" t="str">
        <f t="shared" si="1"/>
        <v/>
      </c>
      <c r="J804" s="19"/>
    </row>
    <row r="805" ht="15.75" customHeight="1">
      <c r="A805" s="3"/>
      <c r="B805" s="19"/>
      <c r="C805" s="19"/>
      <c r="D805" s="27"/>
      <c r="E805" s="27"/>
      <c r="F805" s="28"/>
      <c r="G805" s="31" t="str">
        <f t="shared" si="2"/>
        <v/>
      </c>
      <c r="H805" s="30"/>
      <c r="I805" s="21" t="str">
        <f t="shared" si="1"/>
        <v/>
      </c>
      <c r="J805" s="19"/>
    </row>
    <row r="806" ht="15.75" customHeight="1">
      <c r="A806" s="3"/>
      <c r="B806" s="19"/>
      <c r="C806" s="19"/>
      <c r="D806" s="27"/>
      <c r="E806" s="27"/>
      <c r="F806" s="28"/>
      <c r="G806" s="31" t="str">
        <f t="shared" si="2"/>
        <v/>
      </c>
      <c r="H806" s="30"/>
      <c r="I806" s="21" t="str">
        <f t="shared" si="1"/>
        <v/>
      </c>
      <c r="J806" s="19"/>
    </row>
    <row r="807" ht="15.75" customHeight="1">
      <c r="A807" s="3"/>
      <c r="B807" s="19"/>
      <c r="C807" s="19"/>
      <c r="D807" s="27"/>
      <c r="E807" s="27"/>
      <c r="F807" s="28"/>
      <c r="G807" s="31" t="str">
        <f t="shared" si="2"/>
        <v/>
      </c>
      <c r="H807" s="30"/>
      <c r="I807" s="21" t="str">
        <f t="shared" si="1"/>
        <v/>
      </c>
      <c r="J807" s="19"/>
    </row>
    <row r="808" ht="15.75" customHeight="1">
      <c r="A808" s="3"/>
      <c r="B808" s="19"/>
      <c r="C808" s="19"/>
      <c r="D808" s="27"/>
      <c r="E808" s="27"/>
      <c r="F808" s="28"/>
      <c r="G808" s="31" t="str">
        <f t="shared" si="2"/>
        <v/>
      </c>
      <c r="H808" s="30"/>
      <c r="I808" s="21" t="str">
        <f t="shared" si="1"/>
        <v/>
      </c>
      <c r="J808" s="19"/>
    </row>
    <row r="809" ht="15.75" customHeight="1">
      <c r="A809" s="3"/>
      <c r="B809" s="19"/>
      <c r="C809" s="19"/>
      <c r="D809" s="27"/>
      <c r="E809" s="27"/>
      <c r="F809" s="28"/>
      <c r="G809" s="31" t="str">
        <f t="shared" si="2"/>
        <v/>
      </c>
      <c r="H809" s="30"/>
      <c r="I809" s="21" t="str">
        <f t="shared" si="1"/>
        <v/>
      </c>
      <c r="J809" s="19"/>
    </row>
    <row r="810" ht="15.75" customHeight="1">
      <c r="A810" s="3"/>
      <c r="B810" s="19"/>
      <c r="C810" s="19"/>
      <c r="D810" s="27"/>
      <c r="E810" s="27"/>
      <c r="F810" s="28"/>
      <c r="G810" s="31" t="str">
        <f t="shared" si="2"/>
        <v/>
      </c>
      <c r="H810" s="30"/>
      <c r="I810" s="21" t="str">
        <f t="shared" si="1"/>
        <v/>
      </c>
      <c r="J810" s="19"/>
    </row>
    <row r="811" ht="15.75" customHeight="1">
      <c r="A811" s="3"/>
      <c r="B811" s="19"/>
      <c r="C811" s="19"/>
      <c r="D811" s="27"/>
      <c r="E811" s="27"/>
      <c r="F811" s="28"/>
      <c r="G811" s="31" t="str">
        <f t="shared" si="2"/>
        <v/>
      </c>
      <c r="H811" s="30"/>
      <c r="I811" s="21" t="str">
        <f t="shared" si="1"/>
        <v/>
      </c>
      <c r="J811" s="19"/>
    </row>
    <row r="812" ht="15.75" customHeight="1">
      <c r="A812" s="3"/>
      <c r="B812" s="19"/>
      <c r="C812" s="19"/>
      <c r="D812" s="27"/>
      <c r="E812" s="27"/>
      <c r="F812" s="28"/>
      <c r="G812" s="31" t="str">
        <f t="shared" si="2"/>
        <v/>
      </c>
      <c r="H812" s="30"/>
      <c r="I812" s="21" t="str">
        <f t="shared" si="1"/>
        <v/>
      </c>
      <c r="J812" s="19"/>
    </row>
    <row r="813" ht="15.75" customHeight="1">
      <c r="A813" s="3"/>
      <c r="B813" s="19"/>
      <c r="C813" s="19"/>
      <c r="D813" s="27"/>
      <c r="E813" s="27"/>
      <c r="F813" s="28"/>
      <c r="G813" s="31" t="str">
        <f t="shared" si="2"/>
        <v/>
      </c>
      <c r="H813" s="30"/>
      <c r="I813" s="21" t="str">
        <f t="shared" si="1"/>
        <v/>
      </c>
      <c r="J813" s="19"/>
    </row>
    <row r="814" ht="15.75" customHeight="1">
      <c r="A814" s="3"/>
      <c r="B814" s="19"/>
      <c r="C814" s="19"/>
      <c r="D814" s="27"/>
      <c r="E814" s="27"/>
      <c r="F814" s="28"/>
      <c r="G814" s="31" t="str">
        <f t="shared" si="2"/>
        <v/>
      </c>
      <c r="H814" s="30"/>
      <c r="I814" s="21" t="str">
        <f t="shared" si="1"/>
        <v/>
      </c>
      <c r="J814" s="19"/>
    </row>
    <row r="815" ht="15.75" customHeight="1">
      <c r="A815" s="3"/>
      <c r="B815" s="19"/>
      <c r="C815" s="19"/>
      <c r="D815" s="27"/>
      <c r="E815" s="27"/>
      <c r="F815" s="28"/>
      <c r="G815" s="31" t="str">
        <f t="shared" si="2"/>
        <v/>
      </c>
      <c r="H815" s="30"/>
      <c r="I815" s="21" t="str">
        <f t="shared" si="1"/>
        <v/>
      </c>
      <c r="J815" s="19"/>
    </row>
    <row r="816" ht="15.75" customHeight="1">
      <c r="A816" s="3"/>
      <c r="B816" s="19"/>
      <c r="C816" s="19"/>
      <c r="D816" s="27"/>
      <c r="E816" s="27"/>
      <c r="F816" s="28"/>
      <c r="G816" s="31" t="str">
        <f t="shared" si="2"/>
        <v/>
      </c>
      <c r="H816" s="30"/>
      <c r="I816" s="21" t="str">
        <f t="shared" si="1"/>
        <v/>
      </c>
      <c r="J816" s="19"/>
    </row>
    <row r="817" ht="15.75" customHeight="1">
      <c r="A817" s="3"/>
      <c r="B817" s="19"/>
      <c r="C817" s="19"/>
      <c r="D817" s="27"/>
      <c r="E817" s="27"/>
      <c r="F817" s="28"/>
      <c r="G817" s="31" t="str">
        <f t="shared" si="2"/>
        <v/>
      </c>
      <c r="H817" s="30"/>
      <c r="I817" s="21" t="str">
        <f t="shared" si="1"/>
        <v/>
      </c>
      <c r="J817" s="19"/>
    </row>
    <row r="818" ht="15.75" customHeight="1">
      <c r="A818" s="3"/>
      <c r="B818" s="19"/>
      <c r="C818" s="19"/>
      <c r="D818" s="27"/>
      <c r="E818" s="27"/>
      <c r="F818" s="28"/>
      <c r="G818" s="31" t="str">
        <f t="shared" si="2"/>
        <v/>
      </c>
      <c r="H818" s="30"/>
      <c r="I818" s="21" t="str">
        <f t="shared" si="1"/>
        <v/>
      </c>
      <c r="J818" s="19"/>
    </row>
    <row r="819" ht="15.75" customHeight="1">
      <c r="A819" s="3"/>
      <c r="B819" s="19"/>
      <c r="C819" s="19"/>
      <c r="D819" s="27"/>
      <c r="E819" s="27"/>
      <c r="F819" s="28"/>
      <c r="G819" s="31" t="str">
        <f t="shared" si="2"/>
        <v/>
      </c>
      <c r="H819" s="30"/>
      <c r="I819" s="21" t="str">
        <f t="shared" si="1"/>
        <v/>
      </c>
      <c r="J819" s="19"/>
    </row>
    <row r="820" ht="15.75" customHeight="1">
      <c r="A820" s="3"/>
      <c r="B820" s="19"/>
      <c r="C820" s="19"/>
      <c r="D820" s="27"/>
      <c r="E820" s="27"/>
      <c r="F820" s="28"/>
      <c r="G820" s="31" t="str">
        <f t="shared" si="2"/>
        <v/>
      </c>
      <c r="H820" s="30"/>
      <c r="I820" s="21" t="str">
        <f t="shared" si="1"/>
        <v/>
      </c>
      <c r="J820" s="19"/>
    </row>
    <row r="821" ht="15.75" customHeight="1">
      <c r="A821" s="3"/>
      <c r="B821" s="19"/>
      <c r="C821" s="19"/>
      <c r="D821" s="27"/>
      <c r="E821" s="27"/>
      <c r="F821" s="28"/>
      <c r="G821" s="31" t="str">
        <f t="shared" si="2"/>
        <v/>
      </c>
      <c r="H821" s="30"/>
      <c r="I821" s="21" t="str">
        <f t="shared" si="1"/>
        <v/>
      </c>
      <c r="J821" s="19"/>
    </row>
    <row r="822" ht="15.75" customHeight="1">
      <c r="A822" s="3"/>
      <c r="B822" s="19"/>
      <c r="C822" s="19"/>
      <c r="D822" s="27"/>
      <c r="E822" s="27"/>
      <c r="F822" s="28"/>
      <c r="G822" s="31" t="str">
        <f t="shared" si="2"/>
        <v/>
      </c>
      <c r="H822" s="30"/>
      <c r="I822" s="21" t="str">
        <f t="shared" si="1"/>
        <v/>
      </c>
      <c r="J822" s="19"/>
    </row>
    <row r="823" ht="15.75" customHeight="1">
      <c r="A823" s="3"/>
      <c r="B823" s="19"/>
      <c r="C823" s="19"/>
      <c r="D823" s="27"/>
      <c r="E823" s="27"/>
      <c r="F823" s="28"/>
      <c r="G823" s="31" t="str">
        <f t="shared" si="2"/>
        <v/>
      </c>
      <c r="H823" s="30"/>
      <c r="I823" s="21" t="str">
        <f t="shared" si="1"/>
        <v/>
      </c>
      <c r="J823" s="19"/>
    </row>
    <row r="824" ht="15.75" customHeight="1">
      <c r="A824" s="3"/>
      <c r="B824" s="19"/>
      <c r="C824" s="19"/>
      <c r="D824" s="27"/>
      <c r="E824" s="27"/>
      <c r="F824" s="28"/>
      <c r="G824" s="31" t="str">
        <f t="shared" si="2"/>
        <v/>
      </c>
      <c r="H824" s="30"/>
      <c r="I824" s="21" t="str">
        <f t="shared" si="1"/>
        <v/>
      </c>
      <c r="J824" s="19"/>
    </row>
    <row r="825" ht="15.75" customHeight="1">
      <c r="A825" s="3"/>
      <c r="B825" s="19"/>
      <c r="C825" s="19"/>
      <c r="D825" s="27"/>
      <c r="E825" s="27"/>
      <c r="F825" s="28"/>
      <c r="G825" s="31" t="str">
        <f t="shared" si="2"/>
        <v/>
      </c>
      <c r="H825" s="30"/>
      <c r="I825" s="21" t="str">
        <f t="shared" si="1"/>
        <v/>
      </c>
      <c r="J825" s="19"/>
    </row>
    <row r="826" ht="15.75" customHeight="1">
      <c r="A826" s="3"/>
      <c r="B826" s="19"/>
      <c r="C826" s="19"/>
      <c r="D826" s="27"/>
      <c r="E826" s="27"/>
      <c r="F826" s="28"/>
      <c r="G826" s="31" t="str">
        <f t="shared" si="2"/>
        <v/>
      </c>
      <c r="H826" s="30"/>
      <c r="I826" s="21" t="str">
        <f t="shared" si="1"/>
        <v/>
      </c>
      <c r="J826" s="19"/>
    </row>
    <row r="827" ht="15.75" customHeight="1">
      <c r="A827" s="3"/>
      <c r="B827" s="19"/>
      <c r="C827" s="19"/>
      <c r="D827" s="27"/>
      <c r="E827" s="27"/>
      <c r="F827" s="28"/>
      <c r="G827" s="31" t="str">
        <f t="shared" si="2"/>
        <v/>
      </c>
      <c r="H827" s="30"/>
      <c r="I827" s="21" t="str">
        <f t="shared" si="1"/>
        <v/>
      </c>
      <c r="J827" s="19"/>
    </row>
    <row r="828" ht="15.75" customHeight="1">
      <c r="A828" s="3"/>
      <c r="B828" s="19"/>
      <c r="C828" s="19"/>
      <c r="D828" s="27"/>
      <c r="E828" s="27"/>
      <c r="F828" s="28"/>
      <c r="G828" s="31" t="str">
        <f t="shared" si="2"/>
        <v/>
      </c>
      <c r="H828" s="30"/>
      <c r="I828" s="21" t="str">
        <f t="shared" si="1"/>
        <v/>
      </c>
      <c r="J828" s="19"/>
    </row>
    <row r="829" ht="15.75" customHeight="1">
      <c r="A829" s="3"/>
      <c r="B829" s="19"/>
      <c r="C829" s="19"/>
      <c r="D829" s="27"/>
      <c r="E829" s="27"/>
      <c r="F829" s="28"/>
      <c r="G829" s="31" t="str">
        <f t="shared" si="2"/>
        <v/>
      </c>
      <c r="H829" s="30"/>
      <c r="I829" s="21" t="str">
        <f t="shared" si="1"/>
        <v/>
      </c>
      <c r="J829" s="19"/>
    </row>
    <row r="830" ht="15.75" customHeight="1">
      <c r="A830" s="3"/>
      <c r="B830" s="19"/>
      <c r="C830" s="19"/>
      <c r="D830" s="27"/>
      <c r="E830" s="27"/>
      <c r="F830" s="28"/>
      <c r="G830" s="31" t="str">
        <f t="shared" si="2"/>
        <v/>
      </c>
      <c r="H830" s="30"/>
      <c r="I830" s="21" t="str">
        <f t="shared" si="1"/>
        <v/>
      </c>
      <c r="J830" s="19"/>
    </row>
    <row r="831" ht="15.75" customHeight="1">
      <c r="A831" s="3"/>
      <c r="B831" s="19"/>
      <c r="C831" s="19"/>
      <c r="D831" s="27"/>
      <c r="E831" s="27"/>
      <c r="F831" s="28"/>
      <c r="G831" s="31" t="str">
        <f t="shared" si="2"/>
        <v/>
      </c>
      <c r="H831" s="30"/>
      <c r="I831" s="21" t="str">
        <f t="shared" si="1"/>
        <v/>
      </c>
      <c r="J831" s="19"/>
    </row>
    <row r="832" ht="15.75" customHeight="1">
      <c r="A832" s="3"/>
      <c r="B832" s="19"/>
      <c r="C832" s="19"/>
      <c r="D832" s="27"/>
      <c r="E832" s="27"/>
      <c r="F832" s="28"/>
      <c r="G832" s="31" t="str">
        <f t="shared" si="2"/>
        <v/>
      </c>
      <c r="H832" s="30"/>
      <c r="I832" s="21" t="str">
        <f t="shared" si="1"/>
        <v/>
      </c>
      <c r="J832" s="19"/>
    </row>
    <row r="833" ht="15.75" customHeight="1">
      <c r="A833" s="3"/>
      <c r="B833" s="19"/>
      <c r="C833" s="19"/>
      <c r="D833" s="27"/>
      <c r="E833" s="27"/>
      <c r="F833" s="28"/>
      <c r="G833" s="31" t="str">
        <f t="shared" si="2"/>
        <v/>
      </c>
      <c r="H833" s="30"/>
      <c r="I833" s="21" t="str">
        <f t="shared" si="1"/>
        <v/>
      </c>
      <c r="J833" s="19"/>
    </row>
    <row r="834" ht="15.75" customHeight="1">
      <c r="A834" s="3"/>
      <c r="B834" s="19"/>
      <c r="C834" s="19"/>
      <c r="D834" s="27"/>
      <c r="E834" s="27"/>
      <c r="F834" s="28"/>
      <c r="G834" s="31" t="str">
        <f t="shared" si="2"/>
        <v/>
      </c>
      <c r="H834" s="30"/>
      <c r="I834" s="21" t="str">
        <f t="shared" si="1"/>
        <v/>
      </c>
      <c r="J834" s="19"/>
    </row>
    <row r="835" ht="15.75" customHeight="1">
      <c r="A835" s="3"/>
      <c r="B835" s="19"/>
      <c r="C835" s="19"/>
      <c r="D835" s="27"/>
      <c r="E835" s="27"/>
      <c r="F835" s="28"/>
      <c r="G835" s="31" t="str">
        <f t="shared" si="2"/>
        <v/>
      </c>
      <c r="H835" s="30"/>
      <c r="I835" s="21" t="str">
        <f t="shared" si="1"/>
        <v/>
      </c>
      <c r="J835" s="19"/>
    </row>
    <row r="836" ht="15.75" customHeight="1">
      <c r="A836" s="3"/>
      <c r="B836" s="19"/>
      <c r="C836" s="19"/>
      <c r="D836" s="27"/>
      <c r="E836" s="27"/>
      <c r="F836" s="28"/>
      <c r="G836" s="31" t="str">
        <f t="shared" si="2"/>
        <v/>
      </c>
      <c r="H836" s="30"/>
      <c r="I836" s="21" t="str">
        <f t="shared" si="1"/>
        <v/>
      </c>
      <c r="J836" s="19"/>
    </row>
    <row r="837" ht="15.75" customHeight="1">
      <c r="A837" s="3"/>
      <c r="B837" s="19"/>
      <c r="C837" s="19"/>
      <c r="D837" s="27"/>
      <c r="E837" s="27"/>
      <c r="F837" s="28"/>
      <c r="G837" s="31" t="str">
        <f t="shared" si="2"/>
        <v/>
      </c>
      <c r="H837" s="30"/>
      <c r="I837" s="21" t="str">
        <f t="shared" si="1"/>
        <v/>
      </c>
      <c r="J837" s="19"/>
    </row>
    <row r="838" ht="15.75" customHeight="1">
      <c r="A838" s="3"/>
      <c r="B838" s="19"/>
      <c r="C838" s="19"/>
      <c r="D838" s="27"/>
      <c r="E838" s="27"/>
      <c r="F838" s="28"/>
      <c r="G838" s="31" t="str">
        <f t="shared" si="2"/>
        <v/>
      </c>
      <c r="H838" s="30"/>
      <c r="I838" s="21" t="str">
        <f t="shared" si="1"/>
        <v/>
      </c>
      <c r="J838" s="19"/>
    </row>
    <row r="839" ht="15.75" customHeight="1">
      <c r="A839" s="3"/>
      <c r="B839" s="19"/>
      <c r="C839" s="19"/>
      <c r="D839" s="27"/>
      <c r="E839" s="27"/>
      <c r="F839" s="28"/>
      <c r="G839" s="31" t="str">
        <f t="shared" si="2"/>
        <v/>
      </c>
      <c r="H839" s="30"/>
      <c r="I839" s="21" t="str">
        <f t="shared" si="1"/>
        <v/>
      </c>
      <c r="J839" s="19"/>
    </row>
    <row r="840" ht="15.75" customHeight="1">
      <c r="A840" s="3"/>
      <c r="B840" s="19"/>
      <c r="C840" s="19"/>
      <c r="D840" s="27"/>
      <c r="E840" s="27"/>
      <c r="F840" s="28"/>
      <c r="G840" s="31" t="str">
        <f t="shared" si="2"/>
        <v/>
      </c>
      <c r="H840" s="30"/>
      <c r="I840" s="21" t="str">
        <f t="shared" si="1"/>
        <v/>
      </c>
      <c r="J840" s="19"/>
    </row>
    <row r="841" ht="15.75" customHeight="1">
      <c r="A841" s="3"/>
      <c r="B841" s="19"/>
      <c r="C841" s="19"/>
      <c r="D841" s="27"/>
      <c r="E841" s="27"/>
      <c r="F841" s="28"/>
      <c r="G841" s="31" t="str">
        <f t="shared" si="2"/>
        <v/>
      </c>
      <c r="H841" s="30"/>
      <c r="I841" s="21" t="str">
        <f t="shared" si="1"/>
        <v/>
      </c>
      <c r="J841" s="19"/>
    </row>
    <row r="842" ht="15.75" customHeight="1">
      <c r="A842" s="3"/>
      <c r="B842" s="19"/>
      <c r="C842" s="19"/>
      <c r="D842" s="27"/>
      <c r="E842" s="27"/>
      <c r="F842" s="28"/>
      <c r="G842" s="31" t="str">
        <f t="shared" si="2"/>
        <v/>
      </c>
      <c r="H842" s="30"/>
      <c r="I842" s="21" t="str">
        <f t="shared" si="1"/>
        <v/>
      </c>
      <c r="J842" s="19"/>
    </row>
    <row r="843" ht="15.75" customHeight="1">
      <c r="A843" s="3"/>
      <c r="B843" s="19"/>
      <c r="C843" s="19"/>
      <c r="D843" s="27"/>
      <c r="E843" s="27"/>
      <c r="F843" s="28"/>
      <c r="G843" s="31" t="str">
        <f t="shared" si="2"/>
        <v/>
      </c>
      <c r="H843" s="30"/>
      <c r="I843" s="21" t="str">
        <f t="shared" si="1"/>
        <v/>
      </c>
      <c r="J843" s="19"/>
    </row>
    <row r="844" ht="15.75" customHeight="1">
      <c r="A844" s="3"/>
      <c r="B844" s="19"/>
      <c r="C844" s="19"/>
      <c r="D844" s="27"/>
      <c r="E844" s="27"/>
      <c r="F844" s="28"/>
      <c r="G844" s="31" t="str">
        <f t="shared" si="2"/>
        <v/>
      </c>
      <c r="H844" s="30"/>
      <c r="I844" s="21" t="str">
        <f t="shared" si="1"/>
        <v/>
      </c>
      <c r="J844" s="19"/>
    </row>
    <row r="845" ht="15.75" customHeight="1">
      <c r="A845" s="3"/>
      <c r="B845" s="19"/>
      <c r="C845" s="19"/>
      <c r="D845" s="27"/>
      <c r="E845" s="27"/>
      <c r="F845" s="28"/>
      <c r="G845" s="31" t="str">
        <f t="shared" si="2"/>
        <v/>
      </c>
      <c r="H845" s="30"/>
      <c r="I845" s="21" t="str">
        <f t="shared" si="1"/>
        <v/>
      </c>
      <c r="J845" s="19"/>
    </row>
    <row r="846" ht="15.75" customHeight="1">
      <c r="A846" s="3"/>
      <c r="B846" s="19"/>
      <c r="C846" s="19"/>
      <c r="D846" s="27"/>
      <c r="E846" s="27"/>
      <c r="F846" s="28"/>
      <c r="G846" s="31" t="str">
        <f t="shared" si="2"/>
        <v/>
      </c>
      <c r="H846" s="30"/>
      <c r="I846" s="21" t="str">
        <f t="shared" si="1"/>
        <v/>
      </c>
      <c r="J846" s="19"/>
    </row>
    <row r="847" ht="15.75" customHeight="1">
      <c r="A847" s="3"/>
      <c r="B847" s="19"/>
      <c r="C847" s="19"/>
      <c r="D847" s="27"/>
      <c r="E847" s="27"/>
      <c r="F847" s="28"/>
      <c r="G847" s="31" t="str">
        <f t="shared" si="2"/>
        <v/>
      </c>
      <c r="H847" s="30"/>
      <c r="I847" s="21" t="str">
        <f t="shared" si="1"/>
        <v/>
      </c>
      <c r="J847" s="19"/>
    </row>
    <row r="848" ht="15.75" customHeight="1">
      <c r="A848" s="3"/>
      <c r="B848" s="19"/>
      <c r="C848" s="19"/>
      <c r="D848" s="27"/>
      <c r="E848" s="27"/>
      <c r="F848" s="28"/>
      <c r="G848" s="31" t="str">
        <f t="shared" si="2"/>
        <v/>
      </c>
      <c r="H848" s="30"/>
      <c r="I848" s="21" t="str">
        <f t="shared" si="1"/>
        <v/>
      </c>
      <c r="J848" s="19"/>
    </row>
    <row r="849" ht="15.75" customHeight="1">
      <c r="A849" s="3"/>
      <c r="B849" s="19"/>
      <c r="C849" s="19"/>
      <c r="D849" s="27"/>
      <c r="E849" s="27"/>
      <c r="F849" s="28"/>
      <c r="G849" s="31" t="str">
        <f t="shared" si="2"/>
        <v/>
      </c>
      <c r="H849" s="30"/>
      <c r="I849" s="21" t="str">
        <f t="shared" si="1"/>
        <v/>
      </c>
      <c r="J849" s="19"/>
    </row>
    <row r="850" ht="15.75" customHeight="1">
      <c r="A850" s="3"/>
      <c r="B850" s="19"/>
      <c r="C850" s="19"/>
      <c r="D850" s="27"/>
      <c r="E850" s="27"/>
      <c r="F850" s="28"/>
      <c r="G850" s="31" t="str">
        <f t="shared" si="2"/>
        <v/>
      </c>
      <c r="H850" s="30"/>
      <c r="I850" s="21" t="str">
        <f t="shared" si="1"/>
        <v/>
      </c>
      <c r="J850" s="19"/>
    </row>
    <row r="851" ht="15.75" customHeight="1">
      <c r="A851" s="3"/>
      <c r="B851" s="19"/>
      <c r="C851" s="19"/>
      <c r="D851" s="27"/>
      <c r="E851" s="27"/>
      <c r="F851" s="28"/>
      <c r="G851" s="31" t="str">
        <f t="shared" si="2"/>
        <v/>
      </c>
      <c r="H851" s="30"/>
      <c r="I851" s="21" t="str">
        <f t="shared" si="1"/>
        <v/>
      </c>
      <c r="J851" s="19"/>
    </row>
    <row r="852" ht="15.75" customHeight="1">
      <c r="A852" s="3"/>
      <c r="B852" s="19"/>
      <c r="C852" s="19"/>
      <c r="D852" s="27"/>
      <c r="E852" s="27"/>
      <c r="F852" s="28"/>
      <c r="G852" s="31" t="str">
        <f t="shared" si="2"/>
        <v/>
      </c>
      <c r="H852" s="30"/>
      <c r="I852" s="21" t="str">
        <f t="shared" si="1"/>
        <v/>
      </c>
      <c r="J852" s="19"/>
    </row>
    <row r="853" ht="15.75" customHeight="1">
      <c r="A853" s="3"/>
      <c r="B853" s="19"/>
      <c r="C853" s="19"/>
      <c r="D853" s="27"/>
      <c r="E853" s="27"/>
      <c r="F853" s="28"/>
      <c r="G853" s="31" t="str">
        <f t="shared" si="2"/>
        <v/>
      </c>
      <c r="H853" s="30"/>
      <c r="I853" s="21" t="str">
        <f t="shared" si="1"/>
        <v/>
      </c>
      <c r="J853" s="19"/>
    </row>
    <row r="854" ht="15.75" customHeight="1">
      <c r="A854" s="3"/>
      <c r="B854" s="19"/>
      <c r="C854" s="19"/>
      <c r="D854" s="27"/>
      <c r="E854" s="27"/>
      <c r="F854" s="28"/>
      <c r="G854" s="31" t="str">
        <f t="shared" si="2"/>
        <v/>
      </c>
      <c r="H854" s="30"/>
      <c r="I854" s="21" t="str">
        <f t="shared" si="1"/>
        <v/>
      </c>
      <c r="J854" s="19"/>
    </row>
    <row r="855" ht="15.75" customHeight="1">
      <c r="A855" s="3"/>
      <c r="B855" s="19"/>
      <c r="C855" s="19"/>
      <c r="D855" s="27"/>
      <c r="E855" s="27"/>
      <c r="F855" s="28"/>
      <c r="G855" s="31" t="str">
        <f t="shared" si="2"/>
        <v/>
      </c>
      <c r="H855" s="30"/>
      <c r="I855" s="21" t="str">
        <f t="shared" si="1"/>
        <v/>
      </c>
      <c r="J855" s="19"/>
    </row>
    <row r="856" ht="15.75" customHeight="1">
      <c r="A856" s="3"/>
      <c r="B856" s="19"/>
      <c r="C856" s="19"/>
      <c r="D856" s="27"/>
      <c r="E856" s="27"/>
      <c r="F856" s="28"/>
      <c r="G856" s="31" t="str">
        <f t="shared" si="2"/>
        <v/>
      </c>
      <c r="H856" s="30"/>
      <c r="I856" s="21" t="str">
        <f t="shared" si="1"/>
        <v/>
      </c>
      <c r="J856" s="19"/>
    </row>
    <row r="857" ht="15.75" customHeight="1">
      <c r="A857" s="3"/>
      <c r="B857" s="19"/>
      <c r="C857" s="19"/>
      <c r="D857" s="27"/>
      <c r="E857" s="27"/>
      <c r="F857" s="28"/>
      <c r="G857" s="31" t="str">
        <f t="shared" si="2"/>
        <v/>
      </c>
      <c r="H857" s="30"/>
      <c r="I857" s="21" t="str">
        <f t="shared" si="1"/>
        <v/>
      </c>
      <c r="J857" s="19"/>
    </row>
    <row r="858" ht="15.75" customHeight="1">
      <c r="A858" s="3"/>
      <c r="B858" s="19"/>
      <c r="C858" s="19"/>
      <c r="D858" s="27"/>
      <c r="E858" s="27"/>
      <c r="F858" s="28"/>
      <c r="G858" s="31" t="str">
        <f t="shared" si="2"/>
        <v/>
      </c>
      <c r="H858" s="30"/>
      <c r="I858" s="21" t="str">
        <f t="shared" si="1"/>
        <v/>
      </c>
      <c r="J858" s="19"/>
    </row>
    <row r="859" ht="15.75" customHeight="1">
      <c r="A859" s="3"/>
      <c r="B859" s="19"/>
      <c r="C859" s="19"/>
      <c r="D859" s="27"/>
      <c r="E859" s="27"/>
      <c r="F859" s="28"/>
      <c r="G859" s="31" t="str">
        <f t="shared" si="2"/>
        <v/>
      </c>
      <c r="H859" s="30"/>
      <c r="I859" s="21" t="str">
        <f t="shared" si="1"/>
        <v/>
      </c>
      <c r="J859" s="19"/>
    </row>
    <row r="860" ht="15.75" customHeight="1">
      <c r="A860" s="3"/>
      <c r="B860" s="19"/>
      <c r="C860" s="19"/>
      <c r="D860" s="27"/>
      <c r="E860" s="27"/>
      <c r="F860" s="28"/>
      <c r="G860" s="31" t="str">
        <f t="shared" si="2"/>
        <v/>
      </c>
      <c r="H860" s="30"/>
      <c r="I860" s="21" t="str">
        <f t="shared" si="1"/>
        <v/>
      </c>
      <c r="J860" s="19"/>
    </row>
    <row r="861" ht="15.75" customHeight="1">
      <c r="A861" s="3"/>
      <c r="B861" s="19"/>
      <c r="C861" s="19"/>
      <c r="D861" s="27"/>
      <c r="E861" s="27"/>
      <c r="F861" s="28"/>
      <c r="G861" s="31" t="str">
        <f t="shared" si="2"/>
        <v/>
      </c>
      <c r="H861" s="30"/>
      <c r="I861" s="21" t="str">
        <f t="shared" si="1"/>
        <v/>
      </c>
      <c r="J861" s="19"/>
    </row>
    <row r="862" ht="15.75" customHeight="1">
      <c r="A862" s="3"/>
      <c r="B862" s="19"/>
      <c r="C862" s="19"/>
      <c r="D862" s="27"/>
      <c r="E862" s="27"/>
      <c r="F862" s="28"/>
      <c r="G862" s="31" t="str">
        <f t="shared" si="2"/>
        <v/>
      </c>
      <c r="H862" s="30"/>
      <c r="I862" s="21" t="str">
        <f t="shared" si="1"/>
        <v/>
      </c>
      <c r="J862" s="19"/>
    </row>
    <row r="863" ht="15.75" customHeight="1">
      <c r="A863" s="3"/>
      <c r="B863" s="19"/>
      <c r="C863" s="19"/>
      <c r="D863" s="27"/>
      <c r="E863" s="27"/>
      <c r="F863" s="28"/>
      <c r="G863" s="31" t="str">
        <f t="shared" si="2"/>
        <v/>
      </c>
      <c r="H863" s="30"/>
      <c r="I863" s="21" t="str">
        <f t="shared" si="1"/>
        <v/>
      </c>
      <c r="J863" s="19"/>
    </row>
    <row r="864" ht="15.75" customHeight="1">
      <c r="A864" s="3"/>
      <c r="B864" s="19"/>
      <c r="C864" s="19"/>
      <c r="D864" s="27"/>
      <c r="E864" s="27"/>
      <c r="F864" s="28"/>
      <c r="G864" s="31" t="str">
        <f t="shared" si="2"/>
        <v/>
      </c>
      <c r="H864" s="30"/>
      <c r="I864" s="21" t="str">
        <f t="shared" si="1"/>
        <v/>
      </c>
      <c r="J864" s="19"/>
    </row>
    <row r="865" ht="15.75" customHeight="1">
      <c r="A865" s="3"/>
      <c r="B865" s="19"/>
      <c r="C865" s="19"/>
      <c r="D865" s="27"/>
      <c r="E865" s="27"/>
      <c r="F865" s="28"/>
      <c r="G865" s="31" t="str">
        <f t="shared" si="2"/>
        <v/>
      </c>
      <c r="H865" s="30"/>
      <c r="I865" s="21" t="str">
        <f t="shared" si="1"/>
        <v/>
      </c>
      <c r="J865" s="19"/>
    </row>
    <row r="866" ht="15.75" customHeight="1">
      <c r="A866" s="3"/>
      <c r="B866" s="19"/>
      <c r="C866" s="19"/>
      <c r="D866" s="27"/>
      <c r="E866" s="27"/>
      <c r="F866" s="28"/>
      <c r="G866" s="31" t="str">
        <f t="shared" si="2"/>
        <v/>
      </c>
      <c r="H866" s="30"/>
      <c r="I866" s="21" t="str">
        <f t="shared" si="1"/>
        <v/>
      </c>
      <c r="J866" s="19"/>
    </row>
    <row r="867" ht="15.75" customHeight="1">
      <c r="A867" s="3"/>
      <c r="B867" s="19"/>
      <c r="C867" s="19"/>
      <c r="D867" s="27"/>
      <c r="E867" s="27"/>
      <c r="F867" s="28"/>
      <c r="G867" s="31" t="str">
        <f t="shared" si="2"/>
        <v/>
      </c>
      <c r="H867" s="30"/>
      <c r="I867" s="21" t="str">
        <f t="shared" si="1"/>
        <v/>
      </c>
      <c r="J867" s="19"/>
    </row>
    <row r="868" ht="15.75" customHeight="1">
      <c r="A868" s="3"/>
      <c r="B868" s="19"/>
      <c r="C868" s="19"/>
      <c r="D868" s="27"/>
      <c r="E868" s="27"/>
      <c r="F868" s="28"/>
      <c r="G868" s="31" t="str">
        <f t="shared" si="2"/>
        <v/>
      </c>
      <c r="H868" s="30"/>
      <c r="I868" s="21" t="str">
        <f t="shared" si="1"/>
        <v/>
      </c>
      <c r="J868" s="19"/>
    </row>
    <row r="869" ht="15.75" customHeight="1">
      <c r="A869" s="3"/>
      <c r="B869" s="19"/>
      <c r="C869" s="19"/>
      <c r="D869" s="27"/>
      <c r="E869" s="27"/>
      <c r="F869" s="28"/>
      <c r="G869" s="31" t="str">
        <f t="shared" si="2"/>
        <v/>
      </c>
      <c r="H869" s="30"/>
      <c r="I869" s="21" t="str">
        <f t="shared" si="1"/>
        <v/>
      </c>
      <c r="J869" s="19"/>
    </row>
    <row r="870" ht="15.75" customHeight="1">
      <c r="A870" s="3"/>
      <c r="B870" s="19"/>
      <c r="C870" s="19"/>
      <c r="D870" s="27"/>
      <c r="E870" s="27"/>
      <c r="F870" s="28"/>
      <c r="G870" s="31" t="str">
        <f t="shared" si="2"/>
        <v/>
      </c>
      <c r="H870" s="30"/>
      <c r="I870" s="21" t="str">
        <f t="shared" si="1"/>
        <v/>
      </c>
      <c r="J870" s="19"/>
    </row>
    <row r="871" ht="15.75" customHeight="1">
      <c r="A871" s="3"/>
      <c r="B871" s="19"/>
      <c r="C871" s="19"/>
      <c r="D871" s="27"/>
      <c r="E871" s="27"/>
      <c r="F871" s="28"/>
      <c r="G871" s="31" t="str">
        <f t="shared" si="2"/>
        <v/>
      </c>
      <c r="H871" s="30"/>
      <c r="I871" s="21" t="str">
        <f t="shared" si="1"/>
        <v/>
      </c>
      <c r="J871" s="19"/>
    </row>
    <row r="872" ht="15.75" customHeight="1">
      <c r="A872" s="3"/>
      <c r="B872" s="19"/>
      <c r="C872" s="19"/>
      <c r="D872" s="27"/>
      <c r="E872" s="27"/>
      <c r="F872" s="28"/>
      <c r="G872" s="31" t="str">
        <f t="shared" si="2"/>
        <v/>
      </c>
      <c r="H872" s="30"/>
      <c r="I872" s="21" t="str">
        <f t="shared" si="1"/>
        <v/>
      </c>
      <c r="J872" s="19"/>
    </row>
    <row r="873" ht="15.75" customHeight="1">
      <c r="A873" s="3"/>
      <c r="B873" s="19"/>
      <c r="C873" s="19"/>
      <c r="D873" s="27"/>
      <c r="E873" s="27"/>
      <c r="F873" s="28"/>
      <c r="G873" s="31" t="str">
        <f t="shared" si="2"/>
        <v/>
      </c>
      <c r="H873" s="30"/>
      <c r="I873" s="21" t="str">
        <f t="shared" si="1"/>
        <v/>
      </c>
      <c r="J873" s="19"/>
    </row>
    <row r="874" ht="15.75" customHeight="1">
      <c r="A874" s="3"/>
      <c r="B874" s="19"/>
      <c r="C874" s="19"/>
      <c r="D874" s="27"/>
      <c r="E874" s="27"/>
      <c r="F874" s="28"/>
      <c r="G874" s="31" t="str">
        <f t="shared" si="2"/>
        <v/>
      </c>
      <c r="H874" s="30"/>
      <c r="I874" s="21" t="str">
        <f t="shared" si="1"/>
        <v/>
      </c>
      <c r="J874" s="19"/>
    </row>
    <row r="875" ht="15.75" customHeight="1">
      <c r="A875" s="3"/>
      <c r="B875" s="19"/>
      <c r="C875" s="19"/>
      <c r="D875" s="27"/>
      <c r="E875" s="27"/>
      <c r="F875" s="28"/>
      <c r="G875" s="31" t="str">
        <f t="shared" si="2"/>
        <v/>
      </c>
      <c r="H875" s="30"/>
      <c r="I875" s="21" t="str">
        <f t="shared" si="1"/>
        <v/>
      </c>
      <c r="J875" s="19"/>
    </row>
    <row r="876" ht="15.75" customHeight="1">
      <c r="A876" s="3"/>
      <c r="B876" s="19"/>
      <c r="C876" s="19"/>
      <c r="D876" s="27"/>
      <c r="E876" s="27"/>
      <c r="F876" s="28"/>
      <c r="G876" s="31" t="str">
        <f t="shared" si="2"/>
        <v/>
      </c>
      <c r="H876" s="30"/>
      <c r="I876" s="21" t="str">
        <f t="shared" si="1"/>
        <v/>
      </c>
      <c r="J876" s="19"/>
    </row>
    <row r="877" ht="15.75" customHeight="1">
      <c r="A877" s="3"/>
      <c r="B877" s="19"/>
      <c r="C877" s="19"/>
      <c r="D877" s="27"/>
      <c r="E877" s="27"/>
      <c r="F877" s="28"/>
      <c r="G877" s="31" t="str">
        <f t="shared" si="2"/>
        <v/>
      </c>
      <c r="H877" s="30"/>
      <c r="I877" s="21" t="str">
        <f t="shared" si="1"/>
        <v/>
      </c>
      <c r="J877" s="19"/>
    </row>
    <row r="878" ht="15.75" customHeight="1">
      <c r="A878" s="3"/>
      <c r="B878" s="19"/>
      <c r="C878" s="19"/>
      <c r="D878" s="27"/>
      <c r="E878" s="27"/>
      <c r="F878" s="28"/>
      <c r="G878" s="31" t="str">
        <f t="shared" si="2"/>
        <v/>
      </c>
      <c r="H878" s="30"/>
      <c r="I878" s="21" t="str">
        <f t="shared" si="1"/>
        <v/>
      </c>
      <c r="J878" s="19"/>
    </row>
    <row r="879" ht="15.75" customHeight="1">
      <c r="A879" s="3"/>
      <c r="B879" s="19"/>
      <c r="C879" s="19"/>
      <c r="D879" s="27"/>
      <c r="E879" s="27"/>
      <c r="F879" s="28"/>
      <c r="G879" s="31" t="str">
        <f t="shared" si="2"/>
        <v/>
      </c>
      <c r="H879" s="30"/>
      <c r="I879" s="21" t="str">
        <f t="shared" si="1"/>
        <v/>
      </c>
      <c r="J879" s="19"/>
    </row>
    <row r="880" ht="15.75" customHeight="1">
      <c r="A880" s="3"/>
      <c r="B880" s="19"/>
      <c r="C880" s="19"/>
      <c r="D880" s="27"/>
      <c r="E880" s="27"/>
      <c r="F880" s="28"/>
      <c r="G880" s="31" t="str">
        <f t="shared" si="2"/>
        <v/>
      </c>
      <c r="H880" s="30"/>
      <c r="I880" s="21" t="str">
        <f t="shared" si="1"/>
        <v/>
      </c>
      <c r="J880" s="19"/>
    </row>
    <row r="881" ht="15.75" customHeight="1">
      <c r="A881" s="3"/>
      <c r="B881" s="19"/>
      <c r="C881" s="19"/>
      <c r="D881" s="27"/>
      <c r="E881" s="27"/>
      <c r="F881" s="28"/>
      <c r="G881" s="31" t="str">
        <f t="shared" si="2"/>
        <v/>
      </c>
      <c r="H881" s="30"/>
      <c r="I881" s="21" t="str">
        <f t="shared" si="1"/>
        <v/>
      </c>
      <c r="J881" s="19"/>
    </row>
    <row r="882" ht="15.75" customHeight="1">
      <c r="A882" s="3"/>
      <c r="B882" s="19"/>
      <c r="C882" s="19"/>
      <c r="D882" s="27"/>
      <c r="E882" s="27"/>
      <c r="F882" s="28"/>
      <c r="G882" s="31" t="str">
        <f t="shared" si="2"/>
        <v/>
      </c>
      <c r="H882" s="30"/>
      <c r="I882" s="21" t="str">
        <f t="shared" si="1"/>
        <v/>
      </c>
      <c r="J882" s="19"/>
    </row>
    <row r="883" ht="15.75" customHeight="1">
      <c r="A883" s="3"/>
      <c r="B883" s="19"/>
      <c r="C883" s="19"/>
      <c r="D883" s="27"/>
      <c r="E883" s="27"/>
      <c r="F883" s="28"/>
      <c r="G883" s="31" t="str">
        <f t="shared" si="2"/>
        <v/>
      </c>
      <c r="H883" s="30"/>
      <c r="I883" s="21" t="str">
        <f t="shared" si="1"/>
        <v/>
      </c>
      <c r="J883" s="19"/>
    </row>
    <row r="884" ht="15.75" customHeight="1">
      <c r="A884" s="3"/>
      <c r="B884" s="19"/>
      <c r="C884" s="19"/>
      <c r="D884" s="27"/>
      <c r="E884" s="27"/>
      <c r="F884" s="28"/>
      <c r="G884" s="31" t="str">
        <f t="shared" si="2"/>
        <v/>
      </c>
      <c r="H884" s="30"/>
      <c r="I884" s="21" t="str">
        <f t="shared" si="1"/>
        <v/>
      </c>
      <c r="J884" s="19"/>
    </row>
    <row r="885" ht="15.75" customHeight="1">
      <c r="A885" s="3"/>
      <c r="B885" s="19"/>
      <c r="C885" s="19"/>
      <c r="D885" s="27"/>
      <c r="E885" s="27"/>
      <c r="F885" s="28"/>
      <c r="G885" s="31" t="str">
        <f t="shared" si="2"/>
        <v/>
      </c>
      <c r="H885" s="30"/>
      <c r="I885" s="21" t="str">
        <f t="shared" si="1"/>
        <v/>
      </c>
      <c r="J885" s="19"/>
    </row>
    <row r="886" ht="15.75" customHeight="1">
      <c r="A886" s="3"/>
      <c r="B886" s="19"/>
      <c r="C886" s="19"/>
      <c r="D886" s="27"/>
      <c r="E886" s="27"/>
      <c r="F886" s="28"/>
      <c r="G886" s="31" t="str">
        <f t="shared" si="2"/>
        <v/>
      </c>
      <c r="H886" s="30"/>
      <c r="I886" s="21" t="str">
        <f t="shared" si="1"/>
        <v/>
      </c>
      <c r="J886" s="19"/>
    </row>
    <row r="887" ht="15.75" customHeight="1">
      <c r="A887" s="3"/>
      <c r="B887" s="19"/>
      <c r="C887" s="19"/>
      <c r="D887" s="27"/>
      <c r="E887" s="27"/>
      <c r="F887" s="28"/>
      <c r="G887" s="31" t="str">
        <f t="shared" si="2"/>
        <v/>
      </c>
      <c r="H887" s="30"/>
      <c r="I887" s="21" t="str">
        <f t="shared" si="1"/>
        <v/>
      </c>
      <c r="J887" s="19"/>
    </row>
    <row r="888" ht="15.75" customHeight="1">
      <c r="A888" s="3"/>
      <c r="B888" s="19"/>
      <c r="C888" s="19"/>
      <c r="D888" s="27"/>
      <c r="E888" s="27"/>
      <c r="F888" s="28"/>
      <c r="G888" s="31" t="str">
        <f t="shared" si="2"/>
        <v/>
      </c>
      <c r="H888" s="30"/>
      <c r="I888" s="21" t="str">
        <f t="shared" si="1"/>
        <v/>
      </c>
      <c r="J888" s="19"/>
    </row>
    <row r="889" ht="15.75" customHeight="1">
      <c r="A889" s="3"/>
      <c r="B889" s="19"/>
      <c r="C889" s="19"/>
      <c r="D889" s="27"/>
      <c r="E889" s="27"/>
      <c r="F889" s="28"/>
      <c r="G889" s="31" t="str">
        <f t="shared" si="2"/>
        <v/>
      </c>
      <c r="H889" s="30"/>
      <c r="I889" s="21" t="str">
        <f t="shared" si="1"/>
        <v/>
      </c>
      <c r="J889" s="19"/>
    </row>
    <row r="890" ht="15.75" customHeight="1">
      <c r="A890" s="3"/>
      <c r="B890" s="19"/>
      <c r="C890" s="19"/>
      <c r="D890" s="27"/>
      <c r="E890" s="27"/>
      <c r="F890" s="28"/>
      <c r="G890" s="31" t="str">
        <f t="shared" si="2"/>
        <v/>
      </c>
      <c r="H890" s="30"/>
      <c r="I890" s="21" t="str">
        <f t="shared" si="1"/>
        <v/>
      </c>
      <c r="J890" s="19"/>
    </row>
    <row r="891" ht="15.75" customHeight="1">
      <c r="A891" s="3"/>
      <c r="B891" s="19"/>
      <c r="C891" s="19"/>
      <c r="D891" s="27"/>
      <c r="E891" s="27"/>
      <c r="F891" s="28"/>
      <c r="G891" s="31" t="str">
        <f t="shared" si="2"/>
        <v/>
      </c>
      <c r="H891" s="30"/>
      <c r="I891" s="21" t="str">
        <f t="shared" si="1"/>
        <v/>
      </c>
      <c r="J891" s="19"/>
    </row>
    <row r="892" ht="15.75" customHeight="1">
      <c r="A892" s="3"/>
      <c r="B892" s="19"/>
      <c r="C892" s="19"/>
      <c r="D892" s="27"/>
      <c r="E892" s="27"/>
      <c r="F892" s="28"/>
      <c r="G892" s="31" t="str">
        <f t="shared" si="2"/>
        <v/>
      </c>
      <c r="H892" s="30"/>
      <c r="I892" s="21" t="str">
        <f t="shared" si="1"/>
        <v/>
      </c>
      <c r="J892" s="19"/>
    </row>
    <row r="893" ht="15.75" customHeight="1">
      <c r="A893" s="3"/>
      <c r="B893" s="19"/>
      <c r="C893" s="19"/>
      <c r="D893" s="27"/>
      <c r="E893" s="27"/>
      <c r="F893" s="28"/>
      <c r="G893" s="31" t="str">
        <f t="shared" si="2"/>
        <v/>
      </c>
      <c r="H893" s="30"/>
      <c r="I893" s="21" t="str">
        <f t="shared" si="1"/>
        <v/>
      </c>
      <c r="J893" s="19"/>
    </row>
    <row r="894" ht="15.75" customHeight="1">
      <c r="A894" s="3"/>
      <c r="B894" s="19"/>
      <c r="C894" s="19"/>
      <c r="D894" s="27"/>
      <c r="E894" s="27"/>
      <c r="F894" s="28"/>
      <c r="G894" s="31" t="str">
        <f t="shared" si="2"/>
        <v/>
      </c>
      <c r="H894" s="30"/>
      <c r="I894" s="21" t="str">
        <f t="shared" si="1"/>
        <v/>
      </c>
      <c r="J894" s="19"/>
    </row>
    <row r="895" ht="15.75" customHeight="1">
      <c r="A895" s="3"/>
      <c r="B895" s="19"/>
      <c r="C895" s="19"/>
      <c r="D895" s="27"/>
      <c r="E895" s="27"/>
      <c r="F895" s="28"/>
      <c r="G895" s="31" t="str">
        <f t="shared" si="2"/>
        <v/>
      </c>
      <c r="H895" s="30"/>
      <c r="I895" s="21" t="str">
        <f t="shared" si="1"/>
        <v/>
      </c>
      <c r="J895" s="19"/>
    </row>
    <row r="896" ht="15.75" customHeight="1">
      <c r="A896" s="3"/>
      <c r="B896" s="19"/>
      <c r="C896" s="19"/>
      <c r="D896" s="27"/>
      <c r="E896" s="27"/>
      <c r="F896" s="28"/>
      <c r="G896" s="31" t="str">
        <f t="shared" si="2"/>
        <v/>
      </c>
      <c r="H896" s="30"/>
      <c r="I896" s="21" t="str">
        <f t="shared" si="1"/>
        <v/>
      </c>
      <c r="J896" s="19"/>
    </row>
    <row r="897" ht="15.75" customHeight="1">
      <c r="A897" s="3"/>
      <c r="B897" s="19"/>
      <c r="C897" s="19"/>
      <c r="D897" s="27"/>
      <c r="E897" s="27"/>
      <c r="F897" s="28"/>
      <c r="G897" s="31" t="str">
        <f t="shared" si="2"/>
        <v/>
      </c>
      <c r="H897" s="30"/>
      <c r="I897" s="21" t="str">
        <f t="shared" si="1"/>
        <v/>
      </c>
      <c r="J897" s="19"/>
    </row>
    <row r="898" ht="15.75" customHeight="1">
      <c r="A898" s="3"/>
      <c r="B898" s="19"/>
      <c r="C898" s="19"/>
      <c r="D898" s="27"/>
      <c r="E898" s="27"/>
      <c r="F898" s="28"/>
      <c r="G898" s="31" t="str">
        <f t="shared" si="2"/>
        <v/>
      </c>
      <c r="H898" s="30"/>
      <c r="I898" s="21" t="str">
        <f t="shared" si="1"/>
        <v/>
      </c>
      <c r="J898" s="19"/>
    </row>
    <row r="899" ht="15.75" customHeight="1">
      <c r="A899" s="3"/>
      <c r="B899" s="19"/>
      <c r="C899" s="19"/>
      <c r="D899" s="27"/>
      <c r="E899" s="27"/>
      <c r="F899" s="28"/>
      <c r="G899" s="31" t="str">
        <f t="shared" si="2"/>
        <v/>
      </c>
      <c r="H899" s="30"/>
      <c r="I899" s="21" t="str">
        <f t="shared" si="1"/>
        <v/>
      </c>
      <c r="J899" s="19"/>
    </row>
    <row r="900" ht="15.75" customHeight="1">
      <c r="A900" s="3"/>
      <c r="B900" s="19"/>
      <c r="C900" s="19"/>
      <c r="D900" s="27"/>
      <c r="E900" s="27"/>
      <c r="F900" s="28"/>
      <c r="G900" s="31" t="str">
        <f t="shared" si="2"/>
        <v/>
      </c>
      <c r="H900" s="30"/>
      <c r="I900" s="21" t="str">
        <f t="shared" si="1"/>
        <v/>
      </c>
      <c r="J900" s="19"/>
    </row>
    <row r="901" ht="15.75" customHeight="1">
      <c r="A901" s="3"/>
      <c r="B901" s="19"/>
      <c r="C901" s="19"/>
      <c r="D901" s="27"/>
      <c r="E901" s="27"/>
      <c r="F901" s="28"/>
      <c r="G901" s="31" t="str">
        <f t="shared" si="2"/>
        <v/>
      </c>
      <c r="H901" s="30"/>
      <c r="I901" s="21" t="str">
        <f t="shared" si="1"/>
        <v/>
      </c>
      <c r="J901" s="19"/>
    </row>
    <row r="902" ht="15.75" customHeight="1">
      <c r="A902" s="3"/>
      <c r="B902" s="19"/>
      <c r="C902" s="19"/>
      <c r="D902" s="27"/>
      <c r="E902" s="27"/>
      <c r="F902" s="28"/>
      <c r="G902" s="31" t="str">
        <f t="shared" si="2"/>
        <v/>
      </c>
      <c r="H902" s="30"/>
      <c r="I902" s="21" t="str">
        <f t="shared" si="1"/>
        <v/>
      </c>
      <c r="J902" s="19"/>
    </row>
    <row r="903" ht="15.75" customHeight="1">
      <c r="A903" s="3"/>
      <c r="B903" s="19"/>
      <c r="C903" s="19"/>
      <c r="D903" s="27"/>
      <c r="E903" s="27"/>
      <c r="F903" s="28"/>
      <c r="G903" s="31" t="str">
        <f t="shared" si="2"/>
        <v/>
      </c>
      <c r="H903" s="30"/>
      <c r="I903" s="21" t="str">
        <f t="shared" si="1"/>
        <v/>
      </c>
      <c r="J903" s="19"/>
    </row>
    <row r="904" ht="15.75" customHeight="1">
      <c r="A904" s="3"/>
      <c r="B904" s="19"/>
      <c r="C904" s="19"/>
      <c r="D904" s="27"/>
      <c r="E904" s="27"/>
      <c r="F904" s="28"/>
      <c r="G904" s="31" t="str">
        <f t="shared" si="2"/>
        <v/>
      </c>
      <c r="H904" s="30"/>
      <c r="I904" s="21" t="str">
        <f t="shared" si="1"/>
        <v/>
      </c>
      <c r="J904" s="19"/>
    </row>
    <row r="905" ht="15.75" customHeight="1">
      <c r="A905" s="3"/>
      <c r="B905" s="19"/>
      <c r="C905" s="19"/>
      <c r="D905" s="27"/>
      <c r="E905" s="27"/>
      <c r="F905" s="28"/>
      <c r="G905" s="31" t="str">
        <f t="shared" si="2"/>
        <v/>
      </c>
      <c r="H905" s="30"/>
      <c r="I905" s="21" t="str">
        <f t="shared" si="1"/>
        <v/>
      </c>
      <c r="J905" s="19"/>
    </row>
    <row r="906" ht="15.75" customHeight="1">
      <c r="A906" s="3"/>
      <c r="B906" s="19"/>
      <c r="C906" s="19"/>
      <c r="D906" s="27"/>
      <c r="E906" s="27"/>
      <c r="F906" s="28"/>
      <c r="G906" s="31" t="str">
        <f t="shared" si="2"/>
        <v/>
      </c>
      <c r="H906" s="30"/>
      <c r="I906" s="21" t="str">
        <f t="shared" si="1"/>
        <v/>
      </c>
      <c r="J906" s="19"/>
    </row>
    <row r="907" ht="15.75" customHeight="1">
      <c r="A907" s="3"/>
      <c r="B907" s="19"/>
      <c r="C907" s="19"/>
      <c r="D907" s="27"/>
      <c r="E907" s="27"/>
      <c r="F907" s="28"/>
      <c r="G907" s="31" t="str">
        <f t="shared" si="2"/>
        <v/>
      </c>
      <c r="H907" s="30"/>
      <c r="I907" s="21" t="str">
        <f t="shared" si="1"/>
        <v/>
      </c>
      <c r="J907" s="19"/>
    </row>
    <row r="908" ht="15.75" customHeight="1">
      <c r="A908" s="3"/>
      <c r="B908" s="19"/>
      <c r="C908" s="19"/>
      <c r="D908" s="27"/>
      <c r="E908" s="27"/>
      <c r="F908" s="28"/>
      <c r="G908" s="31" t="str">
        <f t="shared" si="2"/>
        <v/>
      </c>
      <c r="H908" s="30"/>
      <c r="I908" s="21" t="str">
        <f t="shared" si="1"/>
        <v/>
      </c>
      <c r="J908" s="19"/>
    </row>
    <row r="909" ht="15.75" customHeight="1">
      <c r="A909" s="3"/>
      <c r="B909" s="19"/>
      <c r="C909" s="19"/>
      <c r="D909" s="27"/>
      <c r="E909" s="27"/>
      <c r="F909" s="28"/>
      <c r="G909" s="31" t="str">
        <f t="shared" si="2"/>
        <v/>
      </c>
      <c r="H909" s="30"/>
      <c r="I909" s="21" t="str">
        <f t="shared" si="1"/>
        <v/>
      </c>
      <c r="J909" s="19"/>
    </row>
    <row r="910" ht="15.75" customHeight="1">
      <c r="A910" s="3"/>
      <c r="B910" s="19"/>
      <c r="C910" s="19"/>
      <c r="D910" s="27"/>
      <c r="E910" s="27"/>
      <c r="F910" s="28"/>
      <c r="G910" s="31" t="str">
        <f t="shared" si="2"/>
        <v/>
      </c>
      <c r="H910" s="30"/>
      <c r="I910" s="21" t="str">
        <f t="shared" si="1"/>
        <v/>
      </c>
      <c r="J910" s="19"/>
    </row>
    <row r="911" ht="15.75" customHeight="1">
      <c r="A911" s="3"/>
      <c r="B911" s="19"/>
      <c r="C911" s="19"/>
      <c r="D911" s="27"/>
      <c r="E911" s="27"/>
      <c r="F911" s="28"/>
      <c r="G911" s="31" t="str">
        <f t="shared" si="2"/>
        <v/>
      </c>
      <c r="H911" s="30"/>
      <c r="I911" s="21" t="str">
        <f t="shared" si="1"/>
        <v/>
      </c>
      <c r="J911" s="19"/>
    </row>
    <row r="912" ht="15.75" customHeight="1">
      <c r="A912" s="3"/>
      <c r="B912" s="19"/>
      <c r="C912" s="19"/>
      <c r="D912" s="27"/>
      <c r="E912" s="27"/>
      <c r="F912" s="28"/>
      <c r="G912" s="31" t="str">
        <f t="shared" si="2"/>
        <v/>
      </c>
      <c r="H912" s="30"/>
      <c r="I912" s="21" t="str">
        <f t="shared" si="1"/>
        <v/>
      </c>
      <c r="J912" s="19"/>
    </row>
    <row r="913" ht="15.75" customHeight="1">
      <c r="A913" s="3"/>
      <c r="B913" s="19"/>
      <c r="C913" s="19"/>
      <c r="D913" s="27"/>
      <c r="E913" s="27"/>
      <c r="F913" s="28"/>
      <c r="G913" s="31" t="str">
        <f t="shared" si="2"/>
        <v/>
      </c>
      <c r="H913" s="30"/>
      <c r="I913" s="21" t="str">
        <f t="shared" si="1"/>
        <v/>
      </c>
      <c r="J913" s="19"/>
    </row>
    <row r="914" ht="15.75" customHeight="1">
      <c r="A914" s="3"/>
      <c r="B914" s="19"/>
      <c r="C914" s="19"/>
      <c r="D914" s="27"/>
      <c r="E914" s="27"/>
      <c r="F914" s="28"/>
      <c r="G914" s="31" t="str">
        <f t="shared" si="2"/>
        <v/>
      </c>
      <c r="H914" s="30"/>
      <c r="I914" s="21" t="str">
        <f t="shared" si="1"/>
        <v/>
      </c>
      <c r="J914" s="19"/>
    </row>
    <row r="915" ht="15.75" customHeight="1">
      <c r="A915" s="3"/>
      <c r="B915" s="19"/>
      <c r="C915" s="19"/>
      <c r="D915" s="27"/>
      <c r="E915" s="27"/>
      <c r="F915" s="28"/>
      <c r="G915" s="31" t="str">
        <f t="shared" si="2"/>
        <v/>
      </c>
      <c r="H915" s="30"/>
      <c r="I915" s="21" t="str">
        <f t="shared" si="1"/>
        <v/>
      </c>
      <c r="J915" s="19"/>
    </row>
    <row r="916" ht="15.75" customHeight="1">
      <c r="A916" s="3"/>
      <c r="B916" s="19"/>
      <c r="C916" s="19"/>
      <c r="D916" s="27"/>
      <c r="E916" s="27"/>
      <c r="F916" s="28"/>
      <c r="G916" s="31" t="str">
        <f t="shared" si="2"/>
        <v/>
      </c>
      <c r="H916" s="30"/>
      <c r="I916" s="21" t="str">
        <f t="shared" si="1"/>
        <v/>
      </c>
      <c r="J916" s="19"/>
    </row>
    <row r="917" ht="15.75" customHeight="1">
      <c r="A917" s="3"/>
      <c r="B917" s="19"/>
      <c r="C917" s="19"/>
      <c r="D917" s="27"/>
      <c r="E917" s="27"/>
      <c r="F917" s="28"/>
      <c r="G917" s="31" t="str">
        <f t="shared" si="2"/>
        <v/>
      </c>
      <c r="H917" s="30"/>
      <c r="I917" s="21" t="str">
        <f t="shared" si="1"/>
        <v/>
      </c>
      <c r="J917" s="19"/>
    </row>
    <row r="918" ht="15.75" customHeight="1">
      <c r="A918" s="3"/>
      <c r="B918" s="19"/>
      <c r="C918" s="19"/>
      <c r="D918" s="27"/>
      <c r="E918" s="27"/>
      <c r="F918" s="28"/>
      <c r="G918" s="31" t="str">
        <f t="shared" si="2"/>
        <v/>
      </c>
      <c r="H918" s="30"/>
      <c r="I918" s="21" t="str">
        <f t="shared" si="1"/>
        <v/>
      </c>
      <c r="J918" s="19"/>
    </row>
    <row r="919" ht="15.75" customHeight="1">
      <c r="A919" s="3"/>
      <c r="B919" s="19"/>
      <c r="C919" s="19"/>
      <c r="D919" s="27"/>
      <c r="E919" s="27"/>
      <c r="F919" s="28"/>
      <c r="G919" s="31" t="str">
        <f t="shared" si="2"/>
        <v/>
      </c>
      <c r="H919" s="30"/>
      <c r="I919" s="21" t="str">
        <f t="shared" si="1"/>
        <v/>
      </c>
      <c r="J919" s="19"/>
    </row>
    <row r="920" ht="15.75" customHeight="1">
      <c r="A920" s="3"/>
      <c r="B920" s="19"/>
      <c r="C920" s="19"/>
      <c r="D920" s="27"/>
      <c r="E920" s="27"/>
      <c r="F920" s="28"/>
      <c r="G920" s="31" t="str">
        <f t="shared" si="2"/>
        <v/>
      </c>
      <c r="H920" s="30"/>
      <c r="I920" s="21" t="str">
        <f t="shared" si="1"/>
        <v/>
      </c>
      <c r="J920" s="19"/>
    </row>
    <row r="921" ht="15.75" customHeight="1">
      <c r="A921" s="3"/>
      <c r="B921" s="19"/>
      <c r="C921" s="19"/>
      <c r="D921" s="27"/>
      <c r="E921" s="27"/>
      <c r="F921" s="28"/>
      <c r="G921" s="31" t="str">
        <f t="shared" si="2"/>
        <v/>
      </c>
      <c r="H921" s="30"/>
      <c r="I921" s="21" t="str">
        <f t="shared" si="1"/>
        <v/>
      </c>
      <c r="J921" s="19"/>
    </row>
    <row r="922" ht="15.75" customHeight="1">
      <c r="A922" s="3"/>
      <c r="B922" s="19"/>
      <c r="C922" s="19"/>
      <c r="D922" s="27"/>
      <c r="E922" s="27"/>
      <c r="F922" s="28"/>
      <c r="G922" s="31" t="str">
        <f t="shared" si="2"/>
        <v/>
      </c>
      <c r="H922" s="30"/>
      <c r="I922" s="21" t="str">
        <f t="shared" si="1"/>
        <v/>
      </c>
      <c r="J922" s="19"/>
    </row>
    <row r="923" ht="15.75" customHeight="1">
      <c r="A923" s="3"/>
      <c r="B923" s="19"/>
      <c r="C923" s="19"/>
      <c r="D923" s="27"/>
      <c r="E923" s="27"/>
      <c r="F923" s="28"/>
      <c r="G923" s="31" t="str">
        <f t="shared" si="2"/>
        <v/>
      </c>
      <c r="H923" s="30"/>
      <c r="I923" s="21" t="str">
        <f t="shared" si="1"/>
        <v/>
      </c>
      <c r="J923" s="19"/>
    </row>
    <row r="924" ht="15.75" customHeight="1">
      <c r="A924" s="3"/>
      <c r="B924" s="19"/>
      <c r="C924" s="19"/>
      <c r="D924" s="27"/>
      <c r="E924" s="27"/>
      <c r="F924" s="28"/>
      <c r="G924" s="31" t="str">
        <f t="shared" si="2"/>
        <v/>
      </c>
      <c r="H924" s="30"/>
      <c r="I924" s="21" t="str">
        <f t="shared" si="1"/>
        <v/>
      </c>
      <c r="J924" s="19"/>
    </row>
    <row r="925" ht="15.75" customHeight="1">
      <c r="A925" s="3"/>
      <c r="B925" s="19"/>
      <c r="C925" s="19"/>
      <c r="D925" s="27"/>
      <c r="E925" s="27"/>
      <c r="F925" s="28"/>
      <c r="G925" s="31" t="str">
        <f t="shared" si="2"/>
        <v/>
      </c>
      <c r="H925" s="30"/>
      <c r="I925" s="21" t="str">
        <f t="shared" si="1"/>
        <v/>
      </c>
      <c r="J925" s="19"/>
    </row>
    <row r="926" ht="15.75" customHeight="1">
      <c r="A926" s="3"/>
      <c r="B926" s="19"/>
      <c r="C926" s="19"/>
      <c r="D926" s="27"/>
      <c r="E926" s="27"/>
      <c r="F926" s="28"/>
      <c r="G926" s="31" t="str">
        <f t="shared" si="2"/>
        <v/>
      </c>
      <c r="H926" s="30"/>
      <c r="I926" s="21" t="str">
        <f t="shared" si="1"/>
        <v/>
      </c>
      <c r="J926" s="19"/>
    </row>
    <row r="927" ht="15.75" customHeight="1">
      <c r="A927" s="3"/>
      <c r="B927" s="19"/>
      <c r="C927" s="19"/>
      <c r="D927" s="27"/>
      <c r="E927" s="27"/>
      <c r="F927" s="28"/>
      <c r="G927" s="31" t="str">
        <f t="shared" si="2"/>
        <v/>
      </c>
      <c r="H927" s="30"/>
      <c r="I927" s="21" t="str">
        <f t="shared" si="1"/>
        <v/>
      </c>
      <c r="J927" s="19"/>
    </row>
    <row r="928" ht="15.75" customHeight="1">
      <c r="A928" s="3"/>
      <c r="B928" s="19"/>
      <c r="C928" s="19"/>
      <c r="D928" s="27"/>
      <c r="E928" s="27"/>
      <c r="F928" s="28"/>
      <c r="G928" s="31" t="str">
        <f t="shared" si="2"/>
        <v/>
      </c>
      <c r="H928" s="30"/>
      <c r="I928" s="21" t="str">
        <f t="shared" si="1"/>
        <v/>
      </c>
      <c r="J928" s="19"/>
    </row>
    <row r="929" ht="15.75" customHeight="1">
      <c r="A929" s="3"/>
      <c r="B929" s="19"/>
      <c r="C929" s="19"/>
      <c r="D929" s="27"/>
      <c r="E929" s="27"/>
      <c r="F929" s="28"/>
      <c r="G929" s="31" t="str">
        <f t="shared" si="2"/>
        <v/>
      </c>
      <c r="H929" s="30"/>
      <c r="I929" s="21" t="str">
        <f t="shared" si="1"/>
        <v/>
      </c>
      <c r="J929" s="19"/>
    </row>
    <row r="930" ht="15.75" customHeight="1">
      <c r="A930" s="3"/>
      <c r="B930" s="19"/>
      <c r="C930" s="19"/>
      <c r="D930" s="27"/>
      <c r="E930" s="27"/>
      <c r="F930" s="28"/>
      <c r="G930" s="31" t="str">
        <f t="shared" si="2"/>
        <v/>
      </c>
      <c r="H930" s="30"/>
      <c r="I930" s="21" t="str">
        <f t="shared" si="1"/>
        <v/>
      </c>
      <c r="J930" s="19"/>
    </row>
    <row r="931" ht="15.75" customHeight="1">
      <c r="A931" s="3"/>
      <c r="B931" s="19"/>
      <c r="C931" s="19"/>
      <c r="D931" s="27"/>
      <c r="E931" s="27"/>
      <c r="F931" s="28"/>
      <c r="G931" s="31" t="str">
        <f t="shared" si="2"/>
        <v/>
      </c>
      <c r="H931" s="30"/>
      <c r="I931" s="21" t="str">
        <f t="shared" si="1"/>
        <v/>
      </c>
      <c r="J931" s="19"/>
    </row>
    <row r="932" ht="15.75" customHeight="1">
      <c r="A932" s="3"/>
      <c r="B932" s="19"/>
      <c r="C932" s="19"/>
      <c r="D932" s="27"/>
      <c r="E932" s="27"/>
      <c r="F932" s="28"/>
      <c r="G932" s="31" t="str">
        <f t="shared" si="2"/>
        <v/>
      </c>
      <c r="H932" s="30"/>
      <c r="I932" s="21" t="str">
        <f t="shared" si="1"/>
        <v/>
      </c>
      <c r="J932" s="19"/>
    </row>
    <row r="933" ht="15.75" customHeight="1">
      <c r="A933" s="3"/>
      <c r="B933" s="19"/>
      <c r="C933" s="19"/>
      <c r="D933" s="27"/>
      <c r="E933" s="27"/>
      <c r="F933" s="28"/>
      <c r="G933" s="31" t="str">
        <f t="shared" si="2"/>
        <v/>
      </c>
      <c r="H933" s="30"/>
      <c r="I933" s="21" t="str">
        <f t="shared" si="1"/>
        <v/>
      </c>
      <c r="J933" s="19"/>
    </row>
    <row r="934" ht="15.75" customHeight="1">
      <c r="A934" s="3"/>
      <c r="B934" s="19"/>
      <c r="C934" s="19"/>
      <c r="D934" s="27"/>
      <c r="E934" s="27"/>
      <c r="F934" s="28"/>
      <c r="G934" s="31" t="str">
        <f t="shared" si="2"/>
        <v/>
      </c>
      <c r="H934" s="30"/>
      <c r="I934" s="21" t="str">
        <f t="shared" si="1"/>
        <v/>
      </c>
      <c r="J934" s="19"/>
    </row>
    <row r="935" ht="15.75" customHeight="1">
      <c r="A935" s="3"/>
      <c r="B935" s="19"/>
      <c r="C935" s="19"/>
      <c r="D935" s="27"/>
      <c r="E935" s="27"/>
      <c r="F935" s="28"/>
      <c r="G935" s="31" t="str">
        <f t="shared" si="2"/>
        <v/>
      </c>
      <c r="H935" s="30"/>
      <c r="I935" s="21" t="str">
        <f t="shared" si="1"/>
        <v/>
      </c>
      <c r="J935" s="19"/>
    </row>
    <row r="936" ht="15.75" customHeight="1">
      <c r="A936" s="3"/>
      <c r="B936" s="19"/>
      <c r="C936" s="19"/>
      <c r="D936" s="27"/>
      <c r="E936" s="27"/>
      <c r="F936" s="28"/>
      <c r="G936" s="31" t="str">
        <f t="shared" si="2"/>
        <v/>
      </c>
      <c r="H936" s="30"/>
      <c r="I936" s="21" t="str">
        <f t="shared" si="1"/>
        <v/>
      </c>
      <c r="J936" s="19"/>
    </row>
    <row r="937" ht="15.75" customHeight="1">
      <c r="A937" s="3"/>
      <c r="B937" s="19"/>
      <c r="C937" s="19"/>
      <c r="D937" s="27"/>
      <c r="E937" s="27"/>
      <c r="F937" s="28"/>
      <c r="G937" s="31" t="str">
        <f t="shared" si="2"/>
        <v/>
      </c>
      <c r="H937" s="30"/>
      <c r="I937" s="21" t="str">
        <f t="shared" si="1"/>
        <v/>
      </c>
      <c r="J937" s="19"/>
    </row>
    <row r="938" ht="15.75" customHeight="1">
      <c r="A938" s="3"/>
      <c r="B938" s="19"/>
      <c r="C938" s="19"/>
      <c r="D938" s="27"/>
      <c r="E938" s="27"/>
      <c r="F938" s="28"/>
      <c r="G938" s="31" t="str">
        <f t="shared" si="2"/>
        <v/>
      </c>
      <c r="H938" s="30"/>
      <c r="I938" s="21" t="str">
        <f t="shared" si="1"/>
        <v/>
      </c>
      <c r="J938" s="19"/>
    </row>
    <row r="939" ht="15.75" customHeight="1">
      <c r="A939" s="3"/>
      <c r="B939" s="19"/>
      <c r="C939" s="19"/>
      <c r="D939" s="27"/>
      <c r="E939" s="27"/>
      <c r="F939" s="28"/>
      <c r="G939" s="31" t="str">
        <f t="shared" si="2"/>
        <v/>
      </c>
      <c r="H939" s="30"/>
      <c r="I939" s="21" t="str">
        <f t="shared" si="1"/>
        <v/>
      </c>
      <c r="J939" s="19"/>
    </row>
    <row r="940" ht="15.75" customHeight="1">
      <c r="A940" s="3"/>
      <c r="B940" s="19"/>
      <c r="C940" s="19"/>
      <c r="D940" s="27"/>
      <c r="E940" s="27"/>
      <c r="F940" s="28"/>
      <c r="G940" s="31" t="str">
        <f t="shared" si="2"/>
        <v/>
      </c>
      <c r="H940" s="30"/>
      <c r="I940" s="21" t="str">
        <f t="shared" si="1"/>
        <v/>
      </c>
      <c r="J940" s="19"/>
    </row>
    <row r="941" ht="15.75" customHeight="1">
      <c r="A941" s="3"/>
      <c r="B941" s="19"/>
      <c r="C941" s="19"/>
      <c r="D941" s="27"/>
      <c r="E941" s="27"/>
      <c r="F941" s="28"/>
      <c r="G941" s="31" t="str">
        <f t="shared" si="2"/>
        <v/>
      </c>
      <c r="H941" s="30"/>
      <c r="I941" s="21" t="str">
        <f t="shared" si="1"/>
        <v/>
      </c>
      <c r="J941" s="19"/>
    </row>
    <row r="942" ht="15.75" customHeight="1">
      <c r="A942" s="3"/>
      <c r="B942" s="19"/>
      <c r="C942" s="19"/>
      <c r="D942" s="27"/>
      <c r="E942" s="27"/>
      <c r="F942" s="28"/>
      <c r="G942" s="31" t="str">
        <f t="shared" si="2"/>
        <v/>
      </c>
      <c r="H942" s="30"/>
      <c r="I942" s="21" t="str">
        <f t="shared" si="1"/>
        <v/>
      </c>
      <c r="J942" s="19"/>
    </row>
    <row r="943" ht="15.75" customHeight="1">
      <c r="A943" s="3"/>
      <c r="B943" s="19"/>
      <c r="C943" s="19"/>
      <c r="D943" s="27"/>
      <c r="E943" s="27"/>
      <c r="F943" s="28"/>
      <c r="G943" s="31" t="str">
        <f t="shared" si="2"/>
        <v/>
      </c>
      <c r="H943" s="30"/>
      <c r="I943" s="21" t="str">
        <f t="shared" si="1"/>
        <v/>
      </c>
      <c r="J943" s="19"/>
    </row>
    <row r="944" ht="15.75" customHeight="1">
      <c r="A944" s="3"/>
      <c r="B944" s="19"/>
      <c r="C944" s="19"/>
      <c r="D944" s="27"/>
      <c r="E944" s="27"/>
      <c r="F944" s="28"/>
      <c r="G944" s="31" t="str">
        <f t="shared" si="2"/>
        <v/>
      </c>
      <c r="H944" s="30"/>
      <c r="I944" s="21" t="str">
        <f t="shared" si="1"/>
        <v/>
      </c>
      <c r="J944" s="19"/>
    </row>
    <row r="945" ht="15.75" customHeight="1">
      <c r="A945" s="3"/>
      <c r="B945" s="19"/>
      <c r="C945" s="19"/>
      <c r="D945" s="27"/>
      <c r="E945" s="27"/>
      <c r="F945" s="28"/>
      <c r="G945" s="31" t="str">
        <f t="shared" si="2"/>
        <v/>
      </c>
      <c r="H945" s="30"/>
      <c r="I945" s="21" t="str">
        <f t="shared" si="1"/>
        <v/>
      </c>
      <c r="J945" s="19"/>
    </row>
    <row r="946" ht="15.75" customHeight="1">
      <c r="A946" s="3"/>
      <c r="B946" s="19"/>
      <c r="C946" s="19"/>
      <c r="D946" s="27"/>
      <c r="E946" s="27"/>
      <c r="F946" s="28"/>
      <c r="G946" s="31" t="str">
        <f t="shared" si="2"/>
        <v/>
      </c>
      <c r="H946" s="30"/>
      <c r="I946" s="21" t="str">
        <f t="shared" si="1"/>
        <v/>
      </c>
      <c r="J946" s="19"/>
    </row>
    <row r="947" ht="15.75" customHeight="1">
      <c r="A947" s="3"/>
      <c r="B947" s="19"/>
      <c r="C947" s="19"/>
      <c r="D947" s="27"/>
      <c r="E947" s="27"/>
      <c r="F947" s="28"/>
      <c r="G947" s="31" t="str">
        <f t="shared" si="2"/>
        <v/>
      </c>
      <c r="H947" s="30"/>
      <c r="I947" s="21" t="str">
        <f t="shared" si="1"/>
        <v/>
      </c>
      <c r="J947" s="19"/>
    </row>
    <row r="948" ht="15.75" customHeight="1">
      <c r="A948" s="3"/>
      <c r="B948" s="19"/>
      <c r="C948" s="19"/>
      <c r="D948" s="27"/>
      <c r="E948" s="27"/>
      <c r="F948" s="28"/>
      <c r="G948" s="31" t="str">
        <f t="shared" si="2"/>
        <v/>
      </c>
      <c r="H948" s="30"/>
      <c r="I948" s="21" t="str">
        <f t="shared" si="1"/>
        <v/>
      </c>
      <c r="J948" s="19"/>
    </row>
    <row r="949" ht="15.75" customHeight="1">
      <c r="A949" s="3"/>
      <c r="B949" s="19"/>
      <c r="C949" s="19"/>
      <c r="D949" s="27"/>
      <c r="E949" s="27"/>
      <c r="F949" s="28"/>
      <c r="G949" s="31" t="str">
        <f t="shared" si="2"/>
        <v/>
      </c>
      <c r="H949" s="30"/>
      <c r="I949" s="21" t="str">
        <f t="shared" si="1"/>
        <v/>
      </c>
      <c r="J949" s="19"/>
    </row>
    <row r="950" ht="15.75" customHeight="1">
      <c r="A950" s="3"/>
      <c r="B950" s="19"/>
      <c r="C950" s="19"/>
      <c r="D950" s="27"/>
      <c r="E950" s="27"/>
      <c r="F950" s="28"/>
      <c r="G950" s="31" t="str">
        <f t="shared" si="2"/>
        <v/>
      </c>
      <c r="H950" s="30"/>
      <c r="I950" s="21" t="str">
        <f t="shared" si="1"/>
        <v/>
      </c>
      <c r="J950" s="19"/>
    </row>
    <row r="951" ht="15.75" customHeight="1">
      <c r="A951" s="3"/>
      <c r="B951" s="19"/>
      <c r="C951" s="19"/>
      <c r="D951" s="27"/>
      <c r="E951" s="27"/>
      <c r="F951" s="28"/>
      <c r="G951" s="31" t="str">
        <f t="shared" si="2"/>
        <v/>
      </c>
      <c r="H951" s="30"/>
      <c r="I951" s="21" t="str">
        <f t="shared" si="1"/>
        <v/>
      </c>
      <c r="J951" s="19"/>
    </row>
    <row r="952" ht="15.75" customHeight="1">
      <c r="A952" s="3"/>
      <c r="B952" s="19"/>
      <c r="C952" s="19"/>
      <c r="D952" s="27"/>
      <c r="E952" s="27"/>
      <c r="F952" s="28"/>
      <c r="G952" s="31" t="str">
        <f t="shared" si="2"/>
        <v/>
      </c>
      <c r="H952" s="30"/>
      <c r="I952" s="21" t="str">
        <f t="shared" si="1"/>
        <v/>
      </c>
      <c r="J952" s="19"/>
    </row>
    <row r="953" ht="15.75" customHeight="1">
      <c r="A953" s="3"/>
      <c r="B953" s="19"/>
      <c r="C953" s="19"/>
      <c r="D953" s="27"/>
      <c r="E953" s="27"/>
      <c r="F953" s="28"/>
      <c r="G953" s="31" t="str">
        <f t="shared" si="2"/>
        <v/>
      </c>
      <c r="H953" s="30"/>
      <c r="I953" s="21" t="str">
        <f t="shared" si="1"/>
        <v/>
      </c>
      <c r="J953" s="19"/>
    </row>
    <row r="954" ht="15.75" customHeight="1">
      <c r="A954" s="3"/>
      <c r="B954" s="19"/>
      <c r="C954" s="19"/>
      <c r="D954" s="27"/>
      <c r="E954" s="27"/>
      <c r="F954" s="28"/>
      <c r="G954" s="31" t="str">
        <f t="shared" si="2"/>
        <v/>
      </c>
      <c r="H954" s="30"/>
      <c r="I954" s="21" t="str">
        <f t="shared" si="1"/>
        <v/>
      </c>
      <c r="J954" s="19"/>
    </row>
    <row r="955" ht="15.75" customHeight="1">
      <c r="A955" s="3"/>
      <c r="B955" s="19"/>
      <c r="C955" s="19"/>
      <c r="D955" s="27"/>
      <c r="E955" s="27"/>
      <c r="F955" s="28"/>
      <c r="G955" s="31" t="str">
        <f t="shared" si="2"/>
        <v/>
      </c>
      <c r="H955" s="30"/>
      <c r="I955" s="21" t="str">
        <f t="shared" si="1"/>
        <v/>
      </c>
      <c r="J955" s="19"/>
    </row>
    <row r="956" ht="15.75" customHeight="1">
      <c r="A956" s="3"/>
      <c r="B956" s="19"/>
      <c r="C956" s="19"/>
      <c r="D956" s="27"/>
      <c r="E956" s="27"/>
      <c r="F956" s="28"/>
      <c r="G956" s="31" t="str">
        <f t="shared" si="2"/>
        <v/>
      </c>
      <c r="H956" s="30"/>
      <c r="I956" s="21" t="str">
        <f t="shared" si="1"/>
        <v/>
      </c>
      <c r="J956" s="19"/>
    </row>
    <row r="957" ht="15.75" customHeight="1">
      <c r="A957" s="3"/>
      <c r="B957" s="19"/>
      <c r="C957" s="19"/>
      <c r="D957" s="27"/>
      <c r="E957" s="27"/>
      <c r="F957" s="28"/>
      <c r="G957" s="31" t="str">
        <f t="shared" si="2"/>
        <v/>
      </c>
      <c r="H957" s="30"/>
      <c r="I957" s="21" t="str">
        <f t="shared" si="1"/>
        <v/>
      </c>
      <c r="J957" s="19"/>
    </row>
    <row r="958" ht="15.75" customHeight="1">
      <c r="A958" s="3"/>
      <c r="B958" s="19"/>
      <c r="C958" s="19"/>
      <c r="D958" s="27"/>
      <c r="E958" s="27"/>
      <c r="F958" s="28"/>
      <c r="G958" s="31" t="str">
        <f t="shared" si="2"/>
        <v/>
      </c>
      <c r="H958" s="30"/>
      <c r="I958" s="21" t="str">
        <f t="shared" si="1"/>
        <v/>
      </c>
      <c r="J958" s="19"/>
    </row>
    <row r="959" ht="15.75" customHeight="1">
      <c r="A959" s="3"/>
      <c r="B959" s="19"/>
      <c r="C959" s="19"/>
      <c r="D959" s="27"/>
      <c r="E959" s="27"/>
      <c r="F959" s="28"/>
      <c r="G959" s="31" t="str">
        <f t="shared" si="2"/>
        <v/>
      </c>
      <c r="H959" s="30"/>
      <c r="I959" s="21" t="str">
        <f t="shared" si="1"/>
        <v/>
      </c>
      <c r="J959" s="19"/>
    </row>
    <row r="960" ht="15.75" customHeight="1">
      <c r="A960" s="3"/>
      <c r="B960" s="19"/>
      <c r="C960" s="19"/>
      <c r="D960" s="27"/>
      <c r="E960" s="27"/>
      <c r="F960" s="28"/>
      <c r="G960" s="31" t="str">
        <f t="shared" si="2"/>
        <v/>
      </c>
      <c r="H960" s="30"/>
      <c r="I960" s="21" t="str">
        <f t="shared" si="1"/>
        <v/>
      </c>
      <c r="J960" s="19"/>
    </row>
    <row r="961" ht="15.75" customHeight="1">
      <c r="A961" s="3"/>
      <c r="B961" s="19"/>
      <c r="C961" s="19"/>
      <c r="D961" s="27"/>
      <c r="E961" s="27"/>
      <c r="F961" s="28"/>
      <c r="G961" s="31" t="str">
        <f t="shared" si="2"/>
        <v/>
      </c>
      <c r="H961" s="30"/>
      <c r="I961" s="21" t="str">
        <f t="shared" si="1"/>
        <v/>
      </c>
      <c r="J961" s="19"/>
    </row>
    <row r="962" ht="15.75" customHeight="1">
      <c r="A962" s="3"/>
      <c r="B962" s="19"/>
      <c r="C962" s="19"/>
      <c r="D962" s="27"/>
      <c r="E962" s="27"/>
      <c r="F962" s="28"/>
      <c r="G962" s="31" t="str">
        <f t="shared" si="2"/>
        <v/>
      </c>
      <c r="H962" s="30"/>
      <c r="I962" s="21" t="str">
        <f t="shared" si="1"/>
        <v/>
      </c>
      <c r="J962" s="19"/>
    </row>
    <row r="963" ht="15.75" customHeight="1">
      <c r="A963" s="3"/>
      <c r="B963" s="19"/>
      <c r="C963" s="19"/>
      <c r="D963" s="27"/>
      <c r="E963" s="27"/>
      <c r="F963" s="28"/>
      <c r="G963" s="31" t="str">
        <f t="shared" si="2"/>
        <v/>
      </c>
      <c r="H963" s="30"/>
      <c r="I963" s="21" t="str">
        <f t="shared" si="1"/>
        <v/>
      </c>
      <c r="J963" s="19"/>
    </row>
    <row r="964" ht="15.75" customHeight="1">
      <c r="A964" s="3"/>
      <c r="B964" s="19"/>
      <c r="C964" s="19"/>
      <c r="D964" s="27"/>
      <c r="E964" s="27"/>
      <c r="F964" s="28"/>
      <c r="G964" s="31" t="str">
        <f t="shared" si="2"/>
        <v/>
      </c>
      <c r="H964" s="30"/>
      <c r="I964" s="21" t="str">
        <f t="shared" si="1"/>
        <v/>
      </c>
      <c r="J964" s="19"/>
    </row>
    <row r="965" ht="15.75" customHeight="1">
      <c r="A965" s="3"/>
      <c r="B965" s="19"/>
      <c r="C965" s="19"/>
      <c r="D965" s="27"/>
      <c r="E965" s="27"/>
      <c r="F965" s="28"/>
      <c r="G965" s="31" t="str">
        <f t="shared" si="2"/>
        <v/>
      </c>
      <c r="H965" s="30"/>
      <c r="I965" s="21" t="str">
        <f t="shared" si="1"/>
        <v/>
      </c>
      <c r="J965" s="19"/>
    </row>
    <row r="966" ht="15.75" customHeight="1">
      <c r="A966" s="3"/>
      <c r="B966" s="19"/>
      <c r="C966" s="19"/>
      <c r="D966" s="27"/>
      <c r="E966" s="27"/>
      <c r="F966" s="28"/>
      <c r="G966" s="31" t="str">
        <f t="shared" si="2"/>
        <v/>
      </c>
      <c r="H966" s="30"/>
      <c r="I966" s="21" t="str">
        <f t="shared" si="1"/>
        <v/>
      </c>
      <c r="J966" s="19"/>
    </row>
    <row r="967" ht="15.75" customHeight="1">
      <c r="A967" s="3"/>
      <c r="B967" s="19"/>
      <c r="C967" s="19"/>
      <c r="D967" s="27"/>
      <c r="E967" s="27"/>
      <c r="F967" s="28"/>
      <c r="G967" s="31" t="str">
        <f t="shared" si="2"/>
        <v/>
      </c>
      <c r="H967" s="30"/>
      <c r="I967" s="21" t="str">
        <f t="shared" si="1"/>
        <v/>
      </c>
      <c r="J967" s="19"/>
    </row>
    <row r="968" ht="15.75" customHeight="1">
      <c r="A968" s="3"/>
      <c r="B968" s="19"/>
      <c r="C968" s="19"/>
      <c r="D968" s="27"/>
      <c r="E968" s="27"/>
      <c r="F968" s="28"/>
      <c r="G968" s="31" t="str">
        <f t="shared" si="2"/>
        <v/>
      </c>
      <c r="H968" s="30"/>
      <c r="I968" s="21" t="str">
        <f t="shared" si="1"/>
        <v/>
      </c>
      <c r="J968" s="19"/>
    </row>
    <row r="969" ht="15.75" customHeight="1">
      <c r="A969" s="3"/>
      <c r="B969" s="19"/>
      <c r="C969" s="19"/>
      <c r="D969" s="27"/>
      <c r="E969" s="27"/>
      <c r="F969" s="28"/>
      <c r="G969" s="31" t="str">
        <f t="shared" si="2"/>
        <v/>
      </c>
      <c r="H969" s="30"/>
      <c r="I969" s="21" t="str">
        <f t="shared" si="1"/>
        <v/>
      </c>
      <c r="J969" s="19"/>
    </row>
    <row r="970" ht="15.75" customHeight="1">
      <c r="A970" s="3"/>
      <c r="B970" s="19"/>
      <c r="C970" s="19"/>
      <c r="D970" s="27"/>
      <c r="E970" s="27"/>
      <c r="F970" s="28"/>
      <c r="G970" s="31" t="str">
        <f t="shared" si="2"/>
        <v/>
      </c>
      <c r="H970" s="30"/>
      <c r="I970" s="21" t="str">
        <f t="shared" si="1"/>
        <v/>
      </c>
      <c r="J970" s="19"/>
    </row>
    <row r="971" ht="15.75" customHeight="1">
      <c r="A971" s="3"/>
      <c r="B971" s="19"/>
      <c r="C971" s="19"/>
      <c r="D971" s="27"/>
      <c r="E971" s="27"/>
      <c r="F971" s="28"/>
      <c r="G971" s="31" t="str">
        <f t="shared" si="2"/>
        <v/>
      </c>
      <c r="H971" s="30"/>
      <c r="I971" s="21" t="str">
        <f t="shared" si="1"/>
        <v/>
      </c>
      <c r="J971" s="19"/>
    </row>
    <row r="972" ht="15.75" customHeight="1">
      <c r="A972" s="3"/>
      <c r="B972" s="19"/>
      <c r="C972" s="19"/>
      <c r="D972" s="27"/>
      <c r="E972" s="27"/>
      <c r="F972" s="28"/>
      <c r="G972" s="31" t="str">
        <f t="shared" si="2"/>
        <v/>
      </c>
      <c r="H972" s="30"/>
      <c r="I972" s="21" t="str">
        <f t="shared" si="1"/>
        <v/>
      </c>
      <c r="J972" s="19"/>
    </row>
    <row r="973" ht="15.75" customHeight="1">
      <c r="A973" s="3"/>
      <c r="B973" s="19"/>
      <c r="C973" s="19"/>
      <c r="D973" s="27"/>
      <c r="E973" s="27"/>
      <c r="F973" s="28"/>
      <c r="G973" s="31" t="str">
        <f t="shared" si="2"/>
        <v/>
      </c>
      <c r="H973" s="30"/>
      <c r="I973" s="21" t="str">
        <f t="shared" si="1"/>
        <v/>
      </c>
      <c r="J973" s="19"/>
    </row>
    <row r="974" ht="15.75" customHeight="1">
      <c r="A974" s="3"/>
      <c r="B974" s="19"/>
      <c r="C974" s="19"/>
      <c r="D974" s="27"/>
      <c r="E974" s="27"/>
      <c r="F974" s="28"/>
      <c r="G974" s="31" t="str">
        <f t="shared" si="2"/>
        <v/>
      </c>
      <c r="H974" s="30"/>
      <c r="I974" s="21" t="str">
        <f t="shared" si="1"/>
        <v/>
      </c>
      <c r="J974" s="19"/>
    </row>
    <row r="975" ht="15.75" customHeight="1">
      <c r="A975" s="3"/>
      <c r="B975" s="19"/>
      <c r="C975" s="19"/>
      <c r="D975" s="27"/>
      <c r="E975" s="27"/>
      <c r="F975" s="28"/>
      <c r="G975" s="31" t="str">
        <f t="shared" si="2"/>
        <v/>
      </c>
      <c r="H975" s="30"/>
      <c r="I975" s="21" t="str">
        <f t="shared" si="1"/>
        <v/>
      </c>
      <c r="J975" s="19"/>
    </row>
    <row r="976" ht="15.75" customHeight="1">
      <c r="A976" s="3"/>
      <c r="B976" s="19"/>
      <c r="C976" s="19"/>
      <c r="D976" s="27"/>
      <c r="E976" s="27"/>
      <c r="F976" s="28"/>
      <c r="G976" s="31" t="str">
        <f t="shared" si="2"/>
        <v/>
      </c>
      <c r="H976" s="30"/>
      <c r="I976" s="21" t="str">
        <f t="shared" si="1"/>
        <v/>
      </c>
      <c r="J976" s="19"/>
    </row>
    <row r="977" ht="15.75" customHeight="1">
      <c r="A977" s="3"/>
      <c r="B977" s="19"/>
      <c r="C977" s="19"/>
      <c r="D977" s="27"/>
      <c r="E977" s="27"/>
      <c r="F977" s="28"/>
      <c r="G977" s="31" t="str">
        <f t="shared" si="2"/>
        <v/>
      </c>
      <c r="H977" s="30"/>
      <c r="I977" s="21" t="str">
        <f t="shared" si="1"/>
        <v/>
      </c>
      <c r="J977" s="19"/>
    </row>
    <row r="978" ht="15.75" customHeight="1">
      <c r="A978" s="3"/>
      <c r="B978" s="19"/>
      <c r="C978" s="19"/>
      <c r="D978" s="27"/>
      <c r="E978" s="27"/>
      <c r="F978" s="28"/>
      <c r="G978" s="31" t="str">
        <f t="shared" si="2"/>
        <v/>
      </c>
      <c r="H978" s="30"/>
      <c r="I978" s="21" t="str">
        <f t="shared" si="1"/>
        <v/>
      </c>
      <c r="J978" s="19"/>
    </row>
    <row r="979" ht="15.75" customHeight="1">
      <c r="A979" s="3"/>
      <c r="B979" s="19"/>
      <c r="C979" s="19"/>
      <c r="D979" s="27"/>
      <c r="E979" s="27"/>
      <c r="F979" s="28"/>
      <c r="G979" s="31" t="str">
        <f t="shared" si="2"/>
        <v/>
      </c>
      <c r="H979" s="30"/>
      <c r="I979" s="21" t="str">
        <f t="shared" si="1"/>
        <v/>
      </c>
      <c r="J979" s="19"/>
    </row>
    <row r="980" ht="15.75" customHeight="1">
      <c r="A980" s="3"/>
      <c r="B980" s="19"/>
      <c r="C980" s="19"/>
      <c r="D980" s="27"/>
      <c r="E980" s="27"/>
      <c r="F980" s="28"/>
      <c r="G980" s="31" t="str">
        <f t="shared" si="2"/>
        <v/>
      </c>
      <c r="H980" s="30"/>
      <c r="I980" s="21" t="str">
        <f t="shared" si="1"/>
        <v/>
      </c>
      <c r="J980" s="19"/>
    </row>
    <row r="981" ht="15.75" customHeight="1">
      <c r="A981" s="3"/>
      <c r="B981" s="19"/>
      <c r="C981" s="19"/>
      <c r="D981" s="27"/>
      <c r="E981" s="27"/>
      <c r="F981" s="28"/>
      <c r="G981" s="31" t="str">
        <f t="shared" si="2"/>
        <v/>
      </c>
      <c r="H981" s="30"/>
      <c r="I981" s="21" t="str">
        <f t="shared" si="1"/>
        <v/>
      </c>
      <c r="J981" s="19"/>
    </row>
    <row r="982" ht="15.75" customHeight="1">
      <c r="A982" s="3"/>
      <c r="B982" s="19"/>
      <c r="C982" s="19"/>
      <c r="D982" s="27"/>
      <c r="E982" s="27"/>
      <c r="F982" s="28"/>
      <c r="G982" s="31" t="str">
        <f t="shared" si="2"/>
        <v/>
      </c>
      <c r="H982" s="30"/>
      <c r="I982" s="21" t="str">
        <f t="shared" si="1"/>
        <v/>
      </c>
      <c r="J982" s="19"/>
    </row>
    <row r="983" ht="15.75" customHeight="1">
      <c r="A983" s="3"/>
      <c r="B983" s="19"/>
      <c r="C983" s="19"/>
      <c r="D983" s="27"/>
      <c r="E983" s="27"/>
      <c r="F983" s="28"/>
      <c r="G983" s="31" t="str">
        <f t="shared" si="2"/>
        <v/>
      </c>
      <c r="H983" s="30"/>
      <c r="I983" s="21" t="str">
        <f t="shared" si="1"/>
        <v/>
      </c>
      <c r="J983" s="19"/>
    </row>
    <row r="984" ht="15.75" customHeight="1">
      <c r="A984" s="3"/>
      <c r="B984" s="19"/>
      <c r="C984" s="19"/>
      <c r="D984" s="27"/>
      <c r="E984" s="27"/>
      <c r="F984" s="28"/>
      <c r="G984" s="31" t="str">
        <f t="shared" si="2"/>
        <v/>
      </c>
      <c r="H984" s="30"/>
      <c r="I984" s="21" t="str">
        <f t="shared" si="1"/>
        <v/>
      </c>
      <c r="J984" s="19"/>
    </row>
    <row r="985" ht="15.75" customHeight="1">
      <c r="A985" s="3"/>
      <c r="B985" s="19"/>
      <c r="C985" s="19"/>
      <c r="D985" s="27"/>
      <c r="E985" s="27"/>
      <c r="F985" s="28"/>
      <c r="G985" s="31" t="str">
        <f t="shared" si="2"/>
        <v/>
      </c>
      <c r="H985" s="30"/>
      <c r="I985" s="21" t="str">
        <f t="shared" si="1"/>
        <v/>
      </c>
      <c r="J985" s="19"/>
    </row>
    <row r="986" ht="15.75" customHeight="1">
      <c r="A986" s="3"/>
      <c r="B986" s="19"/>
      <c r="C986" s="19"/>
      <c r="D986" s="27"/>
      <c r="E986" s="27"/>
      <c r="F986" s="28"/>
      <c r="G986" s="31" t="str">
        <f t="shared" si="2"/>
        <v/>
      </c>
      <c r="H986" s="30"/>
      <c r="I986" s="21" t="str">
        <f t="shared" si="1"/>
        <v/>
      </c>
      <c r="J986" s="19"/>
    </row>
    <row r="987" ht="15.75" customHeight="1">
      <c r="A987" s="3"/>
      <c r="B987" s="19"/>
      <c r="C987" s="19"/>
      <c r="D987" s="27"/>
      <c r="E987" s="27"/>
      <c r="F987" s="28"/>
      <c r="G987" s="31" t="str">
        <f t="shared" si="2"/>
        <v/>
      </c>
      <c r="H987" s="30"/>
      <c r="I987" s="21" t="str">
        <f t="shared" si="1"/>
        <v/>
      </c>
      <c r="J987" s="19"/>
    </row>
    <row r="988" ht="15.75" customHeight="1">
      <c r="A988" s="3"/>
      <c r="B988" s="19"/>
      <c r="C988" s="19"/>
      <c r="D988" s="27"/>
      <c r="E988" s="27"/>
      <c r="F988" s="28"/>
      <c r="G988" s="31" t="str">
        <f t="shared" si="2"/>
        <v/>
      </c>
      <c r="H988" s="30"/>
      <c r="I988" s="21" t="str">
        <f t="shared" si="1"/>
        <v/>
      </c>
      <c r="J988" s="19"/>
    </row>
    <row r="989" ht="15.75" customHeight="1">
      <c r="A989" s="3"/>
      <c r="B989" s="19"/>
      <c r="C989" s="19"/>
      <c r="D989" s="27"/>
      <c r="E989" s="27"/>
      <c r="F989" s="28"/>
      <c r="G989" s="31" t="str">
        <f t="shared" si="2"/>
        <v/>
      </c>
      <c r="H989" s="30"/>
      <c r="I989" s="21" t="str">
        <f t="shared" si="1"/>
        <v/>
      </c>
      <c r="J989" s="19"/>
    </row>
    <row r="990" ht="15.75" customHeight="1">
      <c r="A990" s="3"/>
      <c r="B990" s="19"/>
      <c r="C990" s="19"/>
      <c r="D990" s="27"/>
      <c r="E990" s="27"/>
      <c r="F990" s="28"/>
      <c r="G990" s="31" t="str">
        <f t="shared" si="2"/>
        <v/>
      </c>
      <c r="H990" s="30"/>
      <c r="I990" s="21" t="str">
        <f t="shared" si="1"/>
        <v/>
      </c>
      <c r="J990" s="19"/>
    </row>
    <row r="991" ht="15.75" customHeight="1">
      <c r="A991" s="3"/>
      <c r="B991" s="19"/>
      <c r="C991" s="19"/>
      <c r="D991" s="27"/>
      <c r="E991" s="27"/>
      <c r="F991" s="28"/>
      <c r="G991" s="31" t="str">
        <f t="shared" si="2"/>
        <v/>
      </c>
      <c r="H991" s="30"/>
      <c r="I991" s="21" t="str">
        <f t="shared" si="1"/>
        <v/>
      </c>
      <c r="J991" s="19"/>
    </row>
    <row r="992" ht="15.75" customHeight="1">
      <c r="A992" s="3"/>
      <c r="B992" s="19"/>
      <c r="C992" s="19"/>
      <c r="D992" s="27"/>
      <c r="E992" s="27"/>
      <c r="F992" s="28"/>
      <c r="G992" s="31" t="str">
        <f t="shared" si="2"/>
        <v/>
      </c>
      <c r="H992" s="30"/>
      <c r="I992" s="21" t="str">
        <f t="shared" si="1"/>
        <v/>
      </c>
      <c r="J992" s="19"/>
    </row>
    <row r="993" ht="15.75" customHeight="1">
      <c r="A993" s="3"/>
      <c r="B993" s="19"/>
      <c r="C993" s="19"/>
      <c r="D993" s="27"/>
      <c r="E993" s="27"/>
      <c r="F993" s="28"/>
      <c r="G993" s="31" t="str">
        <f t="shared" si="2"/>
        <v/>
      </c>
      <c r="H993" s="30"/>
      <c r="I993" s="21" t="str">
        <f t="shared" si="1"/>
        <v/>
      </c>
      <c r="J993" s="19"/>
    </row>
    <row r="994" ht="15.75" customHeight="1">
      <c r="A994" s="3"/>
      <c r="B994" s="19"/>
      <c r="C994" s="19"/>
      <c r="D994" s="27"/>
      <c r="E994" s="27"/>
      <c r="F994" s="28"/>
      <c r="G994" s="31" t="str">
        <f t="shared" si="2"/>
        <v/>
      </c>
      <c r="H994" s="30"/>
      <c r="I994" s="21" t="str">
        <f t="shared" si="1"/>
        <v/>
      </c>
      <c r="J994" s="19"/>
    </row>
    <row r="995" ht="15.75" customHeight="1">
      <c r="A995" s="3"/>
      <c r="B995" s="19"/>
      <c r="C995" s="19"/>
      <c r="D995" s="27"/>
      <c r="E995" s="27"/>
      <c r="F995" s="28"/>
      <c r="G995" s="31" t="str">
        <f t="shared" si="2"/>
        <v/>
      </c>
      <c r="H995" s="30"/>
      <c r="I995" s="21" t="str">
        <f t="shared" si="1"/>
        <v/>
      </c>
      <c r="J995" s="19"/>
    </row>
    <row r="996" ht="15.75" customHeight="1">
      <c r="A996" s="3"/>
      <c r="B996" s="19"/>
      <c r="C996" s="19"/>
      <c r="D996" s="27"/>
      <c r="E996" s="27"/>
      <c r="F996" s="28"/>
      <c r="G996" s="31" t="str">
        <f t="shared" si="2"/>
        <v/>
      </c>
      <c r="H996" s="30"/>
      <c r="I996" s="21" t="str">
        <f t="shared" si="1"/>
        <v/>
      </c>
      <c r="J996" s="19"/>
    </row>
    <row r="997" ht="15.75" customHeight="1">
      <c r="A997" s="3"/>
      <c r="B997" s="19"/>
      <c r="C997" s="19"/>
      <c r="D997" s="27"/>
      <c r="E997" s="27"/>
      <c r="F997" s="28"/>
      <c r="G997" s="31" t="str">
        <f t="shared" si="2"/>
        <v/>
      </c>
      <c r="H997" s="30"/>
      <c r="I997" s="21" t="str">
        <f t="shared" si="1"/>
        <v/>
      </c>
      <c r="J997" s="19"/>
    </row>
    <row r="998" ht="15.75" customHeight="1">
      <c r="A998" s="3"/>
      <c r="B998" s="19"/>
      <c r="C998" s="19"/>
      <c r="D998" s="27"/>
      <c r="E998" s="27"/>
      <c r="F998" s="28"/>
      <c r="G998" s="31" t="str">
        <f t="shared" si="2"/>
        <v/>
      </c>
      <c r="H998" s="30"/>
      <c r="I998" s="21" t="str">
        <f t="shared" si="1"/>
        <v/>
      </c>
      <c r="J998" s="19"/>
    </row>
    <row r="999" ht="15.75" customHeight="1">
      <c r="A999" s="3"/>
      <c r="B999" s="19"/>
      <c r="C999" s="19"/>
      <c r="D999" s="27"/>
      <c r="E999" s="27"/>
      <c r="F999" s="28"/>
      <c r="G999" s="31" t="str">
        <f t="shared" si="2"/>
        <v/>
      </c>
      <c r="H999" s="30"/>
      <c r="I999" s="21" t="str">
        <f t="shared" si="1"/>
        <v/>
      </c>
      <c r="J999" s="19"/>
    </row>
    <row r="1000" ht="15.75" customHeight="1">
      <c r="A1000" s="3"/>
      <c r="B1000" s="19"/>
      <c r="C1000" s="19"/>
      <c r="D1000" s="27"/>
      <c r="E1000" s="27"/>
      <c r="F1000" s="28"/>
      <c r="G1000" s="31" t="str">
        <f t="shared" si="2"/>
        <v/>
      </c>
      <c r="H1000" s="30"/>
      <c r="I1000" s="21" t="str">
        <f t="shared" si="1"/>
        <v/>
      </c>
      <c r="J1000" s="19"/>
    </row>
    <row r="1001" ht="15.75" customHeight="1">
      <c r="A1001" s="3"/>
      <c r="B1001" s="19"/>
      <c r="C1001" s="19"/>
      <c r="D1001" s="27"/>
      <c r="E1001" s="27"/>
      <c r="F1001" s="28"/>
      <c r="G1001" s="31" t="str">
        <f t="shared" si="2"/>
        <v/>
      </c>
      <c r="H1001" s="30"/>
      <c r="I1001" s="21" t="str">
        <f t="shared" si="1"/>
        <v/>
      </c>
      <c r="J1001" s="19"/>
    </row>
    <row r="1002" ht="15.75" customHeight="1">
      <c r="A1002" s="3"/>
      <c r="B1002" s="19"/>
      <c r="C1002" s="19"/>
      <c r="D1002" s="27"/>
      <c r="E1002" s="27"/>
      <c r="F1002" s="28"/>
      <c r="G1002" s="31" t="str">
        <f t="shared" si="2"/>
        <v/>
      </c>
      <c r="H1002" s="30"/>
      <c r="I1002" s="21" t="str">
        <f t="shared" si="1"/>
        <v/>
      </c>
      <c r="J1002" s="19"/>
    </row>
    <row r="1003" ht="15.75" customHeight="1">
      <c r="A1003" s="3"/>
      <c r="B1003" s="19"/>
      <c r="C1003" s="19"/>
      <c r="D1003" s="27"/>
      <c r="E1003" s="27"/>
      <c r="F1003" s="28"/>
      <c r="G1003" s="31" t="str">
        <f t="shared" si="2"/>
        <v/>
      </c>
      <c r="H1003" s="30"/>
      <c r="I1003" s="21" t="str">
        <f t="shared" si="1"/>
        <v/>
      </c>
      <c r="J1003" s="19"/>
    </row>
    <row r="1004" ht="15.75" customHeight="1">
      <c r="A1004" s="3"/>
      <c r="B1004" s="19"/>
      <c r="C1004" s="19"/>
      <c r="D1004" s="27"/>
      <c r="E1004" s="27"/>
      <c r="F1004" s="28"/>
      <c r="G1004" s="31" t="str">
        <f t="shared" si="2"/>
        <v/>
      </c>
      <c r="H1004" s="30"/>
      <c r="I1004" s="21" t="str">
        <f t="shared" si="1"/>
        <v/>
      </c>
      <c r="J1004" s="19"/>
    </row>
    <row r="1005" ht="15.75" customHeight="1">
      <c r="A1005" s="3"/>
      <c r="B1005" s="19"/>
      <c r="C1005" s="19"/>
      <c r="D1005" s="27"/>
      <c r="E1005" s="27"/>
      <c r="F1005" s="28"/>
      <c r="G1005" s="31" t="str">
        <f t="shared" si="2"/>
        <v/>
      </c>
      <c r="H1005" s="30"/>
      <c r="I1005" s="21" t="str">
        <f t="shared" si="1"/>
        <v/>
      </c>
      <c r="J1005" s="19"/>
    </row>
    <row r="1006" ht="15.75" customHeight="1">
      <c r="A1006" s="3"/>
      <c r="B1006" s="19"/>
      <c r="C1006" s="19"/>
      <c r="D1006" s="27"/>
      <c r="E1006" s="27"/>
      <c r="F1006" s="28"/>
      <c r="G1006" s="31" t="str">
        <f t="shared" si="2"/>
        <v/>
      </c>
      <c r="H1006" s="30"/>
      <c r="I1006" s="21" t="str">
        <f t="shared" si="1"/>
        <v/>
      </c>
      <c r="J1006" s="19"/>
    </row>
    <row r="1007" ht="15.75" customHeight="1">
      <c r="A1007" s="3"/>
      <c r="B1007" s="19"/>
      <c r="C1007" s="19"/>
      <c r="D1007" s="27"/>
      <c r="E1007" s="27"/>
      <c r="F1007" s="28"/>
      <c r="G1007" s="31" t="str">
        <f t="shared" si="2"/>
        <v/>
      </c>
      <c r="H1007" s="30"/>
      <c r="I1007" s="21" t="str">
        <f t="shared" si="1"/>
        <v/>
      </c>
      <c r="J1007" s="19"/>
    </row>
    <row r="1008" ht="15.75" customHeight="1">
      <c r="A1008" s="3"/>
      <c r="B1008" s="19"/>
      <c r="C1008" s="19"/>
      <c r="D1008" s="27"/>
      <c r="E1008" s="27"/>
      <c r="F1008" s="28"/>
      <c r="G1008" s="31" t="str">
        <f t="shared" si="2"/>
        <v/>
      </c>
      <c r="H1008" s="30"/>
      <c r="I1008" s="21" t="str">
        <f t="shared" si="1"/>
        <v/>
      </c>
      <c r="J1008" s="19"/>
    </row>
    <row r="1009" ht="15.75" customHeight="1">
      <c r="A1009" s="3"/>
      <c r="B1009" s="19"/>
      <c r="C1009" s="19"/>
      <c r="D1009" s="27"/>
      <c r="E1009" s="27"/>
      <c r="F1009" s="28"/>
      <c r="G1009" s="31" t="str">
        <f t="shared" si="2"/>
        <v/>
      </c>
      <c r="H1009" s="30"/>
      <c r="I1009" s="21" t="str">
        <f t="shared" si="1"/>
        <v/>
      </c>
      <c r="J1009" s="19"/>
    </row>
    <row r="1010" ht="15.75" customHeight="1">
      <c r="A1010" s="3"/>
      <c r="B1010" s="19"/>
      <c r="C1010" s="19"/>
      <c r="D1010" s="27"/>
      <c r="E1010" s="27"/>
      <c r="F1010" s="28"/>
      <c r="G1010" s="31" t="str">
        <f t="shared" si="2"/>
        <v/>
      </c>
      <c r="H1010" s="30"/>
      <c r="I1010" s="21" t="str">
        <f t="shared" si="1"/>
        <v/>
      </c>
      <c r="J1010" s="19"/>
    </row>
    <row r="1011" ht="15.75" customHeight="1">
      <c r="A1011" s="3"/>
      <c r="B1011" s="19"/>
      <c r="C1011" s="19"/>
      <c r="D1011" s="27"/>
      <c r="E1011" s="27"/>
      <c r="F1011" s="28"/>
      <c r="G1011" s="31" t="str">
        <f t="shared" si="2"/>
        <v/>
      </c>
      <c r="H1011" s="30"/>
      <c r="I1011" s="21" t="str">
        <f t="shared" si="1"/>
        <v/>
      </c>
      <c r="J1011" s="19"/>
    </row>
    <row r="1012" ht="15.75" customHeight="1">
      <c r="A1012" s="3"/>
      <c r="B1012" s="19"/>
      <c r="C1012" s="19"/>
      <c r="D1012" s="27"/>
      <c r="E1012" s="27"/>
      <c r="F1012" s="28"/>
      <c r="G1012" s="31" t="str">
        <f t="shared" si="2"/>
        <v/>
      </c>
      <c r="H1012" s="30"/>
      <c r="I1012" s="21" t="str">
        <f t="shared" si="1"/>
        <v/>
      </c>
      <c r="J1012" s="19"/>
    </row>
    <row r="1013" ht="15.75" customHeight="1">
      <c r="A1013" s="3"/>
      <c r="B1013" s="19"/>
      <c r="C1013" s="19"/>
      <c r="D1013" s="27"/>
      <c r="E1013" s="27"/>
      <c r="F1013" s="28"/>
      <c r="G1013" s="31" t="str">
        <f t="shared" si="2"/>
        <v/>
      </c>
      <c r="H1013" s="30"/>
      <c r="I1013" s="21" t="str">
        <f t="shared" si="1"/>
        <v/>
      </c>
      <c r="J1013" s="19"/>
    </row>
    <row r="1014" ht="15.75" customHeight="1">
      <c r="A1014" s="3"/>
      <c r="B1014" s="19"/>
      <c r="C1014" s="19"/>
      <c r="D1014" s="27"/>
      <c r="E1014" s="27"/>
      <c r="F1014" s="28"/>
      <c r="G1014" s="31" t="str">
        <f t="shared" si="2"/>
        <v/>
      </c>
      <c r="H1014" s="30"/>
      <c r="I1014" s="21" t="str">
        <f t="shared" si="1"/>
        <v/>
      </c>
      <c r="J1014" s="19"/>
    </row>
    <row r="1015" ht="15.75" customHeight="1">
      <c r="A1015" s="3"/>
      <c r="B1015" s="19"/>
      <c r="C1015" s="19"/>
      <c r="D1015" s="27"/>
      <c r="E1015" s="27"/>
      <c r="F1015" s="28"/>
      <c r="G1015" s="31" t="str">
        <f t="shared" si="2"/>
        <v/>
      </c>
      <c r="H1015" s="30"/>
      <c r="I1015" s="21" t="str">
        <f t="shared" si="1"/>
        <v/>
      </c>
      <c r="J1015" s="19"/>
    </row>
    <row r="1016" ht="15.75" customHeight="1">
      <c r="A1016" s="3"/>
      <c r="B1016" s="19"/>
      <c r="C1016" s="19"/>
      <c r="D1016" s="27"/>
      <c r="E1016" s="27"/>
      <c r="F1016" s="28"/>
      <c r="G1016" s="31" t="str">
        <f t="shared" si="2"/>
        <v/>
      </c>
      <c r="H1016" s="30"/>
      <c r="I1016" s="21" t="str">
        <f t="shared" si="1"/>
        <v/>
      </c>
      <c r="J1016" s="19"/>
    </row>
    <row r="1017" ht="15.75" customHeight="1">
      <c r="A1017" s="3"/>
      <c r="B1017" s="19"/>
      <c r="C1017" s="19"/>
      <c r="D1017" s="27"/>
      <c r="E1017" s="27"/>
      <c r="F1017" s="28"/>
      <c r="G1017" s="31" t="str">
        <f t="shared" si="2"/>
        <v/>
      </c>
      <c r="H1017" s="30"/>
      <c r="I1017" s="21" t="str">
        <f t="shared" si="1"/>
        <v/>
      </c>
      <c r="J1017" s="19"/>
    </row>
    <row r="1018" ht="15.75" customHeight="1">
      <c r="A1018" s="3"/>
      <c r="B1018" s="19"/>
      <c r="C1018" s="19"/>
      <c r="D1018" s="27"/>
      <c r="E1018" s="27"/>
      <c r="F1018" s="28"/>
      <c r="G1018" s="31" t="str">
        <f t="shared" si="2"/>
        <v/>
      </c>
      <c r="H1018" s="30"/>
      <c r="I1018" s="21" t="str">
        <f t="shared" si="1"/>
        <v/>
      </c>
      <c r="J1018" s="19"/>
    </row>
    <row r="1019" ht="15.75" customHeight="1">
      <c r="A1019" s="3"/>
      <c r="B1019" s="19"/>
      <c r="C1019" s="19"/>
      <c r="D1019" s="27"/>
      <c r="E1019" s="27"/>
      <c r="F1019" s="28"/>
      <c r="G1019" s="31" t="str">
        <f t="shared" si="2"/>
        <v/>
      </c>
      <c r="H1019" s="30"/>
      <c r="I1019" s="21" t="str">
        <f t="shared" si="1"/>
        <v/>
      </c>
      <c r="J1019" s="19"/>
    </row>
    <row r="1020" ht="15.75" customHeight="1">
      <c r="A1020" s="3"/>
      <c r="B1020" s="19"/>
      <c r="C1020" s="19"/>
      <c r="D1020" s="27"/>
      <c r="E1020" s="27"/>
      <c r="F1020" s="28"/>
      <c r="G1020" s="31" t="str">
        <f t="shared" si="2"/>
        <v/>
      </c>
      <c r="H1020" s="30"/>
      <c r="I1020" s="21" t="str">
        <f t="shared" si="1"/>
        <v/>
      </c>
      <c r="J1020" s="19"/>
    </row>
    <row r="1021" ht="15.75" customHeight="1">
      <c r="A1021" s="3"/>
      <c r="B1021" s="19"/>
      <c r="C1021" s="19"/>
      <c r="D1021" s="27"/>
      <c r="E1021" s="27"/>
      <c r="F1021" s="28"/>
      <c r="G1021" s="31" t="str">
        <f t="shared" si="2"/>
        <v/>
      </c>
      <c r="H1021" s="30"/>
      <c r="I1021" s="21" t="str">
        <f t="shared" si="1"/>
        <v/>
      </c>
      <c r="J1021" s="19"/>
    </row>
    <row r="1022" ht="15.75" customHeight="1">
      <c r="A1022" s="3"/>
      <c r="B1022" s="19"/>
      <c r="C1022" s="19"/>
      <c r="D1022" s="27"/>
      <c r="E1022" s="27"/>
      <c r="F1022" s="28"/>
      <c r="G1022" s="31" t="str">
        <f t="shared" si="2"/>
        <v/>
      </c>
      <c r="H1022" s="30"/>
      <c r="I1022" s="21" t="str">
        <f t="shared" si="1"/>
        <v/>
      </c>
      <c r="J1022" s="19"/>
    </row>
    <row r="1023" ht="15.75" customHeight="1">
      <c r="A1023" s="3"/>
      <c r="B1023" s="19"/>
      <c r="C1023" s="19"/>
      <c r="D1023" s="27"/>
      <c r="E1023" s="27"/>
      <c r="F1023" s="28"/>
      <c r="G1023" s="31" t="str">
        <f t="shared" si="2"/>
        <v/>
      </c>
      <c r="H1023" s="30"/>
      <c r="I1023" s="21" t="str">
        <f t="shared" si="1"/>
        <v/>
      </c>
      <c r="J1023" s="19"/>
    </row>
    <row r="1024" ht="15.75" customHeight="1">
      <c r="A1024" s="3"/>
      <c r="B1024" s="19"/>
      <c r="C1024" s="19"/>
      <c r="D1024" s="27"/>
      <c r="E1024" s="27"/>
      <c r="F1024" s="28"/>
      <c r="G1024" s="31" t="str">
        <f t="shared" si="2"/>
        <v/>
      </c>
      <c r="H1024" s="30"/>
      <c r="I1024" s="21" t="str">
        <f t="shared" si="1"/>
        <v/>
      </c>
      <c r="J1024" s="19"/>
    </row>
    <row r="1025" ht="15.75" customHeight="1">
      <c r="A1025" s="3"/>
      <c r="B1025" s="19"/>
      <c r="C1025" s="19"/>
      <c r="D1025" s="27"/>
      <c r="E1025" s="27"/>
      <c r="F1025" s="28"/>
      <c r="G1025" s="31" t="str">
        <f t="shared" si="2"/>
        <v/>
      </c>
      <c r="H1025" s="30"/>
      <c r="I1025" s="21" t="str">
        <f t="shared" si="1"/>
        <v/>
      </c>
      <c r="J1025" s="19"/>
    </row>
    <row r="1026" ht="15.75" customHeight="1">
      <c r="A1026" s="3"/>
      <c r="B1026" s="19"/>
      <c r="C1026" s="19"/>
      <c r="D1026" s="27"/>
      <c r="E1026" s="27"/>
      <c r="F1026" s="28"/>
      <c r="G1026" s="31" t="str">
        <f t="shared" si="2"/>
        <v/>
      </c>
      <c r="H1026" s="30"/>
      <c r="I1026" s="21" t="str">
        <f t="shared" si="1"/>
        <v/>
      </c>
      <c r="J1026" s="19"/>
    </row>
    <row r="1027" ht="15.75" customHeight="1">
      <c r="A1027" s="3"/>
      <c r="B1027" s="19"/>
      <c r="C1027" s="19"/>
      <c r="D1027" s="27"/>
      <c r="E1027" s="27"/>
      <c r="F1027" s="28"/>
      <c r="G1027" s="31" t="str">
        <f t="shared" si="2"/>
        <v/>
      </c>
      <c r="H1027" s="30"/>
      <c r="I1027" s="21" t="str">
        <f t="shared" si="1"/>
        <v/>
      </c>
      <c r="J1027" s="19"/>
    </row>
    <row r="1028" ht="15.75" customHeight="1">
      <c r="A1028" s="3"/>
      <c r="B1028" s="19"/>
      <c r="C1028" s="19"/>
      <c r="D1028" s="27"/>
      <c r="E1028" s="27"/>
      <c r="F1028" s="28"/>
      <c r="G1028" s="31" t="str">
        <f t="shared" si="2"/>
        <v/>
      </c>
      <c r="H1028" s="30"/>
      <c r="I1028" s="21" t="str">
        <f t="shared" si="1"/>
        <v/>
      </c>
      <c r="J1028" s="19"/>
    </row>
    <row r="1029" ht="15.75" customHeight="1">
      <c r="A1029" s="3"/>
      <c r="B1029" s="19"/>
      <c r="C1029" s="19"/>
      <c r="D1029" s="27"/>
      <c r="E1029" s="27"/>
      <c r="F1029" s="28"/>
      <c r="G1029" s="31" t="str">
        <f t="shared" si="2"/>
        <v/>
      </c>
      <c r="H1029" s="30"/>
      <c r="I1029" s="21" t="str">
        <f t="shared" si="1"/>
        <v/>
      </c>
      <c r="J1029" s="19"/>
    </row>
    <row r="1030" ht="15.75" customHeight="1">
      <c r="A1030" s="3"/>
      <c r="B1030" s="19"/>
      <c r="C1030" s="19"/>
      <c r="D1030" s="27"/>
      <c r="E1030" s="27"/>
      <c r="F1030" s="28"/>
      <c r="G1030" s="31" t="str">
        <f t="shared" si="2"/>
        <v/>
      </c>
      <c r="H1030" s="30"/>
      <c r="I1030" s="21" t="str">
        <f t="shared" si="1"/>
        <v/>
      </c>
      <c r="J1030" s="19"/>
    </row>
    <row r="1031" ht="15.75" customHeight="1">
      <c r="A1031" s="3"/>
      <c r="B1031" s="19"/>
      <c r="C1031" s="19"/>
      <c r="D1031" s="27"/>
      <c r="E1031" s="27"/>
      <c r="F1031" s="28"/>
      <c r="G1031" s="31" t="str">
        <f t="shared" si="2"/>
        <v/>
      </c>
      <c r="H1031" s="30"/>
      <c r="I1031" s="21" t="str">
        <f t="shared" si="1"/>
        <v/>
      </c>
      <c r="J1031" s="19"/>
    </row>
    <row r="1032" ht="15.75" customHeight="1">
      <c r="A1032" s="3"/>
      <c r="B1032" s="19"/>
      <c r="C1032" s="19"/>
      <c r="D1032" s="27"/>
      <c r="E1032" s="27"/>
      <c r="F1032" s="28"/>
      <c r="G1032" s="31" t="str">
        <f t="shared" si="2"/>
        <v/>
      </c>
      <c r="H1032" s="30"/>
      <c r="I1032" s="21" t="str">
        <f t="shared" si="1"/>
        <v/>
      </c>
      <c r="J1032" s="19"/>
    </row>
    <row r="1033" ht="15.75" customHeight="1">
      <c r="A1033" s="3"/>
      <c r="B1033" s="19"/>
      <c r="C1033" s="19"/>
      <c r="D1033" s="27"/>
      <c r="E1033" s="27"/>
      <c r="F1033" s="28"/>
      <c r="G1033" s="31" t="str">
        <f t="shared" si="2"/>
        <v/>
      </c>
      <c r="H1033" s="30"/>
      <c r="I1033" s="21" t="str">
        <f t="shared" si="1"/>
        <v/>
      </c>
      <c r="J1033" s="19"/>
    </row>
    <row r="1034" ht="15.75" customHeight="1">
      <c r="A1034" s="3"/>
      <c r="B1034" s="19"/>
      <c r="C1034" s="19"/>
      <c r="D1034" s="27"/>
      <c r="E1034" s="27"/>
      <c r="F1034" s="28"/>
      <c r="G1034" s="31" t="str">
        <f t="shared" si="2"/>
        <v/>
      </c>
      <c r="H1034" s="30"/>
      <c r="I1034" s="21" t="str">
        <f t="shared" si="1"/>
        <v/>
      </c>
      <c r="J1034" s="19"/>
    </row>
    <row r="1035" ht="15.75" customHeight="1">
      <c r="A1035" s="3"/>
      <c r="B1035" s="19"/>
      <c r="C1035" s="19"/>
      <c r="D1035" s="27"/>
      <c r="E1035" s="27"/>
      <c r="F1035" s="28"/>
      <c r="G1035" s="31" t="str">
        <f t="shared" si="2"/>
        <v/>
      </c>
      <c r="H1035" s="30"/>
      <c r="I1035" s="21" t="str">
        <f t="shared" si="1"/>
        <v/>
      </c>
      <c r="J1035" s="19"/>
    </row>
    <row r="1036" ht="15.75" customHeight="1">
      <c r="A1036" s="3"/>
      <c r="B1036" s="19"/>
      <c r="C1036" s="19"/>
      <c r="D1036" s="27"/>
      <c r="E1036" s="27"/>
      <c r="F1036" s="28"/>
      <c r="G1036" s="31" t="str">
        <f t="shared" si="2"/>
        <v/>
      </c>
      <c r="H1036" s="30"/>
      <c r="I1036" s="21" t="str">
        <f t="shared" si="1"/>
        <v/>
      </c>
      <c r="J1036" s="19"/>
    </row>
    <row r="1037" ht="15.75" customHeight="1">
      <c r="A1037" s="3"/>
      <c r="B1037" s="19"/>
      <c r="C1037" s="19"/>
      <c r="D1037" s="27"/>
      <c r="E1037" s="27"/>
      <c r="F1037" s="28"/>
      <c r="G1037" s="31" t="str">
        <f t="shared" si="2"/>
        <v/>
      </c>
      <c r="H1037" s="30"/>
      <c r="I1037" s="21" t="str">
        <f t="shared" si="1"/>
        <v/>
      </c>
      <c r="J1037" s="19"/>
    </row>
    <row r="1038" ht="15.75" customHeight="1">
      <c r="A1038" s="3"/>
      <c r="B1038" s="19"/>
      <c r="C1038" s="19"/>
      <c r="D1038" s="27"/>
      <c r="E1038" s="27"/>
      <c r="F1038" s="28"/>
      <c r="G1038" s="31" t="str">
        <f t="shared" si="2"/>
        <v/>
      </c>
      <c r="H1038" s="30"/>
      <c r="I1038" s="21" t="str">
        <f t="shared" si="1"/>
        <v/>
      </c>
      <c r="J1038" s="19"/>
    </row>
    <row r="1039" ht="15.75" customHeight="1">
      <c r="A1039" s="3"/>
      <c r="B1039" s="19"/>
      <c r="C1039" s="19"/>
      <c r="D1039" s="27"/>
      <c r="E1039" s="27"/>
      <c r="F1039" s="28"/>
      <c r="G1039" s="31" t="str">
        <f t="shared" si="2"/>
        <v/>
      </c>
      <c r="H1039" s="30"/>
      <c r="I1039" s="21" t="str">
        <f t="shared" si="1"/>
        <v/>
      </c>
      <c r="J1039" s="19"/>
    </row>
    <row r="1040" ht="15.75" customHeight="1">
      <c r="A1040" s="3"/>
      <c r="B1040" s="19"/>
      <c r="C1040" s="19"/>
      <c r="D1040" s="27"/>
      <c r="E1040" s="27"/>
      <c r="F1040" s="28"/>
      <c r="G1040" s="31" t="str">
        <f t="shared" si="2"/>
        <v/>
      </c>
      <c r="H1040" s="30"/>
      <c r="I1040" s="21" t="str">
        <f t="shared" si="1"/>
        <v/>
      </c>
      <c r="J1040" s="19"/>
    </row>
    <row r="1041" ht="15.75" customHeight="1">
      <c r="A1041" s="3"/>
      <c r="B1041" s="19"/>
      <c r="C1041" s="19"/>
      <c r="D1041" s="27"/>
      <c r="E1041" s="27"/>
      <c r="F1041" s="28"/>
      <c r="G1041" s="31" t="str">
        <f t="shared" si="2"/>
        <v/>
      </c>
      <c r="H1041" s="30"/>
      <c r="I1041" s="21" t="str">
        <f t="shared" si="1"/>
        <v/>
      </c>
      <c r="J1041" s="19"/>
    </row>
    <row r="1042" ht="15.75" customHeight="1">
      <c r="A1042" s="3"/>
      <c r="B1042" s="19"/>
      <c r="C1042" s="19"/>
      <c r="D1042" s="27"/>
      <c r="E1042" s="27"/>
      <c r="F1042" s="28"/>
      <c r="G1042" s="31" t="str">
        <f t="shared" si="2"/>
        <v/>
      </c>
      <c r="H1042" s="30"/>
      <c r="I1042" s="21" t="str">
        <f t="shared" si="1"/>
        <v/>
      </c>
      <c r="J1042" s="19"/>
    </row>
    <row r="1043" ht="15.75" customHeight="1">
      <c r="A1043" s="3"/>
      <c r="B1043" s="19"/>
      <c r="C1043" s="19"/>
      <c r="D1043" s="27"/>
      <c r="E1043" s="27"/>
      <c r="F1043" s="28"/>
      <c r="G1043" s="31" t="str">
        <f t="shared" si="2"/>
        <v/>
      </c>
      <c r="H1043" s="30"/>
      <c r="I1043" s="21" t="str">
        <f t="shared" si="1"/>
        <v/>
      </c>
      <c r="J1043" s="19"/>
    </row>
    <row r="1044" ht="15.75" customHeight="1">
      <c r="A1044" s="3"/>
      <c r="B1044" s="19"/>
      <c r="C1044" s="19"/>
      <c r="D1044" s="27"/>
      <c r="E1044" s="27"/>
      <c r="F1044" s="28"/>
      <c r="G1044" s="31" t="str">
        <f t="shared" si="2"/>
        <v/>
      </c>
      <c r="H1044" s="30"/>
      <c r="I1044" s="21" t="str">
        <f t="shared" si="1"/>
        <v/>
      </c>
      <c r="J1044" s="19"/>
    </row>
    <row r="1045" ht="15.75" customHeight="1">
      <c r="A1045" s="3"/>
      <c r="B1045" s="19"/>
      <c r="C1045" s="19"/>
      <c r="D1045" s="27"/>
      <c r="E1045" s="27"/>
      <c r="F1045" s="28"/>
      <c r="G1045" s="31" t="str">
        <f t="shared" si="2"/>
        <v/>
      </c>
      <c r="H1045" s="30"/>
      <c r="I1045" s="21" t="str">
        <f t="shared" si="1"/>
        <v/>
      </c>
      <c r="J1045" s="19"/>
    </row>
    <row r="1046" ht="15.75" customHeight="1">
      <c r="A1046" s="3"/>
      <c r="B1046" s="19"/>
      <c r="C1046" s="19"/>
      <c r="D1046" s="27"/>
      <c r="E1046" s="27"/>
      <c r="F1046" s="28"/>
      <c r="G1046" s="31" t="str">
        <f t="shared" si="2"/>
        <v/>
      </c>
      <c r="H1046" s="30"/>
      <c r="I1046" s="21" t="str">
        <f t="shared" si="1"/>
        <v/>
      </c>
      <c r="J1046" s="19"/>
    </row>
    <row r="1047" ht="15.75" customHeight="1">
      <c r="A1047" s="3"/>
      <c r="B1047" s="19"/>
      <c r="C1047" s="19"/>
      <c r="D1047" s="27"/>
      <c r="E1047" s="27"/>
      <c r="F1047" s="28"/>
      <c r="G1047" s="31" t="str">
        <f t="shared" si="2"/>
        <v/>
      </c>
      <c r="H1047" s="30"/>
      <c r="I1047" s="21" t="str">
        <f t="shared" si="1"/>
        <v/>
      </c>
      <c r="J1047" s="19"/>
    </row>
    <row r="1048" ht="15.75" customHeight="1">
      <c r="A1048" s="3"/>
      <c r="B1048" s="19"/>
      <c r="C1048" s="19"/>
      <c r="D1048" s="27"/>
      <c r="E1048" s="27"/>
      <c r="F1048" s="28"/>
      <c r="G1048" s="31" t="str">
        <f t="shared" si="2"/>
        <v/>
      </c>
      <c r="H1048" s="30"/>
      <c r="I1048" s="21" t="str">
        <f t="shared" si="1"/>
        <v/>
      </c>
      <c r="J1048" s="19"/>
    </row>
    <row r="1049" ht="15.75" customHeight="1">
      <c r="A1049" s="3"/>
      <c r="B1049" s="19"/>
      <c r="C1049" s="19"/>
      <c r="D1049" s="27"/>
      <c r="E1049" s="27"/>
      <c r="F1049" s="28"/>
      <c r="G1049" s="31" t="str">
        <f t="shared" si="2"/>
        <v/>
      </c>
      <c r="H1049" s="30"/>
      <c r="I1049" s="21" t="str">
        <f t="shared" si="1"/>
        <v/>
      </c>
      <c r="J1049" s="19"/>
    </row>
    <row r="1050" ht="15.75" customHeight="1">
      <c r="A1050" s="3"/>
      <c r="B1050" s="19"/>
      <c r="C1050" s="19"/>
      <c r="D1050" s="27"/>
      <c r="E1050" s="27"/>
      <c r="F1050" s="28"/>
      <c r="G1050" s="31" t="str">
        <f t="shared" si="2"/>
        <v/>
      </c>
      <c r="H1050" s="30"/>
      <c r="I1050" s="21" t="str">
        <f t="shared" si="1"/>
        <v/>
      </c>
      <c r="J1050" s="19"/>
    </row>
    <row r="1051" ht="15.75" customHeight="1">
      <c r="A1051" s="3"/>
      <c r="B1051" s="19"/>
      <c r="C1051" s="19"/>
      <c r="D1051" s="27"/>
      <c r="E1051" s="27"/>
      <c r="F1051" s="28"/>
      <c r="G1051" s="31" t="str">
        <f t="shared" si="2"/>
        <v/>
      </c>
      <c r="H1051" s="30"/>
      <c r="I1051" s="21" t="str">
        <f t="shared" si="1"/>
        <v/>
      </c>
      <c r="J1051" s="19"/>
    </row>
    <row r="1052" ht="15.75" customHeight="1">
      <c r="A1052" s="3"/>
      <c r="B1052" s="19"/>
      <c r="C1052" s="19"/>
      <c r="D1052" s="27"/>
      <c r="E1052" s="27"/>
      <c r="F1052" s="28"/>
      <c r="G1052" s="31" t="str">
        <f t="shared" si="2"/>
        <v/>
      </c>
      <c r="H1052" s="30"/>
      <c r="I1052" s="21" t="str">
        <f t="shared" si="1"/>
        <v/>
      </c>
      <c r="J1052" s="19"/>
    </row>
    <row r="1053" ht="15.75" customHeight="1">
      <c r="A1053" s="3"/>
      <c r="B1053" s="19"/>
      <c r="C1053" s="19"/>
      <c r="D1053" s="27"/>
      <c r="E1053" s="27"/>
      <c r="F1053" s="28"/>
      <c r="G1053" s="31" t="str">
        <f t="shared" si="2"/>
        <v/>
      </c>
      <c r="H1053" s="30"/>
      <c r="I1053" s="21" t="str">
        <f t="shared" si="1"/>
        <v/>
      </c>
      <c r="J1053" s="19"/>
    </row>
    <row r="1054" ht="15.75" customHeight="1">
      <c r="A1054" s="3"/>
      <c r="B1054" s="19"/>
      <c r="C1054" s="19"/>
      <c r="D1054" s="27"/>
      <c r="E1054" s="27"/>
      <c r="F1054" s="28"/>
      <c r="G1054" s="31" t="str">
        <f t="shared" si="2"/>
        <v/>
      </c>
      <c r="H1054" s="30"/>
      <c r="I1054" s="21" t="str">
        <f t="shared" si="1"/>
        <v/>
      </c>
      <c r="J1054" s="19"/>
    </row>
    <row r="1055" ht="15.75" customHeight="1">
      <c r="A1055" s="3"/>
      <c r="B1055" s="19"/>
      <c r="C1055" s="19"/>
      <c r="D1055" s="27"/>
      <c r="E1055" s="27"/>
      <c r="F1055" s="28"/>
      <c r="G1055" s="31" t="str">
        <f t="shared" si="2"/>
        <v/>
      </c>
      <c r="H1055" s="30"/>
      <c r="I1055" s="21" t="str">
        <f t="shared" si="1"/>
        <v/>
      </c>
      <c r="J1055" s="19"/>
    </row>
    <row r="1056" ht="15.75" customHeight="1">
      <c r="A1056" s="3"/>
      <c r="B1056" s="19"/>
      <c r="C1056" s="19"/>
      <c r="D1056" s="27"/>
      <c r="E1056" s="27"/>
      <c r="F1056" s="28"/>
      <c r="G1056" s="31" t="str">
        <f t="shared" si="2"/>
        <v/>
      </c>
      <c r="H1056" s="30"/>
      <c r="I1056" s="21" t="str">
        <f t="shared" si="1"/>
        <v/>
      </c>
      <c r="J1056" s="19"/>
    </row>
    <row r="1057" ht="15.75" customHeight="1">
      <c r="A1057" s="3"/>
      <c r="B1057" s="19"/>
      <c r="C1057" s="19"/>
      <c r="D1057" s="27"/>
      <c r="E1057" s="27"/>
      <c r="F1057" s="28"/>
      <c r="G1057" s="31" t="str">
        <f t="shared" si="2"/>
        <v/>
      </c>
      <c r="H1057" s="30"/>
      <c r="I1057" s="21" t="str">
        <f t="shared" si="1"/>
        <v/>
      </c>
      <c r="J1057" s="19"/>
    </row>
    <row r="1058" ht="15.75" customHeight="1">
      <c r="A1058" s="3"/>
      <c r="B1058" s="19"/>
      <c r="C1058" s="19"/>
      <c r="D1058" s="27"/>
      <c r="E1058" s="27"/>
      <c r="F1058" s="28"/>
      <c r="G1058" s="31" t="str">
        <f t="shared" si="2"/>
        <v/>
      </c>
      <c r="H1058" s="30"/>
      <c r="I1058" s="21" t="str">
        <f t="shared" si="1"/>
        <v/>
      </c>
      <c r="J1058" s="19"/>
    </row>
    <row r="1059" ht="15.75" customHeight="1">
      <c r="A1059" s="3"/>
      <c r="B1059" s="19"/>
      <c r="C1059" s="19"/>
      <c r="D1059" s="27"/>
      <c r="E1059" s="27"/>
      <c r="F1059" s="28"/>
      <c r="G1059" s="31" t="str">
        <f t="shared" si="2"/>
        <v/>
      </c>
      <c r="H1059" s="30"/>
      <c r="I1059" s="21" t="str">
        <f t="shared" si="1"/>
        <v/>
      </c>
      <c r="J1059" s="19"/>
    </row>
    <row r="1060" ht="15.75" customHeight="1">
      <c r="A1060" s="3"/>
      <c r="B1060" s="19"/>
      <c r="C1060" s="19"/>
      <c r="D1060" s="27"/>
      <c r="E1060" s="27"/>
      <c r="F1060" s="28"/>
      <c r="G1060" s="31" t="str">
        <f t="shared" si="2"/>
        <v/>
      </c>
      <c r="H1060" s="30"/>
      <c r="I1060" s="21" t="str">
        <f t="shared" si="1"/>
        <v/>
      </c>
      <c r="J1060" s="19"/>
    </row>
    <row r="1061" ht="15.75" customHeight="1">
      <c r="A1061" s="3"/>
      <c r="B1061" s="19"/>
      <c r="C1061" s="19"/>
      <c r="D1061" s="27"/>
      <c r="E1061" s="27"/>
      <c r="F1061" s="28"/>
      <c r="G1061" s="31" t="str">
        <f t="shared" si="2"/>
        <v/>
      </c>
      <c r="H1061" s="30"/>
      <c r="I1061" s="21" t="str">
        <f t="shared" si="1"/>
        <v/>
      </c>
      <c r="J1061" s="19"/>
    </row>
    <row r="1062" ht="15.75" customHeight="1">
      <c r="A1062" s="3"/>
      <c r="B1062" s="19"/>
      <c r="C1062" s="19"/>
      <c r="D1062" s="27"/>
      <c r="E1062" s="27"/>
      <c r="F1062" s="28"/>
      <c r="G1062" s="31" t="str">
        <f t="shared" si="2"/>
        <v/>
      </c>
      <c r="H1062" s="30"/>
      <c r="I1062" s="21" t="str">
        <f t="shared" si="1"/>
        <v/>
      </c>
      <c r="J1062" s="19"/>
    </row>
    <row r="1063" ht="15.75" customHeight="1">
      <c r="A1063" s="3"/>
      <c r="B1063" s="19"/>
      <c r="C1063" s="19"/>
      <c r="D1063" s="27"/>
      <c r="E1063" s="27"/>
      <c r="F1063" s="28"/>
      <c r="G1063" s="31" t="str">
        <f t="shared" si="2"/>
        <v/>
      </c>
      <c r="H1063" s="30"/>
      <c r="I1063" s="21" t="str">
        <f t="shared" si="1"/>
        <v/>
      </c>
      <c r="J1063" s="19"/>
    </row>
    <row r="1064" ht="15.75" customHeight="1">
      <c r="A1064" s="3"/>
      <c r="B1064" s="19"/>
      <c r="C1064" s="19"/>
      <c r="D1064" s="27"/>
      <c r="E1064" s="27"/>
      <c r="F1064" s="28"/>
      <c r="G1064" s="31" t="str">
        <f t="shared" si="2"/>
        <v/>
      </c>
      <c r="H1064" s="30"/>
      <c r="I1064" s="21" t="str">
        <f t="shared" si="1"/>
        <v/>
      </c>
      <c r="J1064" s="19"/>
    </row>
    <row r="1065" ht="15.75" customHeight="1">
      <c r="A1065" s="3"/>
      <c r="B1065" s="19"/>
      <c r="C1065" s="19"/>
      <c r="D1065" s="27"/>
      <c r="E1065" s="27"/>
      <c r="F1065" s="28"/>
      <c r="G1065" s="31" t="str">
        <f t="shared" si="2"/>
        <v/>
      </c>
      <c r="H1065" s="30"/>
      <c r="I1065" s="21" t="str">
        <f t="shared" si="1"/>
        <v/>
      </c>
      <c r="J1065" s="19"/>
    </row>
    <row r="1066" ht="15.75" customHeight="1">
      <c r="A1066" s="3"/>
      <c r="B1066" s="19"/>
      <c r="C1066" s="19"/>
      <c r="D1066" s="27"/>
      <c r="E1066" s="27"/>
      <c r="F1066" s="28"/>
      <c r="G1066" s="31" t="str">
        <f t="shared" si="2"/>
        <v/>
      </c>
      <c r="H1066" s="30"/>
      <c r="I1066" s="21" t="str">
        <f t="shared" si="1"/>
        <v/>
      </c>
      <c r="J1066" s="19"/>
    </row>
    <row r="1067" ht="15.75" customHeight="1">
      <c r="A1067" s="3"/>
      <c r="B1067" s="19"/>
      <c r="C1067" s="19"/>
      <c r="D1067" s="27"/>
      <c r="E1067" s="27"/>
      <c r="F1067" s="28"/>
      <c r="G1067" s="31" t="str">
        <f t="shared" si="2"/>
        <v/>
      </c>
      <c r="H1067" s="30"/>
      <c r="I1067" s="21" t="str">
        <f t="shared" si="1"/>
        <v/>
      </c>
      <c r="J1067" s="19"/>
    </row>
    <row r="1068" ht="15.75" customHeight="1">
      <c r="A1068" s="3"/>
      <c r="B1068" s="19"/>
      <c r="C1068" s="19"/>
      <c r="D1068" s="27"/>
      <c r="E1068" s="27"/>
      <c r="F1068" s="28"/>
      <c r="G1068" s="31" t="str">
        <f t="shared" si="2"/>
        <v/>
      </c>
      <c r="H1068" s="30"/>
      <c r="I1068" s="21" t="str">
        <f t="shared" si="1"/>
        <v/>
      </c>
      <c r="J1068" s="19"/>
    </row>
    <row r="1069" ht="15.75" customHeight="1">
      <c r="A1069" s="3"/>
      <c r="B1069" s="19"/>
      <c r="C1069" s="19"/>
      <c r="D1069" s="27"/>
      <c r="E1069" s="27"/>
      <c r="F1069" s="28"/>
      <c r="G1069" s="31" t="str">
        <f t="shared" si="2"/>
        <v/>
      </c>
      <c r="H1069" s="30"/>
      <c r="I1069" s="21" t="str">
        <f t="shared" si="1"/>
        <v/>
      </c>
      <c r="J1069" s="19"/>
    </row>
    <row r="1070" ht="15.75" customHeight="1">
      <c r="A1070" s="3"/>
      <c r="B1070" s="19"/>
      <c r="C1070" s="19"/>
      <c r="D1070" s="27"/>
      <c r="E1070" s="27"/>
      <c r="F1070" s="28"/>
      <c r="G1070" s="31" t="str">
        <f t="shared" si="2"/>
        <v/>
      </c>
      <c r="H1070" s="30"/>
      <c r="I1070" s="21" t="str">
        <f t="shared" si="1"/>
        <v/>
      </c>
      <c r="J1070" s="19"/>
    </row>
    <row r="1071" ht="15.75" customHeight="1">
      <c r="A1071" s="3"/>
      <c r="B1071" s="19"/>
      <c r="C1071" s="19"/>
      <c r="D1071" s="27"/>
      <c r="E1071" s="27"/>
      <c r="F1071" s="28"/>
      <c r="G1071" s="31" t="str">
        <f t="shared" si="2"/>
        <v/>
      </c>
      <c r="H1071" s="30"/>
      <c r="I1071" s="21" t="str">
        <f t="shared" si="1"/>
        <v/>
      </c>
      <c r="J1071" s="19"/>
    </row>
    <row r="1072" ht="15.75" customHeight="1">
      <c r="A1072" s="3"/>
      <c r="B1072" s="19"/>
      <c r="C1072" s="19"/>
      <c r="D1072" s="27"/>
      <c r="E1072" s="27"/>
      <c r="F1072" s="28"/>
      <c r="G1072" s="31" t="str">
        <f t="shared" si="2"/>
        <v/>
      </c>
      <c r="H1072" s="30"/>
      <c r="I1072" s="21" t="str">
        <f t="shared" si="1"/>
        <v/>
      </c>
      <c r="J1072" s="19"/>
    </row>
    <row r="1073" ht="15.75" customHeight="1">
      <c r="A1073" s="3"/>
      <c r="B1073" s="19"/>
      <c r="C1073" s="19"/>
      <c r="D1073" s="27"/>
      <c r="E1073" s="27"/>
      <c r="F1073" s="28"/>
      <c r="G1073" s="31" t="str">
        <f t="shared" si="2"/>
        <v/>
      </c>
      <c r="H1073" s="30"/>
      <c r="I1073" s="21" t="str">
        <f t="shared" si="1"/>
        <v/>
      </c>
      <c r="J1073" s="19"/>
    </row>
    <row r="1074" ht="15.75" customHeight="1">
      <c r="A1074" s="3"/>
      <c r="B1074" s="19"/>
      <c r="C1074" s="19"/>
      <c r="D1074" s="27"/>
      <c r="E1074" s="27"/>
      <c r="F1074" s="28"/>
      <c r="G1074" s="31" t="str">
        <f t="shared" si="2"/>
        <v/>
      </c>
      <c r="H1074" s="30"/>
      <c r="I1074" s="21" t="str">
        <f t="shared" si="1"/>
        <v/>
      </c>
      <c r="J1074" s="19"/>
    </row>
    <row r="1075" ht="15.75" customHeight="1">
      <c r="A1075" s="3"/>
      <c r="B1075" s="19"/>
      <c r="C1075" s="19"/>
      <c r="D1075" s="27"/>
      <c r="E1075" s="27"/>
      <c r="F1075" s="28"/>
      <c r="G1075" s="31" t="str">
        <f t="shared" si="2"/>
        <v/>
      </c>
      <c r="H1075" s="30"/>
      <c r="I1075" s="21" t="str">
        <f t="shared" si="1"/>
        <v/>
      </c>
      <c r="J1075" s="19"/>
    </row>
    <row r="1076" ht="15.75" customHeight="1">
      <c r="A1076" s="3"/>
      <c r="B1076" s="19"/>
      <c r="C1076" s="19"/>
      <c r="D1076" s="27"/>
      <c r="E1076" s="27"/>
      <c r="F1076" s="28"/>
      <c r="G1076" s="31" t="str">
        <f t="shared" si="2"/>
        <v/>
      </c>
      <c r="H1076" s="30"/>
      <c r="I1076" s="21" t="str">
        <f t="shared" si="1"/>
        <v/>
      </c>
      <c r="J1076" s="19"/>
    </row>
    <row r="1077" ht="15.75" customHeight="1">
      <c r="A1077" s="3"/>
      <c r="B1077" s="19"/>
      <c r="C1077" s="19"/>
      <c r="D1077" s="27"/>
      <c r="E1077" s="27"/>
      <c r="F1077" s="28"/>
      <c r="G1077" s="31" t="str">
        <f t="shared" si="2"/>
        <v/>
      </c>
      <c r="H1077" s="30"/>
      <c r="I1077" s="21" t="str">
        <f t="shared" si="1"/>
        <v/>
      </c>
      <c r="J1077" s="19"/>
    </row>
    <row r="1078" ht="15.75" customHeight="1">
      <c r="A1078" s="3"/>
      <c r="B1078" s="19"/>
      <c r="C1078" s="19"/>
      <c r="D1078" s="27"/>
      <c r="E1078" s="27"/>
      <c r="F1078" s="28"/>
      <c r="G1078" s="31" t="str">
        <f t="shared" si="2"/>
        <v/>
      </c>
      <c r="H1078" s="30"/>
      <c r="I1078" s="21" t="str">
        <f t="shared" si="1"/>
        <v/>
      </c>
      <c r="J1078" s="19"/>
    </row>
    <row r="1079" ht="15.75" customHeight="1">
      <c r="A1079" s="3"/>
      <c r="B1079" s="19"/>
      <c r="C1079" s="19"/>
      <c r="D1079" s="27"/>
      <c r="E1079" s="27"/>
      <c r="F1079" s="28"/>
      <c r="G1079" s="31" t="str">
        <f t="shared" si="2"/>
        <v/>
      </c>
      <c r="H1079" s="30"/>
      <c r="I1079" s="21" t="str">
        <f t="shared" si="1"/>
        <v/>
      </c>
      <c r="J1079" s="19"/>
    </row>
    <row r="1080" ht="15.75" customHeight="1">
      <c r="A1080" s="3"/>
      <c r="B1080" s="19"/>
      <c r="C1080" s="19"/>
      <c r="D1080" s="27"/>
      <c r="E1080" s="27"/>
      <c r="F1080" s="28"/>
      <c r="G1080" s="31" t="str">
        <f t="shared" si="2"/>
        <v/>
      </c>
      <c r="H1080" s="30"/>
      <c r="I1080" s="21" t="str">
        <f t="shared" si="1"/>
        <v/>
      </c>
      <c r="J1080" s="19"/>
    </row>
    <row r="1081" ht="15.75" customHeight="1">
      <c r="A1081" s="3"/>
      <c r="B1081" s="19"/>
      <c r="C1081" s="19"/>
      <c r="D1081" s="27"/>
      <c r="E1081" s="27"/>
      <c r="F1081" s="28"/>
      <c r="G1081" s="31" t="str">
        <f t="shared" si="2"/>
        <v/>
      </c>
      <c r="H1081" s="30"/>
      <c r="I1081" s="21" t="str">
        <f t="shared" si="1"/>
        <v/>
      </c>
      <c r="J1081" s="19"/>
    </row>
    <row r="1082" ht="15.75" customHeight="1">
      <c r="A1082" s="3"/>
      <c r="B1082" s="19"/>
      <c r="C1082" s="19"/>
      <c r="D1082" s="27"/>
      <c r="E1082" s="27"/>
      <c r="F1082" s="28"/>
      <c r="G1082" s="31" t="str">
        <f t="shared" si="2"/>
        <v/>
      </c>
      <c r="H1082" s="30"/>
      <c r="I1082" s="21" t="str">
        <f t="shared" si="1"/>
        <v/>
      </c>
      <c r="J1082" s="19"/>
    </row>
    <row r="1083" ht="15.75" customHeight="1">
      <c r="A1083" s="3"/>
      <c r="B1083" s="19"/>
      <c r="C1083" s="19"/>
      <c r="D1083" s="27"/>
      <c r="E1083" s="27"/>
      <c r="F1083" s="28"/>
      <c r="G1083" s="31" t="str">
        <f t="shared" si="2"/>
        <v/>
      </c>
      <c r="H1083" s="30"/>
      <c r="I1083" s="21" t="str">
        <f t="shared" si="1"/>
        <v/>
      </c>
      <c r="J1083" s="19"/>
    </row>
    <row r="1084" ht="15.75" customHeight="1">
      <c r="A1084" s="3"/>
      <c r="B1084" s="19"/>
      <c r="C1084" s="19"/>
      <c r="D1084" s="27"/>
      <c r="E1084" s="27"/>
      <c r="F1084" s="28"/>
      <c r="G1084" s="31" t="str">
        <f t="shared" si="2"/>
        <v/>
      </c>
      <c r="H1084" s="30"/>
      <c r="I1084" s="21" t="str">
        <f t="shared" si="1"/>
        <v/>
      </c>
      <c r="J1084" s="19"/>
    </row>
    <row r="1085" ht="15.75" customHeight="1">
      <c r="A1085" s="3"/>
      <c r="B1085" s="19"/>
      <c r="C1085" s="19"/>
      <c r="D1085" s="27"/>
      <c r="E1085" s="27"/>
      <c r="F1085" s="28"/>
      <c r="G1085" s="31" t="str">
        <f t="shared" si="2"/>
        <v/>
      </c>
      <c r="H1085" s="30"/>
      <c r="I1085" s="21" t="str">
        <f t="shared" si="1"/>
        <v/>
      </c>
      <c r="J1085" s="19"/>
    </row>
    <row r="1086" ht="15.75" customHeight="1">
      <c r="A1086" s="3"/>
      <c r="B1086" s="19"/>
      <c r="C1086" s="19"/>
      <c r="D1086" s="27"/>
      <c r="E1086" s="27"/>
      <c r="F1086" s="28"/>
      <c r="G1086" s="31" t="str">
        <f t="shared" si="2"/>
        <v/>
      </c>
      <c r="H1086" s="30"/>
      <c r="I1086" s="21" t="str">
        <f t="shared" si="1"/>
        <v/>
      </c>
      <c r="J1086" s="19"/>
    </row>
    <row r="1087" ht="15.75" customHeight="1">
      <c r="A1087" s="3"/>
      <c r="B1087" s="19"/>
      <c r="C1087" s="19"/>
      <c r="D1087" s="27"/>
      <c r="E1087" s="27"/>
      <c r="F1087" s="28"/>
      <c r="G1087" s="31" t="str">
        <f t="shared" si="2"/>
        <v/>
      </c>
      <c r="H1087" s="30"/>
      <c r="I1087" s="21" t="str">
        <f t="shared" si="1"/>
        <v/>
      </c>
      <c r="J1087" s="19"/>
    </row>
    <row r="1088" ht="15.75" customHeight="1">
      <c r="A1088" s="3"/>
      <c r="B1088" s="19"/>
      <c r="C1088" s="19"/>
      <c r="D1088" s="27"/>
      <c r="E1088" s="27"/>
      <c r="F1088" s="28"/>
      <c r="G1088" s="31" t="str">
        <f t="shared" si="2"/>
        <v/>
      </c>
      <c r="H1088" s="30"/>
      <c r="I1088" s="21" t="str">
        <f t="shared" si="1"/>
        <v/>
      </c>
      <c r="J1088" s="19"/>
    </row>
    <row r="1089" ht="15.75" customHeight="1">
      <c r="A1089" s="3"/>
      <c r="B1089" s="19"/>
      <c r="C1089" s="19"/>
      <c r="D1089" s="27"/>
      <c r="E1089" s="27"/>
      <c r="F1089" s="28"/>
      <c r="G1089" s="31" t="str">
        <f t="shared" si="2"/>
        <v/>
      </c>
      <c r="H1089" s="30"/>
      <c r="I1089" s="21" t="str">
        <f t="shared" si="1"/>
        <v/>
      </c>
      <c r="J1089" s="19"/>
    </row>
    <row r="1090" ht="15.75" customHeight="1">
      <c r="A1090" s="3"/>
      <c r="B1090" s="19"/>
      <c r="C1090" s="19"/>
      <c r="D1090" s="27"/>
      <c r="E1090" s="27"/>
      <c r="F1090" s="28"/>
      <c r="G1090" s="31" t="str">
        <f t="shared" si="2"/>
        <v/>
      </c>
      <c r="H1090" s="30"/>
      <c r="I1090" s="21" t="str">
        <f t="shared" si="1"/>
        <v/>
      </c>
      <c r="J1090" s="19"/>
    </row>
    <row r="1091" ht="15.75" customHeight="1">
      <c r="A1091" s="3"/>
      <c r="B1091" s="19"/>
      <c r="C1091" s="19"/>
      <c r="D1091" s="27"/>
      <c r="E1091" s="27"/>
      <c r="F1091" s="28"/>
      <c r="G1091" s="31" t="str">
        <f t="shared" si="2"/>
        <v/>
      </c>
      <c r="H1091" s="30"/>
      <c r="I1091" s="21" t="str">
        <f t="shared" si="1"/>
        <v/>
      </c>
      <c r="J1091" s="19"/>
    </row>
    <row r="1092" ht="15.75" customHeight="1">
      <c r="A1092" s="3"/>
      <c r="B1092" s="19"/>
      <c r="C1092" s="19"/>
      <c r="D1092" s="27"/>
      <c r="E1092" s="27"/>
      <c r="F1092" s="28"/>
      <c r="G1092" s="31" t="str">
        <f t="shared" si="2"/>
        <v/>
      </c>
      <c r="H1092" s="30"/>
      <c r="I1092" s="21" t="str">
        <f t="shared" si="1"/>
        <v/>
      </c>
      <c r="J1092" s="19"/>
    </row>
    <row r="1093" ht="15.75" customHeight="1">
      <c r="A1093" s="3"/>
      <c r="B1093" s="19"/>
      <c r="C1093" s="19"/>
      <c r="D1093" s="27"/>
      <c r="E1093" s="27"/>
      <c r="F1093" s="28"/>
      <c r="G1093" s="31" t="str">
        <f t="shared" si="2"/>
        <v/>
      </c>
      <c r="H1093" s="30"/>
      <c r="I1093" s="21" t="str">
        <f t="shared" si="1"/>
        <v/>
      </c>
      <c r="J1093" s="19"/>
    </row>
    <row r="1094" ht="15.75" customHeight="1">
      <c r="A1094" s="3"/>
      <c r="B1094" s="19"/>
      <c r="C1094" s="19"/>
      <c r="D1094" s="27"/>
      <c r="E1094" s="27"/>
      <c r="F1094" s="28"/>
      <c r="G1094" s="31" t="str">
        <f t="shared" si="2"/>
        <v/>
      </c>
      <c r="H1094" s="30"/>
      <c r="I1094" s="21" t="str">
        <f t="shared" si="1"/>
        <v/>
      </c>
      <c r="J1094" s="19"/>
    </row>
    <row r="1095" ht="15.75" customHeight="1">
      <c r="A1095" s="3"/>
      <c r="B1095" s="19"/>
      <c r="C1095" s="19"/>
      <c r="D1095" s="27"/>
      <c r="E1095" s="27"/>
      <c r="F1095" s="28"/>
      <c r="G1095" s="31" t="str">
        <f t="shared" si="2"/>
        <v/>
      </c>
      <c r="H1095" s="30"/>
      <c r="I1095" s="21" t="str">
        <f t="shared" si="1"/>
        <v/>
      </c>
      <c r="J1095" s="19"/>
    </row>
    <row r="1096" ht="15.75" customHeight="1">
      <c r="A1096" s="3"/>
      <c r="B1096" s="19"/>
      <c r="C1096" s="19"/>
      <c r="D1096" s="27"/>
      <c r="E1096" s="27"/>
      <c r="F1096" s="28"/>
      <c r="G1096" s="31" t="str">
        <f t="shared" si="2"/>
        <v/>
      </c>
      <c r="H1096" s="30"/>
      <c r="I1096" s="21" t="str">
        <f t="shared" si="1"/>
        <v/>
      </c>
      <c r="J1096" s="19"/>
    </row>
    <row r="1097" ht="15.75" customHeight="1">
      <c r="A1097" s="3"/>
      <c r="B1097" s="19"/>
      <c r="C1097" s="19"/>
      <c r="D1097" s="27"/>
      <c r="E1097" s="27"/>
      <c r="F1097" s="28"/>
      <c r="G1097" s="31" t="str">
        <f t="shared" si="2"/>
        <v/>
      </c>
      <c r="H1097" s="30"/>
      <c r="I1097" s="21" t="str">
        <f t="shared" si="1"/>
        <v/>
      </c>
      <c r="J1097" s="19"/>
    </row>
    <row r="1098" ht="15.75" customHeight="1">
      <c r="A1098" s="3"/>
      <c r="B1098" s="19"/>
      <c r="C1098" s="19"/>
      <c r="D1098" s="27"/>
      <c r="E1098" s="27"/>
      <c r="F1098" s="28"/>
      <c r="G1098" s="31" t="str">
        <f t="shared" si="2"/>
        <v/>
      </c>
      <c r="H1098" s="30"/>
      <c r="I1098" s="21" t="str">
        <f t="shared" si="1"/>
        <v/>
      </c>
      <c r="J1098" s="19"/>
    </row>
    <row r="1099" ht="15.75" customHeight="1">
      <c r="A1099" s="3"/>
      <c r="B1099" s="19"/>
      <c r="C1099" s="19"/>
      <c r="D1099" s="27"/>
      <c r="E1099" s="27"/>
      <c r="F1099" s="28"/>
      <c r="G1099" s="31" t="str">
        <f t="shared" si="2"/>
        <v/>
      </c>
      <c r="H1099" s="30"/>
      <c r="I1099" s="21" t="str">
        <f t="shared" si="1"/>
        <v/>
      </c>
      <c r="J1099" s="19"/>
    </row>
    <row r="1100" ht="15.75" customHeight="1">
      <c r="A1100" s="3"/>
      <c r="B1100" s="19"/>
      <c r="C1100" s="19"/>
      <c r="D1100" s="27"/>
      <c r="E1100" s="27"/>
      <c r="F1100" s="28"/>
      <c r="G1100" s="31" t="str">
        <f t="shared" si="2"/>
        <v/>
      </c>
      <c r="H1100" s="30"/>
      <c r="I1100" s="21" t="str">
        <f t="shared" si="1"/>
        <v/>
      </c>
      <c r="J1100" s="19"/>
    </row>
    <row r="1101" ht="15.75" customHeight="1">
      <c r="A1101" s="3"/>
      <c r="B1101" s="19"/>
      <c r="C1101" s="19"/>
      <c r="D1101" s="27"/>
      <c r="E1101" s="27"/>
      <c r="F1101" s="28"/>
      <c r="G1101" s="31" t="str">
        <f t="shared" si="2"/>
        <v/>
      </c>
      <c r="H1101" s="30"/>
      <c r="I1101" s="21" t="str">
        <f t="shared" si="1"/>
        <v/>
      </c>
      <c r="J1101" s="19"/>
    </row>
    <row r="1102" ht="15.75" customHeight="1">
      <c r="A1102" s="3"/>
      <c r="B1102" s="19"/>
      <c r="C1102" s="19"/>
      <c r="D1102" s="27"/>
      <c r="E1102" s="27"/>
      <c r="F1102" s="28"/>
      <c r="G1102" s="31" t="str">
        <f t="shared" si="2"/>
        <v/>
      </c>
      <c r="H1102" s="30"/>
      <c r="I1102" s="21" t="str">
        <f t="shared" si="1"/>
        <v/>
      </c>
      <c r="J1102" s="19"/>
    </row>
    <row r="1103" ht="15.75" customHeight="1">
      <c r="A1103" s="3"/>
      <c r="B1103" s="19"/>
      <c r="C1103" s="19"/>
      <c r="D1103" s="27"/>
      <c r="E1103" s="27"/>
      <c r="F1103" s="28"/>
      <c r="G1103" s="31" t="str">
        <f t="shared" si="2"/>
        <v/>
      </c>
      <c r="H1103" s="30"/>
      <c r="I1103" s="21" t="str">
        <f t="shared" si="1"/>
        <v/>
      </c>
      <c r="J1103" s="19"/>
    </row>
    <row r="1104" ht="15.75" customHeight="1">
      <c r="A1104" s="3"/>
      <c r="B1104" s="19"/>
      <c r="C1104" s="19"/>
      <c r="D1104" s="27"/>
      <c r="E1104" s="27"/>
      <c r="F1104" s="28"/>
      <c r="G1104" s="31" t="str">
        <f t="shared" si="2"/>
        <v/>
      </c>
      <c r="H1104" s="30"/>
      <c r="I1104" s="21" t="str">
        <f t="shared" si="1"/>
        <v/>
      </c>
      <c r="J1104" s="19"/>
    </row>
    <row r="1105" ht="15.75" customHeight="1">
      <c r="A1105" s="3"/>
      <c r="B1105" s="19"/>
      <c r="C1105" s="19"/>
      <c r="D1105" s="27"/>
      <c r="E1105" s="27"/>
      <c r="F1105" s="28"/>
      <c r="G1105" s="31" t="str">
        <f t="shared" si="2"/>
        <v/>
      </c>
      <c r="H1105" s="30"/>
      <c r="I1105" s="21" t="str">
        <f t="shared" si="1"/>
        <v/>
      </c>
      <c r="J1105" s="19"/>
    </row>
    <row r="1106" ht="15.75" customHeight="1">
      <c r="A1106" s="3"/>
      <c r="B1106" s="19"/>
      <c r="C1106" s="19"/>
      <c r="D1106" s="27"/>
      <c r="E1106" s="27"/>
      <c r="F1106" s="28"/>
      <c r="G1106" s="31" t="str">
        <f t="shared" si="2"/>
        <v/>
      </c>
      <c r="H1106" s="30"/>
      <c r="I1106" s="21" t="str">
        <f t="shared" si="1"/>
        <v/>
      </c>
      <c r="J1106" s="19"/>
    </row>
    <row r="1107" ht="15.75" customHeight="1">
      <c r="A1107" s="3"/>
      <c r="B1107" s="19"/>
      <c r="C1107" s="19"/>
      <c r="D1107" s="27"/>
      <c r="E1107" s="27"/>
      <c r="F1107" s="28"/>
      <c r="G1107" s="31" t="str">
        <f t="shared" si="2"/>
        <v/>
      </c>
      <c r="H1107" s="30"/>
      <c r="I1107" s="21" t="str">
        <f t="shared" si="1"/>
        <v/>
      </c>
      <c r="J1107" s="19"/>
    </row>
    <row r="1108" ht="15.75" customHeight="1">
      <c r="A1108" s="3"/>
      <c r="B1108" s="19"/>
      <c r="C1108" s="19"/>
      <c r="D1108" s="27"/>
      <c r="E1108" s="27"/>
      <c r="F1108" s="28"/>
      <c r="G1108" s="31" t="str">
        <f t="shared" si="2"/>
        <v/>
      </c>
      <c r="H1108" s="30"/>
      <c r="I1108" s="21" t="str">
        <f t="shared" si="1"/>
        <v/>
      </c>
      <c r="J1108" s="19"/>
    </row>
    <row r="1109" ht="15.75" customHeight="1">
      <c r="A1109" s="3"/>
      <c r="B1109" s="19"/>
      <c r="C1109" s="19"/>
      <c r="D1109" s="27"/>
      <c r="E1109" s="27"/>
      <c r="F1109" s="28"/>
      <c r="G1109" s="31" t="str">
        <f t="shared" si="2"/>
        <v/>
      </c>
      <c r="H1109" s="30"/>
      <c r="I1109" s="21" t="str">
        <f t="shared" si="1"/>
        <v/>
      </c>
      <c r="J1109" s="19"/>
    </row>
    <row r="1110" ht="15.75" customHeight="1">
      <c r="A1110" s="3"/>
      <c r="B1110" s="19"/>
      <c r="C1110" s="19"/>
      <c r="D1110" s="27"/>
      <c r="E1110" s="27"/>
      <c r="F1110" s="28"/>
      <c r="G1110" s="31" t="str">
        <f t="shared" si="2"/>
        <v/>
      </c>
      <c r="H1110" s="30"/>
      <c r="I1110" s="21" t="str">
        <f t="shared" si="1"/>
        <v/>
      </c>
      <c r="J1110" s="19"/>
    </row>
    <row r="1111" ht="15.75" customHeight="1">
      <c r="A1111" s="3"/>
      <c r="B1111" s="19"/>
      <c r="C1111" s="19"/>
      <c r="D1111" s="27"/>
      <c r="E1111" s="27"/>
      <c r="F1111" s="28"/>
      <c r="G1111" s="31" t="str">
        <f t="shared" si="2"/>
        <v/>
      </c>
      <c r="H1111" s="30"/>
      <c r="I1111" s="21" t="str">
        <f t="shared" si="1"/>
        <v/>
      </c>
      <c r="J1111" s="19"/>
    </row>
    <row r="1112" ht="15.75" customHeight="1">
      <c r="A1112" s="3"/>
      <c r="B1112" s="19"/>
      <c r="C1112" s="19"/>
      <c r="D1112" s="27"/>
      <c r="E1112" s="27"/>
      <c r="F1112" s="28"/>
      <c r="G1112" s="31" t="str">
        <f t="shared" si="2"/>
        <v/>
      </c>
      <c r="H1112" s="30"/>
      <c r="I1112" s="21" t="str">
        <f t="shared" si="1"/>
        <v/>
      </c>
      <c r="J1112" s="19"/>
    </row>
    <row r="1113" ht="15.75" customHeight="1">
      <c r="A1113" s="3"/>
      <c r="B1113" s="19"/>
      <c r="C1113" s="19"/>
      <c r="D1113" s="27"/>
      <c r="E1113" s="27"/>
      <c r="F1113" s="28"/>
      <c r="G1113" s="31" t="str">
        <f t="shared" si="2"/>
        <v/>
      </c>
      <c r="H1113" s="30"/>
      <c r="I1113" s="21" t="str">
        <f t="shared" si="1"/>
        <v/>
      </c>
      <c r="J1113" s="19"/>
    </row>
    <row r="1114" ht="15.75" customHeight="1">
      <c r="A1114" s="3"/>
      <c r="B1114" s="19"/>
      <c r="C1114" s="19"/>
      <c r="D1114" s="27"/>
      <c r="E1114" s="27"/>
      <c r="F1114" s="28"/>
      <c r="G1114" s="31" t="str">
        <f t="shared" si="2"/>
        <v/>
      </c>
      <c r="H1114" s="30"/>
      <c r="I1114" s="21" t="str">
        <f t="shared" si="1"/>
        <v/>
      </c>
      <c r="J1114" s="19"/>
    </row>
    <row r="1115" ht="15.75" customHeight="1">
      <c r="A1115" s="3"/>
      <c r="B1115" s="19"/>
      <c r="C1115" s="19"/>
      <c r="D1115" s="27"/>
      <c r="E1115" s="27"/>
      <c r="F1115" s="28"/>
      <c r="G1115" s="31" t="str">
        <f t="shared" si="2"/>
        <v/>
      </c>
      <c r="H1115" s="30"/>
      <c r="I1115" s="21" t="str">
        <f t="shared" si="1"/>
        <v/>
      </c>
      <c r="J1115" s="19"/>
    </row>
    <row r="1116" ht="15.75" customHeight="1">
      <c r="A1116" s="3"/>
      <c r="B1116" s="19"/>
      <c r="C1116" s="19"/>
      <c r="D1116" s="27"/>
      <c r="E1116" s="27"/>
      <c r="F1116" s="28"/>
      <c r="G1116" s="31" t="str">
        <f t="shared" si="2"/>
        <v/>
      </c>
      <c r="H1116" s="30"/>
      <c r="I1116" s="21" t="str">
        <f t="shared" si="1"/>
        <v/>
      </c>
      <c r="J1116" s="19"/>
    </row>
    <row r="1117" ht="15.75" customHeight="1">
      <c r="A1117" s="3"/>
      <c r="B1117" s="19"/>
      <c r="C1117" s="19"/>
      <c r="D1117" s="27"/>
      <c r="E1117" s="27"/>
      <c r="F1117" s="28"/>
      <c r="G1117" s="31" t="str">
        <f t="shared" si="2"/>
        <v/>
      </c>
      <c r="H1117" s="30"/>
      <c r="I1117" s="21" t="str">
        <f t="shared" si="1"/>
        <v/>
      </c>
      <c r="J1117" s="19"/>
    </row>
    <row r="1118" ht="15.75" customHeight="1">
      <c r="A1118" s="3"/>
      <c r="B1118" s="19"/>
      <c r="C1118" s="19"/>
      <c r="D1118" s="27"/>
      <c r="E1118" s="27"/>
      <c r="F1118" s="28"/>
      <c r="G1118" s="31" t="str">
        <f t="shared" si="2"/>
        <v/>
      </c>
      <c r="H1118" s="30"/>
      <c r="I1118" s="21" t="str">
        <f t="shared" si="1"/>
        <v/>
      </c>
      <c r="J1118" s="19"/>
    </row>
    <row r="1119" ht="15.75" customHeight="1">
      <c r="A1119" s="3"/>
      <c r="B1119" s="19"/>
      <c r="C1119" s="19"/>
      <c r="D1119" s="27"/>
      <c r="E1119" s="27"/>
      <c r="F1119" s="28"/>
      <c r="G1119" s="31" t="str">
        <f t="shared" si="2"/>
        <v/>
      </c>
      <c r="H1119" s="30"/>
      <c r="I1119" s="21" t="str">
        <f t="shared" si="1"/>
        <v/>
      </c>
      <c r="J1119" s="19"/>
    </row>
    <row r="1120" ht="15.75" customHeight="1">
      <c r="A1120" s="3"/>
      <c r="B1120" s="19"/>
      <c r="C1120" s="19"/>
      <c r="D1120" s="27"/>
      <c r="E1120" s="27"/>
      <c r="F1120" s="28"/>
      <c r="G1120" s="31" t="str">
        <f t="shared" si="2"/>
        <v/>
      </c>
      <c r="H1120" s="30"/>
      <c r="I1120" s="21" t="str">
        <f t="shared" si="1"/>
        <v/>
      </c>
      <c r="J1120" s="19"/>
    </row>
    <row r="1121" ht="15.75" customHeight="1">
      <c r="A1121" s="3"/>
      <c r="B1121" s="19"/>
      <c r="C1121" s="19"/>
      <c r="D1121" s="27"/>
      <c r="E1121" s="27"/>
      <c r="F1121" s="28"/>
      <c r="G1121" s="31" t="str">
        <f t="shared" si="2"/>
        <v/>
      </c>
      <c r="H1121" s="30"/>
      <c r="I1121" s="21" t="str">
        <f t="shared" si="1"/>
        <v/>
      </c>
      <c r="J1121" s="19"/>
    </row>
    <row r="1122" ht="15.75" customHeight="1">
      <c r="A1122" s="3"/>
      <c r="B1122" s="19"/>
      <c r="C1122" s="19"/>
      <c r="D1122" s="27"/>
      <c r="E1122" s="27"/>
      <c r="F1122" s="28"/>
      <c r="G1122" s="31" t="str">
        <f t="shared" si="2"/>
        <v/>
      </c>
      <c r="H1122" s="30"/>
      <c r="I1122" s="21" t="str">
        <f t="shared" si="1"/>
        <v/>
      </c>
      <c r="J1122" s="19"/>
    </row>
    <row r="1123" ht="15.75" customHeight="1">
      <c r="A1123" s="3"/>
      <c r="B1123" s="19"/>
      <c r="C1123" s="19"/>
      <c r="D1123" s="27"/>
      <c r="E1123" s="27"/>
      <c r="F1123" s="28"/>
      <c r="G1123" s="31" t="str">
        <f t="shared" si="2"/>
        <v/>
      </c>
      <c r="H1123" s="30"/>
      <c r="I1123" s="21" t="str">
        <f t="shared" si="1"/>
        <v/>
      </c>
      <c r="J1123" s="19"/>
    </row>
    <row r="1124" ht="15.75" customHeight="1">
      <c r="A1124" s="3"/>
      <c r="B1124" s="19"/>
      <c r="C1124" s="19"/>
      <c r="D1124" s="27"/>
      <c r="E1124" s="27"/>
      <c r="F1124" s="28"/>
      <c r="G1124" s="31" t="str">
        <f t="shared" si="2"/>
        <v/>
      </c>
      <c r="H1124" s="30"/>
      <c r="I1124" s="21" t="str">
        <f t="shared" si="1"/>
        <v/>
      </c>
      <c r="J1124" s="19"/>
    </row>
    <row r="1125" ht="15.75" customHeight="1">
      <c r="A1125" s="3"/>
      <c r="B1125" s="19"/>
      <c r="C1125" s="19"/>
      <c r="D1125" s="27"/>
      <c r="E1125" s="27"/>
      <c r="F1125" s="28"/>
      <c r="G1125" s="31" t="str">
        <f t="shared" si="2"/>
        <v/>
      </c>
      <c r="H1125" s="30"/>
      <c r="I1125" s="21" t="str">
        <f t="shared" si="1"/>
        <v/>
      </c>
      <c r="J1125" s="19"/>
    </row>
    <row r="1126" ht="15.75" customHeight="1">
      <c r="A1126" s="3"/>
      <c r="B1126" s="19"/>
      <c r="C1126" s="19"/>
      <c r="D1126" s="27"/>
      <c r="E1126" s="27"/>
      <c r="F1126" s="28"/>
      <c r="G1126" s="31" t="str">
        <f t="shared" si="2"/>
        <v/>
      </c>
      <c r="H1126" s="30"/>
      <c r="I1126" s="21" t="str">
        <f t="shared" si="1"/>
        <v/>
      </c>
      <c r="J1126" s="19"/>
    </row>
    <row r="1127" ht="15.75" customHeight="1">
      <c r="A1127" s="3"/>
      <c r="B1127" s="19"/>
      <c r="C1127" s="19"/>
      <c r="D1127" s="27"/>
      <c r="E1127" s="27"/>
      <c r="F1127" s="28"/>
      <c r="G1127" s="31" t="str">
        <f t="shared" si="2"/>
        <v/>
      </c>
      <c r="H1127" s="30"/>
      <c r="I1127" s="21" t="str">
        <f t="shared" si="1"/>
        <v/>
      </c>
      <c r="J1127" s="19"/>
    </row>
    <row r="1128" ht="15.75" customHeight="1">
      <c r="A1128" s="3"/>
      <c r="B1128" s="19"/>
      <c r="C1128" s="19"/>
      <c r="D1128" s="27"/>
      <c r="E1128" s="27"/>
      <c r="F1128" s="28"/>
      <c r="G1128" s="31" t="str">
        <f t="shared" si="2"/>
        <v/>
      </c>
      <c r="H1128" s="30"/>
      <c r="I1128" s="21" t="str">
        <f t="shared" si="1"/>
        <v/>
      </c>
      <c r="J1128" s="19"/>
    </row>
    <row r="1129" ht="15.75" customHeight="1">
      <c r="A1129" s="3"/>
      <c r="B1129" s="19"/>
      <c r="C1129" s="19"/>
      <c r="D1129" s="27"/>
      <c r="E1129" s="27"/>
      <c r="F1129" s="28"/>
      <c r="G1129" s="31" t="str">
        <f t="shared" si="2"/>
        <v/>
      </c>
      <c r="H1129" s="30"/>
      <c r="I1129" s="21" t="str">
        <f t="shared" si="1"/>
        <v/>
      </c>
      <c r="J1129" s="19"/>
    </row>
    <row r="1130" ht="15.75" customHeight="1">
      <c r="A1130" s="3"/>
      <c r="B1130" s="19"/>
      <c r="C1130" s="19"/>
      <c r="D1130" s="27"/>
      <c r="E1130" s="27"/>
      <c r="F1130" s="28"/>
      <c r="G1130" s="31" t="str">
        <f t="shared" si="2"/>
        <v/>
      </c>
      <c r="H1130" s="30"/>
      <c r="I1130" s="21" t="str">
        <f t="shared" si="1"/>
        <v/>
      </c>
      <c r="J1130" s="19"/>
    </row>
    <row r="1131" ht="15.75" customHeight="1">
      <c r="A1131" s="3"/>
      <c r="B1131" s="19"/>
      <c r="C1131" s="19"/>
      <c r="D1131" s="27"/>
      <c r="E1131" s="27"/>
      <c r="F1131" s="28"/>
      <c r="G1131" s="31" t="str">
        <f t="shared" si="2"/>
        <v/>
      </c>
      <c r="H1131" s="30"/>
      <c r="I1131" s="21" t="str">
        <f t="shared" si="1"/>
        <v/>
      </c>
      <c r="J1131" s="19"/>
    </row>
    <row r="1132" ht="15.75" customHeight="1">
      <c r="A1132" s="3"/>
      <c r="B1132" s="19"/>
      <c r="C1132" s="19"/>
      <c r="D1132" s="27"/>
      <c r="E1132" s="27"/>
      <c r="F1132" s="28"/>
      <c r="G1132" s="31" t="str">
        <f t="shared" si="2"/>
        <v/>
      </c>
      <c r="H1132" s="30"/>
      <c r="I1132" s="21" t="str">
        <f t="shared" si="1"/>
        <v/>
      </c>
      <c r="J1132" s="19"/>
    </row>
    <row r="1133" ht="15.75" customHeight="1">
      <c r="A1133" s="3"/>
      <c r="B1133" s="19"/>
      <c r="C1133" s="19"/>
      <c r="D1133" s="27"/>
      <c r="E1133" s="27"/>
      <c r="F1133" s="28"/>
      <c r="G1133" s="31" t="str">
        <f t="shared" si="2"/>
        <v/>
      </c>
      <c r="H1133" s="30"/>
      <c r="I1133" s="21" t="str">
        <f t="shared" si="1"/>
        <v/>
      </c>
      <c r="J1133" s="19"/>
    </row>
    <row r="1134" ht="15.75" customHeight="1">
      <c r="A1134" s="3"/>
      <c r="B1134" s="19"/>
      <c r="C1134" s="19"/>
      <c r="D1134" s="27"/>
      <c r="E1134" s="27"/>
      <c r="F1134" s="28"/>
      <c r="G1134" s="31" t="str">
        <f t="shared" si="2"/>
        <v/>
      </c>
      <c r="H1134" s="30"/>
      <c r="I1134" s="21" t="str">
        <f t="shared" si="1"/>
        <v/>
      </c>
      <c r="J1134" s="19"/>
    </row>
    <row r="1135" ht="15.75" customHeight="1">
      <c r="A1135" s="3"/>
      <c r="B1135" s="19"/>
      <c r="C1135" s="19"/>
      <c r="D1135" s="27"/>
      <c r="E1135" s="27"/>
      <c r="F1135" s="28"/>
      <c r="G1135" s="31" t="str">
        <f t="shared" si="2"/>
        <v/>
      </c>
      <c r="H1135" s="30"/>
      <c r="I1135" s="21" t="str">
        <f t="shared" si="1"/>
        <v/>
      </c>
      <c r="J1135" s="19"/>
    </row>
    <row r="1136" ht="15.75" customHeight="1">
      <c r="A1136" s="3"/>
      <c r="B1136" s="19"/>
      <c r="C1136" s="19"/>
      <c r="D1136" s="27"/>
      <c r="E1136" s="27"/>
      <c r="F1136" s="28"/>
      <c r="G1136" s="31" t="str">
        <f t="shared" si="2"/>
        <v/>
      </c>
      <c r="H1136" s="30"/>
      <c r="I1136" s="21" t="str">
        <f t="shared" si="1"/>
        <v/>
      </c>
      <c r="J1136" s="19"/>
    </row>
    <row r="1137" ht="15.75" customHeight="1">
      <c r="A1137" s="3"/>
      <c r="B1137" s="19"/>
      <c r="C1137" s="19"/>
      <c r="D1137" s="27"/>
      <c r="E1137" s="27"/>
      <c r="F1137" s="28"/>
      <c r="G1137" s="31" t="str">
        <f t="shared" si="2"/>
        <v/>
      </c>
      <c r="H1137" s="30"/>
      <c r="I1137" s="21" t="str">
        <f t="shared" si="1"/>
        <v/>
      </c>
      <c r="J1137" s="19"/>
    </row>
    <row r="1138" ht="15.75" customHeight="1">
      <c r="A1138" s="3"/>
      <c r="B1138" s="19"/>
      <c r="C1138" s="19"/>
      <c r="D1138" s="27"/>
      <c r="E1138" s="27"/>
      <c r="F1138" s="28"/>
      <c r="G1138" s="31" t="str">
        <f t="shared" si="2"/>
        <v/>
      </c>
      <c r="H1138" s="30"/>
      <c r="I1138" s="21" t="str">
        <f t="shared" si="1"/>
        <v/>
      </c>
      <c r="J1138" s="19"/>
    </row>
    <row r="1139" ht="15.75" customHeight="1">
      <c r="A1139" s="3"/>
      <c r="B1139" s="19"/>
      <c r="C1139" s="19"/>
      <c r="D1139" s="27"/>
      <c r="E1139" s="27"/>
      <c r="F1139" s="28"/>
      <c r="G1139" s="31" t="str">
        <f t="shared" si="2"/>
        <v/>
      </c>
      <c r="H1139" s="30"/>
      <c r="I1139" s="21" t="str">
        <f t="shared" si="1"/>
        <v/>
      </c>
      <c r="J1139" s="19"/>
    </row>
    <row r="1140" ht="15.75" customHeight="1">
      <c r="A1140" s="3"/>
      <c r="B1140" s="19"/>
      <c r="C1140" s="19"/>
      <c r="D1140" s="27"/>
      <c r="E1140" s="27"/>
      <c r="F1140" s="28"/>
      <c r="G1140" s="31" t="str">
        <f t="shared" si="2"/>
        <v/>
      </c>
      <c r="H1140" s="30"/>
      <c r="I1140" s="21" t="str">
        <f t="shared" si="1"/>
        <v/>
      </c>
      <c r="J1140" s="19"/>
    </row>
    <row r="1141" ht="15.75" customHeight="1">
      <c r="A1141" s="3"/>
      <c r="B1141" s="19"/>
      <c r="C1141" s="19"/>
      <c r="D1141" s="27"/>
      <c r="E1141" s="27"/>
      <c r="F1141" s="28"/>
      <c r="G1141" s="31" t="str">
        <f t="shared" si="2"/>
        <v/>
      </c>
      <c r="H1141" s="30"/>
      <c r="I1141" s="21" t="str">
        <f t="shared" si="1"/>
        <v/>
      </c>
      <c r="J1141" s="19"/>
    </row>
    <row r="1142" ht="15.75" customHeight="1">
      <c r="A1142" s="3"/>
      <c r="B1142" s="19"/>
      <c r="C1142" s="19"/>
      <c r="D1142" s="27"/>
      <c r="E1142" s="27"/>
      <c r="F1142" s="28"/>
      <c r="G1142" s="31" t="str">
        <f t="shared" si="2"/>
        <v/>
      </c>
      <c r="H1142" s="30"/>
      <c r="I1142" s="21" t="str">
        <f t="shared" si="1"/>
        <v/>
      </c>
      <c r="J1142" s="19"/>
    </row>
    <row r="1143" ht="15.75" customHeight="1">
      <c r="A1143" s="3"/>
      <c r="B1143" s="19"/>
      <c r="C1143" s="19"/>
      <c r="D1143" s="27"/>
      <c r="E1143" s="27"/>
      <c r="F1143" s="28"/>
      <c r="G1143" s="31" t="str">
        <f t="shared" si="2"/>
        <v/>
      </c>
      <c r="H1143" s="30"/>
      <c r="I1143" s="21" t="str">
        <f t="shared" si="1"/>
        <v/>
      </c>
      <c r="J1143" s="19"/>
    </row>
    <row r="1144" ht="15.75" customHeight="1">
      <c r="A1144" s="3"/>
      <c r="B1144" s="19"/>
      <c r="C1144" s="19"/>
      <c r="D1144" s="27"/>
      <c r="E1144" s="27"/>
      <c r="F1144" s="28"/>
      <c r="G1144" s="31" t="str">
        <f t="shared" si="2"/>
        <v/>
      </c>
      <c r="H1144" s="30"/>
      <c r="I1144" s="21" t="str">
        <f t="shared" si="1"/>
        <v/>
      </c>
      <c r="J1144" s="19"/>
    </row>
    <row r="1145" ht="15.75" customHeight="1">
      <c r="A1145" s="3"/>
      <c r="B1145" s="19"/>
      <c r="C1145" s="19"/>
      <c r="D1145" s="27"/>
      <c r="E1145" s="27"/>
      <c r="F1145" s="28"/>
      <c r="G1145" s="31" t="str">
        <f t="shared" si="2"/>
        <v/>
      </c>
      <c r="H1145" s="30"/>
      <c r="I1145" s="21" t="str">
        <f t="shared" si="1"/>
        <v/>
      </c>
      <c r="J1145" s="19"/>
    </row>
    <row r="1146" ht="15.75" customHeight="1">
      <c r="A1146" s="3"/>
      <c r="B1146" s="19"/>
      <c r="C1146" s="19"/>
      <c r="D1146" s="27"/>
      <c r="E1146" s="27"/>
      <c r="F1146" s="28"/>
      <c r="G1146" s="31" t="str">
        <f t="shared" si="2"/>
        <v/>
      </c>
      <c r="H1146" s="30"/>
      <c r="I1146" s="21" t="str">
        <f t="shared" si="1"/>
        <v/>
      </c>
      <c r="J1146" s="19"/>
    </row>
    <row r="1147" ht="15.75" customHeight="1">
      <c r="A1147" s="3"/>
      <c r="B1147" s="19"/>
      <c r="C1147" s="19"/>
      <c r="D1147" s="27"/>
      <c r="E1147" s="27"/>
      <c r="F1147" s="28"/>
      <c r="G1147" s="31" t="str">
        <f t="shared" si="2"/>
        <v/>
      </c>
      <c r="H1147" s="30"/>
      <c r="I1147" s="21" t="str">
        <f t="shared" si="1"/>
        <v/>
      </c>
      <c r="J1147" s="19"/>
    </row>
    <row r="1148" ht="15.75" customHeight="1">
      <c r="A1148" s="3"/>
      <c r="B1148" s="19"/>
      <c r="C1148" s="19"/>
      <c r="D1148" s="27"/>
      <c r="E1148" s="27"/>
      <c r="F1148" s="28"/>
      <c r="G1148" s="31" t="str">
        <f t="shared" si="2"/>
        <v/>
      </c>
      <c r="H1148" s="30"/>
      <c r="I1148" s="21" t="str">
        <f t="shared" si="1"/>
        <v/>
      </c>
      <c r="J1148" s="19"/>
    </row>
    <row r="1149" ht="15.75" customHeight="1">
      <c r="A1149" s="3"/>
      <c r="B1149" s="19"/>
      <c r="C1149" s="19"/>
      <c r="D1149" s="27"/>
      <c r="E1149" s="27"/>
      <c r="F1149" s="28"/>
      <c r="G1149" s="31" t="str">
        <f t="shared" si="2"/>
        <v/>
      </c>
      <c r="H1149" s="30"/>
      <c r="I1149" s="21" t="str">
        <f t="shared" si="1"/>
        <v/>
      </c>
      <c r="J1149" s="19"/>
    </row>
    <row r="1150" ht="15.75" customHeight="1">
      <c r="A1150" s="3"/>
      <c r="B1150" s="19"/>
      <c r="C1150" s="19"/>
      <c r="D1150" s="27"/>
      <c r="E1150" s="27"/>
      <c r="F1150" s="28"/>
      <c r="G1150" s="31" t="str">
        <f t="shared" si="2"/>
        <v/>
      </c>
      <c r="H1150" s="30"/>
      <c r="I1150" s="21" t="str">
        <f t="shared" si="1"/>
        <v/>
      </c>
      <c r="J1150" s="19"/>
    </row>
    <row r="1151" ht="15.75" customHeight="1">
      <c r="A1151" s="3"/>
      <c r="B1151" s="19"/>
      <c r="C1151" s="19"/>
      <c r="D1151" s="27"/>
      <c r="E1151" s="27"/>
      <c r="F1151" s="28"/>
      <c r="G1151" s="31" t="str">
        <f t="shared" si="2"/>
        <v/>
      </c>
      <c r="H1151" s="30"/>
      <c r="I1151" s="21" t="str">
        <f t="shared" si="1"/>
        <v/>
      </c>
      <c r="J1151" s="19"/>
    </row>
    <row r="1152" ht="15.75" customHeight="1">
      <c r="A1152" s="3"/>
      <c r="B1152" s="19"/>
      <c r="C1152" s="19"/>
      <c r="D1152" s="27"/>
      <c r="E1152" s="27"/>
      <c r="F1152" s="28"/>
      <c r="G1152" s="31" t="str">
        <f t="shared" si="2"/>
        <v/>
      </c>
      <c r="H1152" s="30"/>
      <c r="I1152" s="21" t="str">
        <f t="shared" si="1"/>
        <v/>
      </c>
      <c r="J1152" s="19"/>
    </row>
    <row r="1153" ht="15.75" customHeight="1">
      <c r="A1153" s="3"/>
      <c r="B1153" s="19"/>
      <c r="C1153" s="19"/>
      <c r="D1153" s="27"/>
      <c r="E1153" s="27"/>
      <c r="F1153" s="28"/>
      <c r="G1153" s="31" t="str">
        <f t="shared" si="2"/>
        <v/>
      </c>
      <c r="H1153" s="30"/>
      <c r="I1153" s="21" t="str">
        <f t="shared" si="1"/>
        <v/>
      </c>
      <c r="J1153" s="19"/>
    </row>
    <row r="1154" ht="15.75" customHeight="1">
      <c r="A1154" s="3"/>
      <c r="B1154" s="19"/>
      <c r="C1154" s="19"/>
      <c r="D1154" s="27"/>
      <c r="E1154" s="27"/>
      <c r="F1154" s="28"/>
      <c r="G1154" s="31" t="str">
        <f t="shared" si="2"/>
        <v/>
      </c>
      <c r="H1154" s="30"/>
      <c r="I1154" s="21" t="str">
        <f t="shared" si="1"/>
        <v/>
      </c>
      <c r="J1154" s="19"/>
    </row>
    <row r="1155" ht="15.75" customHeight="1">
      <c r="A1155" s="3"/>
      <c r="B1155" s="19"/>
      <c r="C1155" s="19"/>
      <c r="D1155" s="27"/>
      <c r="E1155" s="27"/>
      <c r="F1155" s="28"/>
      <c r="G1155" s="31" t="str">
        <f t="shared" si="2"/>
        <v/>
      </c>
      <c r="H1155" s="30"/>
      <c r="I1155" s="21" t="str">
        <f t="shared" si="1"/>
        <v/>
      </c>
      <c r="J1155" s="19"/>
    </row>
    <row r="1156" ht="15.75" customHeight="1">
      <c r="A1156" s="3"/>
      <c r="B1156" s="19"/>
      <c r="C1156" s="19"/>
      <c r="D1156" s="27"/>
      <c r="E1156" s="27"/>
      <c r="F1156" s="28"/>
      <c r="G1156" s="31" t="str">
        <f t="shared" si="2"/>
        <v/>
      </c>
      <c r="H1156" s="30"/>
      <c r="I1156" s="21" t="str">
        <f t="shared" si="1"/>
        <v/>
      </c>
      <c r="J1156" s="19"/>
    </row>
    <row r="1157" ht="15.75" customHeight="1">
      <c r="A1157" s="3"/>
      <c r="B1157" s="19"/>
      <c r="C1157" s="19"/>
      <c r="D1157" s="27"/>
      <c r="E1157" s="27"/>
      <c r="F1157" s="28"/>
      <c r="G1157" s="31" t="str">
        <f t="shared" si="2"/>
        <v/>
      </c>
      <c r="H1157" s="30"/>
      <c r="I1157" s="21" t="str">
        <f t="shared" si="1"/>
        <v/>
      </c>
      <c r="J1157" s="19"/>
    </row>
    <row r="1158" ht="15.75" customHeight="1">
      <c r="A1158" s="3"/>
      <c r="B1158" s="19"/>
      <c r="C1158" s="19"/>
      <c r="D1158" s="27"/>
      <c r="E1158" s="27"/>
      <c r="F1158" s="28"/>
      <c r="G1158" s="31" t="str">
        <f t="shared" si="2"/>
        <v/>
      </c>
      <c r="H1158" s="30"/>
      <c r="I1158" s="21" t="str">
        <f t="shared" si="1"/>
        <v/>
      </c>
      <c r="J1158" s="19"/>
    </row>
    <row r="1159" ht="15.75" customHeight="1">
      <c r="A1159" s="3"/>
      <c r="B1159" s="19"/>
      <c r="C1159" s="19"/>
      <c r="D1159" s="27"/>
      <c r="E1159" s="27"/>
      <c r="F1159" s="28"/>
      <c r="G1159" s="31" t="str">
        <f t="shared" si="2"/>
        <v/>
      </c>
      <c r="H1159" s="30"/>
      <c r="I1159" s="21" t="str">
        <f t="shared" si="1"/>
        <v/>
      </c>
      <c r="J1159" s="19"/>
    </row>
    <row r="1160" ht="15.75" customHeight="1">
      <c r="A1160" s="3"/>
      <c r="B1160" s="19"/>
      <c r="C1160" s="19"/>
      <c r="D1160" s="27"/>
      <c r="E1160" s="27"/>
      <c r="F1160" s="28"/>
      <c r="G1160" s="31" t="str">
        <f t="shared" si="2"/>
        <v/>
      </c>
      <c r="H1160" s="30"/>
      <c r="I1160" s="21" t="str">
        <f t="shared" si="1"/>
        <v/>
      </c>
      <c r="J1160" s="19"/>
    </row>
    <row r="1161" ht="15.75" customHeight="1">
      <c r="A1161" s="3"/>
      <c r="B1161" s="19"/>
      <c r="C1161" s="19"/>
      <c r="D1161" s="27"/>
      <c r="E1161" s="27"/>
      <c r="F1161" s="28"/>
      <c r="G1161" s="31" t="str">
        <f t="shared" si="2"/>
        <v/>
      </c>
      <c r="H1161" s="30"/>
      <c r="I1161" s="21" t="str">
        <f t="shared" si="1"/>
        <v/>
      </c>
      <c r="J1161" s="19"/>
    </row>
    <row r="1162" ht="15.75" customHeight="1">
      <c r="A1162" s="3"/>
      <c r="B1162" s="19"/>
      <c r="C1162" s="19"/>
      <c r="D1162" s="27"/>
      <c r="E1162" s="27"/>
      <c r="F1162" s="28"/>
      <c r="G1162" s="31" t="str">
        <f t="shared" si="2"/>
        <v/>
      </c>
      <c r="H1162" s="30"/>
      <c r="I1162" s="21" t="str">
        <f t="shared" si="1"/>
        <v/>
      </c>
      <c r="J1162" s="19"/>
    </row>
    <row r="1163" ht="15.75" customHeight="1">
      <c r="A1163" s="3"/>
      <c r="B1163" s="19"/>
      <c r="C1163" s="19"/>
      <c r="D1163" s="27"/>
      <c r="E1163" s="27"/>
      <c r="F1163" s="28"/>
      <c r="G1163" s="31" t="str">
        <f t="shared" si="2"/>
        <v/>
      </c>
      <c r="H1163" s="30"/>
      <c r="I1163" s="21" t="str">
        <f t="shared" si="1"/>
        <v/>
      </c>
      <c r="J1163" s="19"/>
    </row>
    <row r="1164" ht="15.75" customHeight="1">
      <c r="A1164" s="3"/>
      <c r="B1164" s="19"/>
      <c r="C1164" s="19"/>
      <c r="D1164" s="27"/>
      <c r="E1164" s="27"/>
      <c r="F1164" s="28"/>
      <c r="G1164" s="31" t="str">
        <f t="shared" si="2"/>
        <v/>
      </c>
      <c r="H1164" s="30"/>
      <c r="I1164" s="21" t="str">
        <f t="shared" si="1"/>
        <v/>
      </c>
      <c r="J1164" s="19"/>
    </row>
    <row r="1165" ht="15.75" customHeight="1">
      <c r="A1165" s="3"/>
      <c r="B1165" s="19"/>
      <c r="C1165" s="19"/>
      <c r="D1165" s="27"/>
      <c r="E1165" s="27"/>
      <c r="F1165" s="28"/>
      <c r="G1165" s="31" t="str">
        <f t="shared" si="2"/>
        <v/>
      </c>
      <c r="H1165" s="30"/>
      <c r="I1165" s="21" t="str">
        <f t="shared" si="1"/>
        <v/>
      </c>
      <c r="J1165" s="19"/>
    </row>
    <row r="1166" ht="15.75" customHeight="1">
      <c r="A1166" s="3"/>
      <c r="B1166" s="19"/>
      <c r="C1166" s="19"/>
      <c r="D1166" s="27"/>
      <c r="E1166" s="27"/>
      <c r="F1166" s="28"/>
      <c r="G1166" s="31" t="str">
        <f t="shared" si="2"/>
        <v/>
      </c>
      <c r="H1166" s="30"/>
      <c r="I1166" s="21" t="str">
        <f t="shared" si="1"/>
        <v/>
      </c>
      <c r="J1166" s="19"/>
    </row>
    <row r="1167" ht="15.75" customHeight="1">
      <c r="A1167" s="3"/>
      <c r="B1167" s="19"/>
      <c r="C1167" s="19"/>
      <c r="D1167" s="27"/>
      <c r="E1167" s="27"/>
      <c r="F1167" s="28"/>
      <c r="G1167" s="31" t="str">
        <f t="shared" si="2"/>
        <v/>
      </c>
      <c r="H1167" s="30"/>
      <c r="I1167" s="21" t="str">
        <f t="shared" si="1"/>
        <v/>
      </c>
      <c r="J1167" s="19"/>
    </row>
    <row r="1168" ht="15.75" customHeight="1">
      <c r="A1168" s="3"/>
      <c r="B1168" s="19"/>
      <c r="C1168" s="19"/>
      <c r="D1168" s="27"/>
      <c r="E1168" s="27"/>
      <c r="F1168" s="28"/>
      <c r="G1168" s="31" t="str">
        <f t="shared" si="2"/>
        <v/>
      </c>
      <c r="H1168" s="30"/>
      <c r="I1168" s="21" t="str">
        <f t="shared" si="1"/>
        <v/>
      </c>
      <c r="J1168" s="19"/>
    </row>
    <row r="1169" ht="15.75" customHeight="1">
      <c r="A1169" s="3"/>
      <c r="B1169" s="19"/>
      <c r="C1169" s="19"/>
      <c r="D1169" s="27"/>
      <c r="E1169" s="27"/>
      <c r="F1169" s="28"/>
      <c r="G1169" s="31" t="str">
        <f t="shared" si="2"/>
        <v/>
      </c>
      <c r="H1169" s="30"/>
      <c r="I1169" s="21" t="str">
        <f t="shared" si="1"/>
        <v/>
      </c>
      <c r="J1169" s="19"/>
    </row>
    <row r="1170" ht="15.75" customHeight="1">
      <c r="A1170" s="3"/>
      <c r="B1170" s="19"/>
      <c r="C1170" s="19"/>
      <c r="D1170" s="27"/>
      <c r="E1170" s="27"/>
      <c r="F1170" s="28"/>
      <c r="G1170" s="31" t="str">
        <f t="shared" si="2"/>
        <v/>
      </c>
      <c r="H1170" s="30"/>
      <c r="I1170" s="21" t="str">
        <f t="shared" si="1"/>
        <v/>
      </c>
      <c r="J1170" s="19"/>
    </row>
    <row r="1171" ht="15.75" customHeight="1">
      <c r="A1171" s="3"/>
      <c r="B1171" s="19"/>
      <c r="C1171" s="19"/>
      <c r="D1171" s="27"/>
      <c r="E1171" s="27"/>
      <c r="F1171" s="28"/>
      <c r="G1171" s="31" t="str">
        <f t="shared" si="2"/>
        <v/>
      </c>
      <c r="H1171" s="30"/>
      <c r="I1171" s="21" t="str">
        <f t="shared" si="1"/>
        <v/>
      </c>
      <c r="J1171" s="19"/>
    </row>
    <row r="1172" ht="15.75" customHeight="1">
      <c r="A1172" s="3"/>
      <c r="B1172" s="19"/>
      <c r="C1172" s="19"/>
      <c r="D1172" s="27"/>
      <c r="E1172" s="27"/>
      <c r="F1172" s="28"/>
      <c r="G1172" s="31" t="str">
        <f t="shared" si="2"/>
        <v/>
      </c>
      <c r="H1172" s="30"/>
      <c r="I1172" s="21" t="str">
        <f t="shared" si="1"/>
        <v/>
      </c>
      <c r="J1172" s="19"/>
    </row>
    <row r="1173" ht="15.75" customHeight="1">
      <c r="A1173" s="3"/>
      <c r="B1173" s="19"/>
      <c r="C1173" s="19"/>
      <c r="D1173" s="27"/>
      <c r="E1173" s="27"/>
      <c r="F1173" s="28"/>
      <c r="G1173" s="31" t="str">
        <f t="shared" si="2"/>
        <v/>
      </c>
      <c r="H1173" s="30"/>
      <c r="I1173" s="21" t="str">
        <f t="shared" si="1"/>
        <v/>
      </c>
      <c r="J1173" s="19"/>
    </row>
    <row r="1174" ht="15.75" customHeight="1">
      <c r="A1174" s="3"/>
      <c r="B1174" s="19"/>
      <c r="C1174" s="19"/>
      <c r="D1174" s="27"/>
      <c r="E1174" s="27"/>
      <c r="F1174" s="28"/>
      <c r="G1174" s="31" t="str">
        <f t="shared" si="2"/>
        <v/>
      </c>
      <c r="H1174" s="30"/>
      <c r="I1174" s="21" t="str">
        <f t="shared" si="1"/>
        <v/>
      </c>
      <c r="J1174" s="19"/>
    </row>
    <row r="1175" ht="15.75" customHeight="1">
      <c r="A1175" s="3"/>
      <c r="B1175" s="19"/>
      <c r="C1175" s="19"/>
      <c r="D1175" s="27"/>
      <c r="E1175" s="27"/>
      <c r="F1175" s="28"/>
      <c r="G1175" s="31" t="str">
        <f t="shared" si="2"/>
        <v/>
      </c>
      <c r="H1175" s="30"/>
      <c r="I1175" s="21" t="str">
        <f t="shared" si="1"/>
        <v/>
      </c>
      <c r="J1175" s="19"/>
    </row>
    <row r="1176" ht="15.75" customHeight="1">
      <c r="A1176" s="3"/>
      <c r="B1176" s="19"/>
      <c r="C1176" s="19"/>
      <c r="D1176" s="27"/>
      <c r="E1176" s="27"/>
      <c r="F1176" s="28"/>
      <c r="G1176" s="31" t="str">
        <f t="shared" si="2"/>
        <v/>
      </c>
      <c r="H1176" s="30"/>
      <c r="I1176" s="21" t="str">
        <f t="shared" si="1"/>
        <v/>
      </c>
      <c r="J1176" s="19"/>
    </row>
    <row r="1177" ht="15.75" customHeight="1">
      <c r="A1177" s="3"/>
      <c r="B1177" s="19"/>
      <c r="C1177" s="19"/>
      <c r="D1177" s="27"/>
      <c r="E1177" s="27"/>
      <c r="F1177" s="28"/>
      <c r="G1177" s="31" t="str">
        <f t="shared" si="2"/>
        <v/>
      </c>
      <c r="H1177" s="30"/>
      <c r="I1177" s="21" t="str">
        <f t="shared" si="1"/>
        <v/>
      </c>
      <c r="J1177" s="19"/>
    </row>
    <row r="1178" ht="15.75" customHeight="1">
      <c r="A1178" s="3"/>
      <c r="B1178" s="19"/>
      <c r="C1178" s="19"/>
      <c r="D1178" s="27"/>
      <c r="E1178" s="27"/>
      <c r="F1178" s="28"/>
      <c r="G1178" s="31" t="str">
        <f t="shared" si="2"/>
        <v/>
      </c>
      <c r="H1178" s="30"/>
      <c r="I1178" s="21" t="str">
        <f t="shared" si="1"/>
        <v/>
      </c>
      <c r="J1178" s="19"/>
    </row>
    <row r="1179" ht="15.75" customHeight="1">
      <c r="A1179" s="3"/>
      <c r="B1179" s="19"/>
      <c r="C1179" s="19"/>
      <c r="D1179" s="27"/>
      <c r="E1179" s="27"/>
      <c r="F1179" s="28"/>
      <c r="G1179" s="31" t="str">
        <f t="shared" si="2"/>
        <v/>
      </c>
      <c r="H1179" s="30"/>
      <c r="I1179" s="21" t="str">
        <f t="shared" si="1"/>
        <v/>
      </c>
      <c r="J1179" s="19"/>
    </row>
    <row r="1180" ht="15.75" customHeight="1">
      <c r="A1180" s="3"/>
      <c r="B1180" s="19"/>
      <c r="C1180" s="19"/>
      <c r="D1180" s="27"/>
      <c r="E1180" s="27"/>
      <c r="F1180" s="28"/>
      <c r="G1180" s="31" t="str">
        <f t="shared" si="2"/>
        <v/>
      </c>
      <c r="H1180" s="30"/>
      <c r="I1180" s="21" t="str">
        <f t="shared" si="1"/>
        <v/>
      </c>
      <c r="J1180" s="19"/>
    </row>
    <row r="1181" ht="15.75" customHeight="1">
      <c r="A1181" s="3"/>
      <c r="B1181" s="19"/>
      <c r="C1181" s="19"/>
      <c r="D1181" s="27"/>
      <c r="E1181" s="27"/>
      <c r="F1181" s="28"/>
      <c r="G1181" s="31" t="str">
        <f t="shared" si="2"/>
        <v/>
      </c>
      <c r="H1181" s="30"/>
      <c r="I1181" s="21" t="str">
        <f t="shared" si="1"/>
        <v/>
      </c>
      <c r="J1181" s="19"/>
    </row>
    <row r="1182" ht="15.75" customHeight="1">
      <c r="A1182" s="3"/>
      <c r="B1182" s="19"/>
      <c r="C1182" s="19"/>
      <c r="D1182" s="27"/>
      <c r="E1182" s="27"/>
      <c r="F1182" s="28"/>
      <c r="G1182" s="31" t="str">
        <f t="shared" si="2"/>
        <v/>
      </c>
      <c r="H1182" s="30"/>
      <c r="I1182" s="21" t="str">
        <f t="shared" si="1"/>
        <v/>
      </c>
      <c r="J1182" s="19"/>
    </row>
    <row r="1183" ht="15.75" customHeight="1">
      <c r="A1183" s="3"/>
      <c r="B1183" s="19"/>
      <c r="C1183" s="19"/>
      <c r="D1183" s="27"/>
      <c r="E1183" s="27"/>
      <c r="F1183" s="28"/>
      <c r="G1183" s="31" t="str">
        <f t="shared" si="2"/>
        <v/>
      </c>
      <c r="H1183" s="30"/>
      <c r="I1183" s="21" t="str">
        <f t="shared" si="1"/>
        <v/>
      </c>
      <c r="J1183" s="19"/>
    </row>
    <row r="1184" ht="15.75" customHeight="1">
      <c r="A1184" s="3"/>
      <c r="B1184" s="19"/>
      <c r="C1184" s="19"/>
      <c r="D1184" s="27"/>
      <c r="E1184" s="27"/>
      <c r="F1184" s="28"/>
      <c r="G1184" s="31" t="str">
        <f t="shared" si="2"/>
        <v/>
      </c>
      <c r="H1184" s="30"/>
      <c r="I1184" s="21" t="str">
        <f t="shared" si="1"/>
        <v/>
      </c>
      <c r="J1184" s="19"/>
    </row>
    <row r="1185" ht="15.75" customHeight="1">
      <c r="A1185" s="3"/>
      <c r="B1185" s="19"/>
      <c r="C1185" s="19"/>
      <c r="D1185" s="27"/>
      <c r="E1185" s="27"/>
      <c r="F1185" s="28"/>
      <c r="G1185" s="31" t="str">
        <f t="shared" si="2"/>
        <v/>
      </c>
      <c r="H1185" s="30"/>
      <c r="I1185" s="21" t="str">
        <f t="shared" si="1"/>
        <v/>
      </c>
      <c r="J1185" s="19"/>
    </row>
    <row r="1186" ht="15.75" customHeight="1">
      <c r="A1186" s="3"/>
      <c r="B1186" s="19"/>
      <c r="C1186" s="19"/>
      <c r="D1186" s="27"/>
      <c r="E1186" s="27"/>
      <c r="F1186" s="28"/>
      <c r="G1186" s="31" t="str">
        <f t="shared" si="2"/>
        <v/>
      </c>
      <c r="H1186" s="30"/>
      <c r="I1186" s="21" t="str">
        <f t="shared" si="1"/>
        <v/>
      </c>
      <c r="J1186" s="19"/>
    </row>
    <row r="1187" ht="15.75" customHeight="1">
      <c r="A1187" s="3"/>
      <c r="B1187" s="19"/>
      <c r="C1187" s="19"/>
      <c r="D1187" s="27"/>
      <c r="E1187" s="27"/>
      <c r="F1187" s="28"/>
      <c r="G1187" s="31" t="str">
        <f t="shared" si="2"/>
        <v/>
      </c>
      <c r="H1187" s="30"/>
      <c r="I1187" s="21" t="str">
        <f t="shared" si="1"/>
        <v/>
      </c>
      <c r="J1187" s="19"/>
    </row>
    <row r="1188" ht="15.75" customHeight="1">
      <c r="A1188" s="3"/>
      <c r="B1188" s="19"/>
      <c r="C1188" s="19"/>
      <c r="D1188" s="27"/>
      <c r="E1188" s="27"/>
      <c r="F1188" s="28"/>
      <c r="G1188" s="31" t="str">
        <f t="shared" si="2"/>
        <v/>
      </c>
      <c r="H1188" s="30"/>
      <c r="I1188" s="21" t="str">
        <f t="shared" si="1"/>
        <v/>
      </c>
      <c r="J1188" s="19"/>
    </row>
    <row r="1189" ht="15.75" customHeight="1">
      <c r="A1189" s="3"/>
      <c r="B1189" s="19"/>
      <c r="C1189" s="19"/>
      <c r="D1189" s="27"/>
      <c r="E1189" s="27"/>
      <c r="F1189" s="28"/>
      <c r="G1189" s="31" t="str">
        <f t="shared" si="2"/>
        <v/>
      </c>
      <c r="H1189" s="30"/>
      <c r="I1189" s="21" t="str">
        <f t="shared" si="1"/>
        <v/>
      </c>
      <c r="J1189" s="19"/>
    </row>
    <row r="1190" ht="15.75" customHeight="1">
      <c r="A1190" s="3"/>
      <c r="B1190" s="19"/>
      <c r="C1190" s="19"/>
      <c r="D1190" s="27"/>
      <c r="E1190" s="27"/>
      <c r="F1190" s="28"/>
      <c r="G1190" s="31" t="str">
        <f t="shared" si="2"/>
        <v/>
      </c>
      <c r="H1190" s="30"/>
      <c r="I1190" s="21" t="str">
        <f t="shared" si="1"/>
        <v/>
      </c>
      <c r="J1190" s="19"/>
    </row>
    <row r="1191" ht="15.75" customHeight="1">
      <c r="A1191" s="3"/>
      <c r="B1191" s="19"/>
      <c r="C1191" s="19"/>
      <c r="D1191" s="27"/>
      <c r="E1191" s="27"/>
      <c r="F1191" s="28"/>
      <c r="G1191" s="31" t="str">
        <f t="shared" si="2"/>
        <v/>
      </c>
      <c r="H1191" s="30"/>
      <c r="I1191" s="21" t="str">
        <f t="shared" si="1"/>
        <v/>
      </c>
      <c r="J1191" s="19"/>
    </row>
    <row r="1192" ht="15.75" customHeight="1">
      <c r="A1192" s="3"/>
      <c r="B1192" s="19"/>
      <c r="C1192" s="19"/>
      <c r="D1192" s="27"/>
      <c r="E1192" s="27"/>
      <c r="F1192" s="28"/>
      <c r="G1192" s="31" t="str">
        <f t="shared" si="2"/>
        <v/>
      </c>
      <c r="H1192" s="30"/>
      <c r="I1192" s="21" t="str">
        <f t="shared" si="1"/>
        <v/>
      </c>
      <c r="J1192" s="19"/>
    </row>
    <row r="1193" ht="15.75" customHeight="1">
      <c r="A1193" s="3"/>
      <c r="B1193" s="19"/>
      <c r="C1193" s="19"/>
      <c r="D1193" s="27"/>
      <c r="E1193" s="27"/>
      <c r="F1193" s="28"/>
      <c r="G1193" s="31" t="str">
        <f t="shared" si="2"/>
        <v/>
      </c>
      <c r="H1193" s="30"/>
      <c r="I1193" s="21" t="str">
        <f t="shared" si="1"/>
        <v/>
      </c>
      <c r="J1193" s="19"/>
    </row>
    <row r="1194" ht="15.75" customHeight="1">
      <c r="A1194" s="3"/>
      <c r="B1194" s="19"/>
      <c r="C1194" s="19"/>
      <c r="D1194" s="27"/>
      <c r="E1194" s="27"/>
      <c r="F1194" s="28"/>
      <c r="G1194" s="31" t="str">
        <f t="shared" si="2"/>
        <v/>
      </c>
      <c r="H1194" s="30"/>
      <c r="I1194" s="21" t="str">
        <f t="shared" si="1"/>
        <v/>
      </c>
      <c r="J1194" s="19"/>
    </row>
    <row r="1195" ht="15.75" customHeight="1">
      <c r="A1195" s="3"/>
      <c r="B1195" s="19"/>
      <c r="C1195" s="19"/>
      <c r="D1195" s="27"/>
      <c r="E1195" s="27"/>
      <c r="F1195" s="28"/>
      <c r="G1195" s="31" t="str">
        <f t="shared" si="2"/>
        <v/>
      </c>
      <c r="H1195" s="30"/>
      <c r="I1195" s="21" t="str">
        <f t="shared" si="1"/>
        <v/>
      </c>
      <c r="J1195" s="19"/>
    </row>
    <row r="1196" ht="15.75" customHeight="1">
      <c r="A1196" s="3"/>
      <c r="B1196" s="19"/>
      <c r="C1196" s="19"/>
      <c r="D1196" s="27"/>
      <c r="E1196" s="27"/>
      <c r="F1196" s="28"/>
      <c r="G1196" s="31" t="str">
        <f t="shared" si="2"/>
        <v/>
      </c>
      <c r="H1196" s="30"/>
      <c r="I1196" s="21" t="str">
        <f t="shared" si="1"/>
        <v/>
      </c>
      <c r="J1196" s="19"/>
    </row>
    <row r="1197" ht="15.75" customHeight="1">
      <c r="A1197" s="3"/>
      <c r="B1197" s="19"/>
      <c r="C1197" s="19"/>
      <c r="D1197" s="27"/>
      <c r="E1197" s="27"/>
      <c r="F1197" s="28"/>
      <c r="G1197" s="31" t="str">
        <f t="shared" si="2"/>
        <v/>
      </c>
      <c r="H1197" s="30"/>
      <c r="I1197" s="21" t="str">
        <f t="shared" si="1"/>
        <v/>
      </c>
      <c r="J1197" s="19"/>
    </row>
    <row r="1198" ht="15.75" customHeight="1">
      <c r="A1198" s="3"/>
      <c r="B1198" s="19"/>
      <c r="C1198" s="19"/>
      <c r="D1198" s="27"/>
      <c r="E1198" s="27"/>
      <c r="F1198" s="28"/>
      <c r="G1198" s="31" t="str">
        <f t="shared" si="2"/>
        <v/>
      </c>
      <c r="H1198" s="30"/>
      <c r="I1198" s="21" t="str">
        <f t="shared" si="1"/>
        <v/>
      </c>
      <c r="J1198" s="19"/>
    </row>
    <row r="1199" ht="15.75" customHeight="1">
      <c r="A1199" s="3"/>
      <c r="B1199" s="19"/>
      <c r="C1199" s="19"/>
      <c r="D1199" s="27"/>
      <c r="E1199" s="27"/>
      <c r="F1199" s="28"/>
      <c r="G1199" s="31" t="str">
        <f t="shared" si="2"/>
        <v/>
      </c>
      <c r="H1199" s="30"/>
      <c r="I1199" s="21" t="str">
        <f t="shared" si="1"/>
        <v/>
      </c>
      <c r="J1199" s="19"/>
    </row>
    <row r="1200" ht="15.75" customHeight="1">
      <c r="A1200" s="3"/>
      <c r="B1200" s="19"/>
      <c r="C1200" s="19"/>
      <c r="D1200" s="27"/>
      <c r="E1200" s="27"/>
      <c r="F1200" s="28"/>
      <c r="G1200" s="31" t="str">
        <f t="shared" si="2"/>
        <v/>
      </c>
      <c r="H1200" s="30"/>
      <c r="I1200" s="21" t="str">
        <f t="shared" si="1"/>
        <v/>
      </c>
      <c r="J1200" s="19"/>
    </row>
    <row r="1201" ht="15.75" customHeight="1">
      <c r="A1201" s="3"/>
      <c r="B1201" s="19"/>
      <c r="C1201" s="19"/>
      <c r="D1201" s="27"/>
      <c r="E1201" s="27"/>
      <c r="F1201" s="28"/>
      <c r="G1201" s="31" t="str">
        <f t="shared" si="2"/>
        <v/>
      </c>
      <c r="H1201" s="30"/>
      <c r="I1201" s="21" t="str">
        <f t="shared" si="1"/>
        <v/>
      </c>
      <c r="J1201" s="19"/>
    </row>
    <row r="1202" ht="15.75" customHeight="1">
      <c r="A1202" s="3"/>
      <c r="B1202" s="19"/>
      <c r="C1202" s="19"/>
      <c r="D1202" s="27"/>
      <c r="E1202" s="27"/>
      <c r="F1202" s="28"/>
      <c r="G1202" s="31" t="str">
        <f t="shared" si="2"/>
        <v/>
      </c>
      <c r="H1202" s="30"/>
      <c r="I1202" s="21" t="str">
        <f t="shared" si="1"/>
        <v/>
      </c>
      <c r="J1202" s="19"/>
    </row>
    <row r="1203" ht="15.75" customHeight="1">
      <c r="A1203" s="3"/>
      <c r="B1203" s="19"/>
      <c r="C1203" s="19"/>
      <c r="D1203" s="27"/>
      <c r="E1203" s="27"/>
      <c r="F1203" s="28"/>
      <c r="G1203" s="31" t="str">
        <f t="shared" si="2"/>
        <v/>
      </c>
      <c r="H1203" s="30"/>
      <c r="I1203" s="21" t="str">
        <f t="shared" si="1"/>
        <v/>
      </c>
      <c r="J1203" s="19"/>
    </row>
    <row r="1204" ht="15.75" customHeight="1">
      <c r="A1204" s="3"/>
      <c r="B1204" s="19"/>
      <c r="C1204" s="19"/>
      <c r="D1204" s="27"/>
      <c r="E1204" s="27"/>
      <c r="F1204" s="28"/>
      <c r="G1204" s="31" t="str">
        <f t="shared" si="2"/>
        <v/>
      </c>
      <c r="H1204" s="30"/>
      <c r="I1204" s="21" t="str">
        <f t="shared" si="1"/>
        <v/>
      </c>
      <c r="J1204" s="19"/>
    </row>
    <row r="1205" ht="15.75" customHeight="1">
      <c r="A1205" s="3"/>
      <c r="B1205" s="19"/>
      <c r="C1205" s="19"/>
      <c r="D1205" s="27"/>
      <c r="E1205" s="27"/>
      <c r="F1205" s="28"/>
      <c r="G1205" s="31" t="str">
        <f t="shared" si="2"/>
        <v/>
      </c>
      <c r="H1205" s="30"/>
      <c r="I1205" s="21" t="str">
        <f t="shared" si="1"/>
        <v/>
      </c>
      <c r="J1205" s="19"/>
    </row>
    <row r="1206" ht="15.75" customHeight="1">
      <c r="A1206" s="3"/>
      <c r="B1206" s="19"/>
      <c r="C1206" s="19"/>
      <c r="D1206" s="27"/>
      <c r="E1206" s="27"/>
      <c r="F1206" s="28"/>
      <c r="G1206" s="31" t="str">
        <f t="shared" si="2"/>
        <v/>
      </c>
      <c r="H1206" s="30"/>
      <c r="I1206" s="21" t="str">
        <f t="shared" si="1"/>
        <v/>
      </c>
      <c r="J1206" s="19"/>
    </row>
    <row r="1207" ht="15.75" customHeight="1">
      <c r="A1207" s="3"/>
      <c r="B1207" s="19"/>
      <c r="C1207" s="19"/>
      <c r="D1207" s="27"/>
      <c r="E1207" s="27"/>
      <c r="F1207" s="28"/>
      <c r="G1207" s="31" t="str">
        <f t="shared" si="2"/>
        <v/>
      </c>
      <c r="H1207" s="30"/>
      <c r="I1207" s="21" t="str">
        <f t="shared" si="1"/>
        <v/>
      </c>
      <c r="J1207" s="19"/>
    </row>
    <row r="1208" ht="15.75" customHeight="1">
      <c r="A1208" s="3"/>
      <c r="B1208" s="19"/>
      <c r="C1208" s="19"/>
      <c r="D1208" s="27"/>
      <c r="E1208" s="27"/>
      <c r="F1208" s="28"/>
      <c r="G1208" s="31" t="str">
        <f t="shared" si="2"/>
        <v/>
      </c>
      <c r="H1208" s="30"/>
      <c r="I1208" s="21" t="str">
        <f t="shared" si="1"/>
        <v/>
      </c>
      <c r="J1208" s="19"/>
    </row>
    <row r="1209" ht="15.75" customHeight="1">
      <c r="A1209" s="3"/>
      <c r="B1209" s="19"/>
      <c r="C1209" s="19"/>
      <c r="D1209" s="27"/>
      <c r="E1209" s="27"/>
      <c r="F1209" s="28"/>
      <c r="G1209" s="31" t="str">
        <f t="shared" si="2"/>
        <v/>
      </c>
      <c r="H1209" s="30"/>
      <c r="I1209" s="21" t="str">
        <f t="shared" si="1"/>
        <v/>
      </c>
      <c r="J1209" s="19"/>
    </row>
    <row r="1210" ht="15.75" customHeight="1">
      <c r="A1210" s="3"/>
      <c r="B1210" s="19"/>
      <c r="C1210" s="19"/>
      <c r="D1210" s="27"/>
      <c r="E1210" s="27"/>
      <c r="F1210" s="28"/>
      <c r="G1210" s="31" t="str">
        <f t="shared" si="2"/>
        <v/>
      </c>
      <c r="H1210" s="30"/>
      <c r="I1210" s="21" t="str">
        <f t="shared" si="1"/>
        <v/>
      </c>
      <c r="J1210" s="19"/>
    </row>
    <row r="1211" ht="15.75" customHeight="1">
      <c r="A1211" s="3"/>
      <c r="B1211" s="19"/>
      <c r="C1211" s="19"/>
      <c r="D1211" s="27"/>
      <c r="E1211" s="27"/>
      <c r="F1211" s="28"/>
      <c r="G1211" s="31" t="str">
        <f t="shared" si="2"/>
        <v/>
      </c>
      <c r="H1211" s="30"/>
      <c r="I1211" s="21" t="str">
        <f t="shared" si="1"/>
        <v/>
      </c>
      <c r="J1211" s="19"/>
    </row>
    <row r="1212" ht="15.75" customHeight="1">
      <c r="A1212" s="3"/>
      <c r="B1212" s="19"/>
      <c r="C1212" s="19"/>
      <c r="D1212" s="27"/>
      <c r="E1212" s="27"/>
      <c r="F1212" s="28"/>
      <c r="G1212" s="31" t="str">
        <f t="shared" si="2"/>
        <v/>
      </c>
      <c r="H1212" s="30"/>
      <c r="I1212" s="21" t="str">
        <f t="shared" si="1"/>
        <v/>
      </c>
      <c r="J1212" s="19"/>
    </row>
    <row r="1213" ht="15.75" customHeight="1">
      <c r="A1213" s="3"/>
      <c r="B1213" s="19"/>
      <c r="C1213" s="19"/>
      <c r="D1213" s="27"/>
      <c r="E1213" s="27"/>
      <c r="F1213" s="28"/>
      <c r="G1213" s="31" t="str">
        <f t="shared" si="2"/>
        <v/>
      </c>
      <c r="H1213" s="30"/>
      <c r="I1213" s="21" t="str">
        <f t="shared" si="1"/>
        <v/>
      </c>
      <c r="J1213" s="19"/>
    </row>
    <row r="1214" ht="15.75" customHeight="1">
      <c r="A1214" s="3"/>
      <c r="B1214" s="19"/>
      <c r="C1214" s="19"/>
      <c r="D1214" s="27"/>
      <c r="E1214" s="27"/>
      <c r="F1214" s="28"/>
      <c r="G1214" s="31" t="str">
        <f t="shared" si="2"/>
        <v/>
      </c>
      <c r="H1214" s="30"/>
      <c r="I1214" s="21" t="str">
        <f t="shared" si="1"/>
        <v/>
      </c>
      <c r="J1214" s="19"/>
    </row>
    <row r="1215" ht="15.75" customHeight="1">
      <c r="A1215" s="3"/>
      <c r="B1215" s="19"/>
      <c r="C1215" s="19"/>
      <c r="D1215" s="27"/>
      <c r="E1215" s="27"/>
      <c r="F1215" s="28"/>
      <c r="G1215" s="31" t="str">
        <f t="shared" si="2"/>
        <v/>
      </c>
      <c r="H1215" s="30"/>
      <c r="I1215" s="21" t="str">
        <f t="shared" si="1"/>
        <v/>
      </c>
      <c r="J1215" s="19"/>
    </row>
    <row r="1216" ht="15.75" customHeight="1">
      <c r="A1216" s="3"/>
      <c r="B1216" s="19"/>
      <c r="C1216" s="19"/>
      <c r="D1216" s="27"/>
      <c r="E1216" s="27"/>
      <c r="F1216" s="28"/>
      <c r="G1216" s="31" t="str">
        <f t="shared" si="2"/>
        <v/>
      </c>
      <c r="H1216" s="30"/>
      <c r="I1216" s="21" t="str">
        <f t="shared" si="1"/>
        <v/>
      </c>
      <c r="J1216" s="19"/>
    </row>
    <row r="1217" ht="15.75" customHeight="1">
      <c r="A1217" s="3"/>
      <c r="B1217" s="19"/>
      <c r="C1217" s="19"/>
      <c r="D1217" s="27"/>
      <c r="E1217" s="27"/>
      <c r="F1217" s="28"/>
      <c r="G1217" s="31" t="str">
        <f t="shared" si="2"/>
        <v/>
      </c>
      <c r="H1217" s="30"/>
      <c r="I1217" s="21" t="str">
        <f t="shared" si="1"/>
        <v/>
      </c>
      <c r="J1217" s="19"/>
    </row>
    <row r="1218" ht="15.75" customHeight="1">
      <c r="A1218" s="3"/>
      <c r="B1218" s="19"/>
      <c r="C1218" s="19"/>
      <c r="D1218" s="27"/>
      <c r="E1218" s="27"/>
      <c r="F1218" s="28"/>
      <c r="G1218" s="31" t="str">
        <f t="shared" si="2"/>
        <v/>
      </c>
      <c r="H1218" s="30"/>
      <c r="I1218" s="21" t="str">
        <f t="shared" si="1"/>
        <v/>
      </c>
      <c r="J1218" s="19"/>
    </row>
    <row r="1219" ht="15.75" customHeight="1">
      <c r="A1219" s="3"/>
      <c r="B1219" s="19"/>
      <c r="C1219" s="19"/>
      <c r="D1219" s="27"/>
      <c r="E1219" s="27"/>
      <c r="F1219" s="28"/>
      <c r="G1219" s="31" t="str">
        <f t="shared" si="2"/>
        <v/>
      </c>
      <c r="H1219" s="30"/>
      <c r="I1219" s="21" t="str">
        <f t="shared" si="1"/>
        <v/>
      </c>
      <c r="J1219" s="19"/>
    </row>
    <row r="1220" ht="15.75" customHeight="1">
      <c r="A1220" s="3"/>
      <c r="B1220" s="19"/>
      <c r="C1220" s="19"/>
      <c r="D1220" s="27"/>
      <c r="E1220" s="27"/>
      <c r="F1220" s="28"/>
      <c r="G1220" s="31" t="str">
        <f t="shared" si="2"/>
        <v/>
      </c>
      <c r="H1220" s="30"/>
      <c r="I1220" s="21" t="str">
        <f t="shared" si="1"/>
        <v/>
      </c>
      <c r="J1220" s="19"/>
    </row>
    <row r="1221" ht="15.75" customHeight="1">
      <c r="A1221" s="3"/>
      <c r="B1221" s="19"/>
      <c r="C1221" s="19"/>
      <c r="D1221" s="27"/>
      <c r="E1221" s="27"/>
      <c r="F1221" s="28"/>
      <c r="G1221" s="31" t="str">
        <f t="shared" si="2"/>
        <v/>
      </c>
      <c r="H1221" s="30"/>
      <c r="I1221" s="21" t="str">
        <f t="shared" si="1"/>
        <v/>
      </c>
      <c r="J1221" s="19"/>
    </row>
    <row r="1222" ht="15.75" customHeight="1">
      <c r="A1222" s="3"/>
      <c r="B1222" s="19"/>
      <c r="C1222" s="19"/>
      <c r="D1222" s="27"/>
      <c r="E1222" s="27"/>
      <c r="F1222" s="28"/>
      <c r="G1222" s="31" t="str">
        <f t="shared" si="2"/>
        <v/>
      </c>
      <c r="H1222" s="30"/>
      <c r="I1222" s="21" t="str">
        <f t="shared" si="1"/>
        <v/>
      </c>
      <c r="J1222" s="19"/>
    </row>
    <row r="1223" ht="15.75" customHeight="1">
      <c r="A1223" s="3"/>
      <c r="B1223" s="19"/>
      <c r="C1223" s="19"/>
      <c r="D1223" s="27"/>
      <c r="E1223" s="27"/>
      <c r="F1223" s="28"/>
      <c r="G1223" s="31" t="str">
        <f t="shared" si="2"/>
        <v/>
      </c>
      <c r="H1223" s="30"/>
      <c r="I1223" s="21" t="str">
        <f t="shared" si="1"/>
        <v/>
      </c>
      <c r="J1223" s="19"/>
    </row>
    <row r="1224" ht="15.75" customHeight="1">
      <c r="A1224" s="3"/>
      <c r="B1224" s="19"/>
      <c r="C1224" s="19"/>
      <c r="D1224" s="27"/>
      <c r="E1224" s="27"/>
      <c r="F1224" s="28"/>
      <c r="G1224" s="31" t="str">
        <f t="shared" si="2"/>
        <v/>
      </c>
      <c r="H1224" s="30"/>
      <c r="I1224" s="21" t="str">
        <f t="shared" si="1"/>
        <v/>
      </c>
      <c r="J1224" s="19"/>
    </row>
    <row r="1225" ht="15.75" customHeight="1">
      <c r="A1225" s="3"/>
      <c r="B1225" s="19"/>
      <c r="C1225" s="19"/>
      <c r="D1225" s="27"/>
      <c r="E1225" s="27"/>
      <c r="F1225" s="28"/>
      <c r="G1225" s="31" t="str">
        <f t="shared" si="2"/>
        <v/>
      </c>
      <c r="H1225" s="30"/>
      <c r="I1225" s="21" t="str">
        <f t="shared" si="1"/>
        <v/>
      </c>
      <c r="J1225" s="19"/>
    </row>
    <row r="1226" ht="15.75" customHeight="1">
      <c r="A1226" s="3"/>
      <c r="B1226" s="19"/>
      <c r="C1226" s="19"/>
      <c r="D1226" s="27"/>
      <c r="E1226" s="27"/>
      <c r="F1226" s="28"/>
      <c r="G1226" s="31" t="str">
        <f t="shared" si="2"/>
        <v/>
      </c>
      <c r="H1226" s="30"/>
      <c r="I1226" s="21" t="str">
        <f t="shared" si="1"/>
        <v/>
      </c>
      <c r="J1226" s="19"/>
    </row>
    <row r="1227" ht="15.75" customHeight="1">
      <c r="A1227" s="3"/>
      <c r="B1227" s="19"/>
      <c r="C1227" s="19"/>
      <c r="D1227" s="27"/>
      <c r="E1227" s="27"/>
      <c r="F1227" s="28"/>
      <c r="G1227" s="31" t="str">
        <f t="shared" si="2"/>
        <v/>
      </c>
      <c r="H1227" s="30"/>
      <c r="I1227" s="21" t="str">
        <f t="shared" si="1"/>
        <v/>
      </c>
      <c r="J1227" s="19"/>
    </row>
    <row r="1228" ht="15.75" customHeight="1">
      <c r="A1228" s="3"/>
      <c r="B1228" s="19"/>
      <c r="C1228" s="19"/>
      <c r="D1228" s="27"/>
      <c r="E1228" s="27"/>
      <c r="F1228" s="28"/>
      <c r="G1228" s="31" t="str">
        <f t="shared" si="2"/>
        <v/>
      </c>
      <c r="H1228" s="30"/>
      <c r="I1228" s="21" t="str">
        <f t="shared" si="1"/>
        <v/>
      </c>
      <c r="J1228" s="19"/>
    </row>
    <row r="1229" ht="15.75" customHeight="1">
      <c r="A1229" s="3"/>
      <c r="B1229" s="19"/>
      <c r="C1229" s="19"/>
      <c r="D1229" s="27"/>
      <c r="E1229" s="27"/>
      <c r="F1229" s="28"/>
      <c r="G1229" s="31" t="str">
        <f t="shared" si="2"/>
        <v/>
      </c>
      <c r="H1229" s="30"/>
      <c r="I1229" s="21" t="str">
        <f t="shared" si="1"/>
        <v/>
      </c>
      <c r="J1229" s="19"/>
    </row>
    <row r="1230" ht="15.75" customHeight="1">
      <c r="A1230" s="3"/>
      <c r="B1230" s="19"/>
      <c r="C1230" s="19"/>
      <c r="D1230" s="27"/>
      <c r="E1230" s="27"/>
      <c r="F1230" s="28"/>
      <c r="G1230" s="31" t="str">
        <f t="shared" si="2"/>
        <v/>
      </c>
      <c r="H1230" s="30"/>
      <c r="I1230" s="21" t="str">
        <f t="shared" si="1"/>
        <v/>
      </c>
      <c r="J1230" s="19"/>
    </row>
    <row r="1231" ht="15.75" customHeight="1">
      <c r="A1231" s="3"/>
      <c r="B1231" s="19"/>
      <c r="C1231" s="19"/>
      <c r="D1231" s="27"/>
      <c r="E1231" s="27"/>
      <c r="F1231" s="28"/>
      <c r="G1231" s="31" t="str">
        <f t="shared" si="2"/>
        <v/>
      </c>
      <c r="H1231" s="30"/>
      <c r="I1231" s="21" t="str">
        <f t="shared" si="1"/>
        <v/>
      </c>
      <c r="J1231" s="19"/>
    </row>
    <row r="1232" ht="15.75" customHeight="1">
      <c r="A1232" s="3"/>
      <c r="B1232" s="19"/>
      <c r="C1232" s="19"/>
      <c r="D1232" s="27"/>
      <c r="E1232" s="27"/>
      <c r="F1232" s="28"/>
      <c r="G1232" s="31" t="str">
        <f t="shared" si="2"/>
        <v/>
      </c>
      <c r="H1232" s="30"/>
      <c r="I1232" s="21" t="str">
        <f t="shared" si="1"/>
        <v/>
      </c>
      <c r="J1232" s="19"/>
    </row>
    <row r="1233" ht="15.75" customHeight="1">
      <c r="A1233" s="3"/>
      <c r="B1233" s="19"/>
      <c r="C1233" s="19"/>
      <c r="D1233" s="27"/>
      <c r="E1233" s="27"/>
      <c r="F1233" s="28"/>
      <c r="G1233" s="31" t="str">
        <f t="shared" si="2"/>
        <v/>
      </c>
      <c r="H1233" s="30"/>
      <c r="I1233" s="21" t="str">
        <f t="shared" si="1"/>
        <v/>
      </c>
      <c r="J1233" s="19"/>
    </row>
    <row r="1234" ht="15.75" customHeight="1">
      <c r="A1234" s="3"/>
      <c r="B1234" s="19"/>
      <c r="C1234" s="19"/>
      <c r="D1234" s="27"/>
      <c r="E1234" s="27"/>
      <c r="F1234" s="28"/>
      <c r="G1234" s="31" t="str">
        <f t="shared" si="2"/>
        <v/>
      </c>
      <c r="H1234" s="30"/>
      <c r="I1234" s="21" t="str">
        <f t="shared" si="1"/>
        <v/>
      </c>
      <c r="J1234" s="19"/>
    </row>
    <row r="1235" ht="15.75" customHeight="1">
      <c r="A1235" s="3"/>
      <c r="B1235" s="19"/>
      <c r="C1235" s="19"/>
      <c r="D1235" s="27"/>
      <c r="E1235" s="27"/>
      <c r="F1235" s="28"/>
      <c r="G1235" s="31" t="str">
        <f t="shared" si="2"/>
        <v/>
      </c>
      <c r="H1235" s="30"/>
      <c r="I1235" s="21" t="str">
        <f t="shared" si="1"/>
        <v/>
      </c>
      <c r="J1235" s="19"/>
    </row>
    <row r="1236" ht="15.75" customHeight="1">
      <c r="A1236" s="3"/>
      <c r="B1236" s="19"/>
      <c r="C1236" s="19"/>
      <c r="D1236" s="27"/>
      <c r="E1236" s="27"/>
      <c r="F1236" s="28"/>
      <c r="G1236" s="31" t="str">
        <f t="shared" si="2"/>
        <v/>
      </c>
      <c r="H1236" s="30"/>
      <c r="I1236" s="21" t="str">
        <f t="shared" si="1"/>
        <v/>
      </c>
      <c r="J1236" s="19"/>
    </row>
    <row r="1237" ht="15.75" customHeight="1">
      <c r="A1237" s="3"/>
      <c r="B1237" s="19"/>
      <c r="C1237" s="19"/>
      <c r="D1237" s="27"/>
      <c r="E1237" s="27"/>
      <c r="F1237" s="28"/>
      <c r="G1237" s="31" t="str">
        <f t="shared" si="2"/>
        <v/>
      </c>
      <c r="H1237" s="30"/>
      <c r="I1237" s="21" t="str">
        <f t="shared" si="1"/>
        <v/>
      </c>
      <c r="J1237" s="19"/>
    </row>
    <row r="1238" ht="15.75" customHeight="1">
      <c r="A1238" s="3"/>
      <c r="B1238" s="19"/>
      <c r="C1238" s="19"/>
      <c r="D1238" s="27"/>
      <c r="E1238" s="27"/>
      <c r="F1238" s="28"/>
      <c r="G1238" s="31" t="str">
        <f t="shared" si="2"/>
        <v/>
      </c>
      <c r="H1238" s="30"/>
      <c r="I1238" s="21" t="str">
        <f t="shared" si="1"/>
        <v/>
      </c>
      <c r="J1238" s="19"/>
    </row>
    <row r="1239" ht="15.75" customHeight="1">
      <c r="A1239" s="3"/>
      <c r="B1239" s="19"/>
      <c r="C1239" s="19"/>
      <c r="D1239" s="27"/>
      <c r="E1239" s="27"/>
      <c r="F1239" s="28"/>
      <c r="G1239" s="31" t="str">
        <f t="shared" si="2"/>
        <v/>
      </c>
      <c r="H1239" s="30"/>
      <c r="I1239" s="21" t="str">
        <f t="shared" si="1"/>
        <v/>
      </c>
      <c r="J1239" s="19"/>
    </row>
    <row r="1240" ht="15.75" customHeight="1">
      <c r="A1240" s="3"/>
      <c r="B1240" s="19"/>
      <c r="C1240" s="19"/>
      <c r="D1240" s="27"/>
      <c r="E1240" s="27"/>
      <c r="F1240" s="28"/>
      <c r="G1240" s="31" t="str">
        <f t="shared" si="2"/>
        <v/>
      </c>
      <c r="H1240" s="30"/>
      <c r="I1240" s="21" t="str">
        <f t="shared" si="1"/>
        <v/>
      </c>
      <c r="J1240" s="19"/>
    </row>
    <row r="1241" ht="15.75" customHeight="1">
      <c r="A1241" s="3"/>
      <c r="B1241" s="19"/>
      <c r="C1241" s="19"/>
      <c r="D1241" s="27"/>
      <c r="E1241" s="27"/>
      <c r="F1241" s="28"/>
      <c r="G1241" s="31" t="str">
        <f t="shared" si="2"/>
        <v/>
      </c>
      <c r="H1241" s="30"/>
      <c r="I1241" s="21" t="str">
        <f t="shared" si="1"/>
        <v/>
      </c>
      <c r="J1241" s="19"/>
    </row>
    <row r="1242" ht="15.75" customHeight="1">
      <c r="A1242" s="3"/>
      <c r="B1242" s="19"/>
      <c r="C1242" s="19"/>
      <c r="D1242" s="27"/>
      <c r="E1242" s="27"/>
      <c r="F1242" s="28"/>
      <c r="G1242" s="31" t="str">
        <f t="shared" si="2"/>
        <v/>
      </c>
      <c r="H1242" s="30"/>
      <c r="I1242" s="21" t="str">
        <f t="shared" si="1"/>
        <v/>
      </c>
      <c r="J1242" s="19"/>
    </row>
    <row r="1243" ht="15.75" customHeight="1">
      <c r="A1243" s="3"/>
      <c r="B1243" s="19"/>
      <c r="C1243" s="19"/>
      <c r="D1243" s="27"/>
      <c r="E1243" s="27"/>
      <c r="F1243" s="28"/>
      <c r="G1243" s="31" t="str">
        <f t="shared" si="2"/>
        <v/>
      </c>
      <c r="H1243" s="30"/>
      <c r="I1243" s="21" t="str">
        <f t="shared" si="1"/>
        <v/>
      </c>
      <c r="J1243" s="19"/>
    </row>
    <row r="1244" ht="15.75" customHeight="1">
      <c r="A1244" s="3"/>
      <c r="B1244" s="19"/>
      <c r="C1244" s="19"/>
      <c r="D1244" s="27"/>
      <c r="E1244" s="27"/>
      <c r="F1244" s="28"/>
      <c r="G1244" s="31" t="str">
        <f t="shared" si="2"/>
        <v/>
      </c>
      <c r="H1244" s="30"/>
      <c r="I1244" s="21" t="str">
        <f t="shared" si="1"/>
        <v/>
      </c>
      <c r="J1244" s="19"/>
    </row>
    <row r="1245" ht="15.75" customHeight="1">
      <c r="A1245" s="3"/>
      <c r="B1245" s="19"/>
      <c r="C1245" s="19"/>
      <c r="D1245" s="27"/>
      <c r="E1245" s="27"/>
      <c r="F1245" s="28"/>
      <c r="G1245" s="31" t="str">
        <f t="shared" si="2"/>
        <v/>
      </c>
      <c r="H1245" s="30"/>
      <c r="I1245" s="21" t="str">
        <f t="shared" si="1"/>
        <v/>
      </c>
      <c r="J1245" s="19"/>
    </row>
    <row r="1246" ht="15.75" customHeight="1">
      <c r="A1246" s="3"/>
      <c r="B1246" s="19"/>
      <c r="C1246" s="19"/>
      <c r="D1246" s="27"/>
      <c r="E1246" s="27"/>
      <c r="F1246" s="28"/>
      <c r="G1246" s="31" t="str">
        <f t="shared" si="2"/>
        <v/>
      </c>
      <c r="H1246" s="30"/>
      <c r="I1246" s="21" t="str">
        <f t="shared" si="1"/>
        <v/>
      </c>
      <c r="J1246" s="19"/>
    </row>
    <row r="1247" ht="15.75" customHeight="1">
      <c r="A1247" s="3"/>
      <c r="B1247" s="19"/>
      <c r="C1247" s="19"/>
      <c r="D1247" s="27"/>
      <c r="E1247" s="27"/>
      <c r="F1247" s="28"/>
      <c r="G1247" s="31" t="str">
        <f t="shared" si="2"/>
        <v/>
      </c>
      <c r="H1247" s="30"/>
      <c r="I1247" s="21" t="str">
        <f t="shared" si="1"/>
        <v/>
      </c>
      <c r="J1247" s="19"/>
    </row>
    <row r="1248" ht="15.75" customHeight="1">
      <c r="A1248" s="3"/>
      <c r="B1248" s="19"/>
      <c r="C1248" s="19"/>
      <c r="D1248" s="27"/>
      <c r="E1248" s="27"/>
      <c r="F1248" s="28"/>
      <c r="G1248" s="31" t="str">
        <f t="shared" si="2"/>
        <v/>
      </c>
      <c r="H1248" s="30"/>
      <c r="I1248" s="21" t="str">
        <f t="shared" si="1"/>
        <v/>
      </c>
      <c r="J1248" s="19"/>
    </row>
    <row r="1249" ht="15.75" customHeight="1">
      <c r="A1249" s="3"/>
      <c r="B1249" s="19"/>
      <c r="C1249" s="19"/>
      <c r="D1249" s="27"/>
      <c r="E1249" s="27"/>
      <c r="F1249" s="28"/>
      <c r="G1249" s="31" t="str">
        <f t="shared" si="2"/>
        <v/>
      </c>
      <c r="H1249" s="30"/>
      <c r="I1249" s="21" t="str">
        <f t="shared" si="1"/>
        <v/>
      </c>
      <c r="J1249" s="19"/>
    </row>
    <row r="1250" ht="15.75" customHeight="1">
      <c r="A1250" s="3"/>
      <c r="B1250" s="19"/>
      <c r="C1250" s="19"/>
      <c r="D1250" s="27"/>
      <c r="E1250" s="27"/>
      <c r="F1250" s="28"/>
      <c r="G1250" s="31" t="str">
        <f t="shared" si="2"/>
        <v/>
      </c>
      <c r="H1250" s="30"/>
      <c r="I1250" s="21" t="str">
        <f t="shared" si="1"/>
        <v/>
      </c>
      <c r="J1250" s="19"/>
    </row>
    <row r="1251" ht="15.75" customHeight="1">
      <c r="A1251" s="3"/>
      <c r="B1251" s="19"/>
      <c r="C1251" s="19"/>
      <c r="D1251" s="27"/>
      <c r="E1251" s="27"/>
      <c r="F1251" s="28"/>
      <c r="G1251" s="31" t="str">
        <f t="shared" si="2"/>
        <v/>
      </c>
      <c r="H1251" s="30"/>
      <c r="I1251" s="21" t="str">
        <f t="shared" si="1"/>
        <v/>
      </c>
      <c r="J1251" s="19"/>
    </row>
    <row r="1252" ht="15.75" customHeight="1">
      <c r="A1252" s="3"/>
      <c r="B1252" s="19"/>
      <c r="C1252" s="19"/>
      <c r="D1252" s="27"/>
      <c r="E1252" s="27"/>
      <c r="F1252" s="28"/>
      <c r="G1252" s="31" t="str">
        <f t="shared" si="2"/>
        <v/>
      </c>
      <c r="H1252" s="30"/>
      <c r="I1252" s="21" t="str">
        <f t="shared" si="1"/>
        <v/>
      </c>
      <c r="J1252" s="19"/>
    </row>
    <row r="1253" ht="15.75" customHeight="1">
      <c r="A1253" s="3"/>
      <c r="B1253" s="19"/>
      <c r="C1253" s="19"/>
      <c r="D1253" s="27"/>
      <c r="E1253" s="27"/>
      <c r="F1253" s="28"/>
      <c r="G1253" s="31" t="str">
        <f t="shared" si="2"/>
        <v/>
      </c>
      <c r="H1253" s="30"/>
      <c r="I1253" s="21" t="str">
        <f t="shared" si="1"/>
        <v/>
      </c>
      <c r="J1253" s="19"/>
    </row>
    <row r="1254" ht="15.75" customHeight="1">
      <c r="A1254" s="3"/>
      <c r="B1254" s="19"/>
      <c r="C1254" s="19"/>
      <c r="D1254" s="27"/>
      <c r="E1254" s="27"/>
      <c r="F1254" s="28"/>
      <c r="G1254" s="31" t="str">
        <f t="shared" si="2"/>
        <v/>
      </c>
      <c r="H1254" s="30"/>
      <c r="I1254" s="21" t="str">
        <f t="shared" si="1"/>
        <v/>
      </c>
      <c r="J1254" s="19"/>
    </row>
    <row r="1255" ht="15.75" customHeight="1">
      <c r="A1255" s="3"/>
      <c r="B1255" s="19"/>
      <c r="C1255" s="19"/>
      <c r="D1255" s="27"/>
      <c r="E1255" s="27"/>
      <c r="F1255" s="28"/>
      <c r="G1255" s="31" t="str">
        <f t="shared" si="2"/>
        <v/>
      </c>
      <c r="H1255" s="30"/>
      <c r="I1255" s="21" t="str">
        <f t="shared" si="1"/>
        <v/>
      </c>
      <c r="J1255" s="19"/>
    </row>
    <row r="1256" ht="15.75" customHeight="1">
      <c r="A1256" s="3"/>
      <c r="B1256" s="19"/>
      <c r="C1256" s="19"/>
      <c r="D1256" s="27"/>
      <c r="E1256" s="27"/>
      <c r="F1256" s="28"/>
      <c r="G1256" s="31" t="str">
        <f t="shared" si="2"/>
        <v/>
      </c>
      <c r="H1256" s="30"/>
      <c r="I1256" s="21" t="str">
        <f t="shared" si="1"/>
        <v/>
      </c>
      <c r="J1256" s="19"/>
    </row>
    <row r="1257" ht="15.75" customHeight="1">
      <c r="A1257" s="3"/>
      <c r="B1257" s="19"/>
      <c r="C1257" s="19"/>
      <c r="D1257" s="27"/>
      <c r="E1257" s="27"/>
      <c r="F1257" s="28"/>
      <c r="G1257" s="31" t="str">
        <f t="shared" si="2"/>
        <v/>
      </c>
      <c r="H1257" s="30"/>
      <c r="I1257" s="21" t="str">
        <f t="shared" si="1"/>
        <v/>
      </c>
      <c r="J1257" s="19"/>
    </row>
    <row r="1258" ht="15.75" customHeight="1">
      <c r="A1258" s="3"/>
      <c r="B1258" s="19"/>
      <c r="C1258" s="19"/>
      <c r="D1258" s="27"/>
      <c r="E1258" s="27"/>
      <c r="F1258" s="28"/>
      <c r="G1258" s="31" t="str">
        <f t="shared" si="2"/>
        <v/>
      </c>
      <c r="H1258" s="30"/>
      <c r="I1258" s="21" t="str">
        <f t="shared" si="1"/>
        <v/>
      </c>
      <c r="J1258" s="19"/>
    </row>
    <row r="1259" ht="15.75" customHeight="1">
      <c r="A1259" s="3"/>
      <c r="B1259" s="19"/>
      <c r="C1259" s="19"/>
      <c r="D1259" s="27"/>
      <c r="E1259" s="27"/>
      <c r="F1259" s="28"/>
      <c r="G1259" s="31" t="str">
        <f t="shared" si="2"/>
        <v/>
      </c>
      <c r="H1259" s="30"/>
      <c r="I1259" s="21" t="str">
        <f t="shared" si="1"/>
        <v/>
      </c>
      <c r="J1259" s="19"/>
    </row>
    <row r="1260" ht="15.75" customHeight="1">
      <c r="A1260" s="3"/>
      <c r="B1260" s="19"/>
      <c r="C1260" s="19"/>
      <c r="D1260" s="27"/>
      <c r="E1260" s="27"/>
      <c r="F1260" s="28"/>
      <c r="G1260" s="31" t="str">
        <f t="shared" si="2"/>
        <v/>
      </c>
      <c r="H1260" s="30"/>
      <c r="I1260" s="21" t="str">
        <f t="shared" si="1"/>
        <v/>
      </c>
      <c r="J1260" s="19"/>
    </row>
    <row r="1261" ht="15.75" customHeight="1">
      <c r="A1261" s="3"/>
      <c r="B1261" s="19"/>
      <c r="C1261" s="19"/>
      <c r="D1261" s="27"/>
      <c r="E1261" s="27"/>
      <c r="F1261" s="28"/>
      <c r="G1261" s="31" t="str">
        <f t="shared" si="2"/>
        <v/>
      </c>
      <c r="H1261" s="30"/>
      <c r="I1261" s="21" t="str">
        <f t="shared" si="1"/>
        <v/>
      </c>
      <c r="J1261" s="19"/>
    </row>
    <row r="1262" ht="15.75" customHeight="1">
      <c r="A1262" s="3"/>
      <c r="B1262" s="19"/>
      <c r="C1262" s="19"/>
      <c r="D1262" s="27"/>
      <c r="E1262" s="27"/>
      <c r="F1262" s="28"/>
      <c r="G1262" s="31" t="str">
        <f t="shared" si="2"/>
        <v/>
      </c>
      <c r="H1262" s="30"/>
      <c r="I1262" s="21" t="str">
        <f t="shared" si="1"/>
        <v/>
      </c>
      <c r="J1262" s="19"/>
    </row>
    <row r="1263" ht="15.75" customHeight="1">
      <c r="A1263" s="3"/>
      <c r="B1263" s="19"/>
      <c r="C1263" s="19"/>
      <c r="D1263" s="27"/>
      <c r="E1263" s="27"/>
      <c r="F1263" s="28"/>
      <c r="G1263" s="31" t="str">
        <f t="shared" si="2"/>
        <v/>
      </c>
      <c r="H1263" s="30"/>
      <c r="I1263" s="21" t="str">
        <f t="shared" si="1"/>
        <v/>
      </c>
      <c r="J1263" s="19"/>
    </row>
    <row r="1264" ht="15.75" customHeight="1">
      <c r="A1264" s="3"/>
      <c r="B1264" s="19"/>
      <c r="C1264" s="19"/>
      <c r="D1264" s="27"/>
      <c r="E1264" s="27"/>
      <c r="F1264" s="28"/>
      <c r="G1264" s="31" t="str">
        <f t="shared" si="2"/>
        <v/>
      </c>
      <c r="H1264" s="30"/>
      <c r="I1264" s="21" t="str">
        <f t="shared" si="1"/>
        <v/>
      </c>
      <c r="J1264" s="19"/>
    </row>
    <row r="1265" ht="15.75" customHeight="1">
      <c r="A1265" s="3"/>
      <c r="B1265" s="19"/>
      <c r="C1265" s="19"/>
      <c r="D1265" s="27"/>
      <c r="E1265" s="27"/>
      <c r="F1265" s="28"/>
      <c r="G1265" s="31" t="str">
        <f t="shared" si="2"/>
        <v/>
      </c>
      <c r="H1265" s="30"/>
      <c r="I1265" s="21" t="str">
        <f t="shared" si="1"/>
        <v/>
      </c>
      <c r="J1265" s="19"/>
    </row>
    <row r="1266" ht="15.75" customHeight="1">
      <c r="A1266" s="3"/>
      <c r="B1266" s="19"/>
      <c r="C1266" s="19"/>
      <c r="D1266" s="27"/>
      <c r="E1266" s="27"/>
      <c r="F1266" s="28"/>
      <c r="G1266" s="31" t="str">
        <f t="shared" si="2"/>
        <v/>
      </c>
      <c r="H1266" s="30"/>
      <c r="I1266" s="21" t="str">
        <f t="shared" si="1"/>
        <v/>
      </c>
      <c r="J1266" s="19"/>
    </row>
    <row r="1267" ht="15.75" customHeight="1">
      <c r="A1267" s="3"/>
      <c r="B1267" s="19"/>
      <c r="C1267" s="19"/>
      <c r="D1267" s="27"/>
      <c r="E1267" s="27"/>
      <c r="F1267" s="28"/>
      <c r="G1267" s="31" t="str">
        <f t="shared" si="2"/>
        <v/>
      </c>
      <c r="H1267" s="30"/>
      <c r="I1267" s="21" t="str">
        <f t="shared" si="1"/>
        <v/>
      </c>
      <c r="J1267" s="19"/>
    </row>
    <row r="1268" ht="15.75" customHeight="1">
      <c r="A1268" s="3"/>
      <c r="B1268" s="19"/>
      <c r="C1268" s="19"/>
      <c r="D1268" s="27"/>
      <c r="E1268" s="27"/>
      <c r="F1268" s="28"/>
      <c r="G1268" s="31" t="str">
        <f t="shared" si="2"/>
        <v/>
      </c>
      <c r="H1268" s="30"/>
      <c r="I1268" s="21" t="str">
        <f t="shared" si="1"/>
        <v/>
      </c>
      <c r="J1268" s="19"/>
    </row>
    <row r="1269" ht="15.75" customHeight="1">
      <c r="A1269" s="3"/>
      <c r="B1269" s="19"/>
      <c r="C1269" s="19"/>
      <c r="D1269" s="27"/>
      <c r="E1269" s="27"/>
      <c r="F1269" s="28"/>
      <c r="G1269" s="31" t="str">
        <f t="shared" si="2"/>
        <v/>
      </c>
      <c r="H1269" s="30"/>
      <c r="I1269" s="21" t="str">
        <f t="shared" si="1"/>
        <v/>
      </c>
      <c r="J1269" s="19"/>
    </row>
    <row r="1270" ht="15.75" customHeight="1">
      <c r="A1270" s="3"/>
      <c r="B1270" s="19"/>
      <c r="C1270" s="19"/>
      <c r="D1270" s="27"/>
      <c r="E1270" s="27"/>
      <c r="F1270" s="28"/>
      <c r="G1270" s="31" t="str">
        <f t="shared" si="2"/>
        <v/>
      </c>
      <c r="H1270" s="30"/>
      <c r="I1270" s="21" t="str">
        <f t="shared" si="1"/>
        <v/>
      </c>
      <c r="J1270" s="19"/>
    </row>
    <row r="1271" ht="15.75" customHeight="1">
      <c r="A1271" s="3"/>
      <c r="B1271" s="19"/>
      <c r="C1271" s="19"/>
      <c r="D1271" s="27"/>
      <c r="E1271" s="27"/>
      <c r="F1271" s="28"/>
      <c r="G1271" s="31" t="str">
        <f t="shared" si="2"/>
        <v/>
      </c>
      <c r="H1271" s="30"/>
      <c r="I1271" s="21" t="str">
        <f t="shared" si="1"/>
        <v/>
      </c>
      <c r="J1271" s="19"/>
    </row>
    <row r="1272" ht="15.75" customHeight="1">
      <c r="A1272" s="3"/>
      <c r="B1272" s="19"/>
      <c r="C1272" s="19"/>
      <c r="D1272" s="27"/>
      <c r="E1272" s="27"/>
      <c r="F1272" s="28"/>
      <c r="G1272" s="31" t="str">
        <f t="shared" si="2"/>
        <v/>
      </c>
      <c r="H1272" s="30"/>
      <c r="I1272" s="21" t="str">
        <f t="shared" si="1"/>
        <v/>
      </c>
      <c r="J1272" s="19"/>
    </row>
    <row r="1273" ht="15.75" customHeight="1">
      <c r="A1273" s="3"/>
      <c r="B1273" s="19"/>
      <c r="C1273" s="19"/>
      <c r="D1273" s="27"/>
      <c r="E1273" s="27"/>
      <c r="F1273" s="28"/>
      <c r="G1273" s="31" t="str">
        <f t="shared" si="2"/>
        <v/>
      </c>
      <c r="H1273" s="30"/>
      <c r="I1273" s="21" t="str">
        <f t="shared" si="1"/>
        <v/>
      </c>
      <c r="J1273" s="19"/>
    </row>
    <row r="1274" ht="15.75" customHeight="1">
      <c r="A1274" s="3"/>
      <c r="B1274" s="19"/>
      <c r="C1274" s="19"/>
      <c r="D1274" s="27"/>
      <c r="E1274" s="27"/>
      <c r="F1274" s="28"/>
      <c r="G1274" s="31" t="str">
        <f t="shared" si="2"/>
        <v/>
      </c>
      <c r="H1274" s="30"/>
      <c r="I1274" s="21" t="str">
        <f t="shared" si="1"/>
        <v/>
      </c>
      <c r="J1274" s="19"/>
    </row>
    <row r="1275" ht="15.75" customHeight="1">
      <c r="A1275" s="3"/>
      <c r="B1275" s="19"/>
      <c r="C1275" s="19"/>
      <c r="D1275" s="27"/>
      <c r="E1275" s="27"/>
      <c r="F1275" s="28"/>
      <c r="G1275" s="31" t="str">
        <f t="shared" si="2"/>
        <v/>
      </c>
      <c r="H1275" s="30"/>
      <c r="I1275" s="21" t="str">
        <f t="shared" si="1"/>
        <v/>
      </c>
      <c r="J1275" s="19"/>
    </row>
    <row r="1276" ht="15.75" customHeight="1">
      <c r="A1276" s="3"/>
      <c r="B1276" s="19"/>
      <c r="C1276" s="19"/>
      <c r="D1276" s="27"/>
      <c r="E1276" s="27"/>
      <c r="F1276" s="28"/>
      <c r="G1276" s="31" t="str">
        <f t="shared" si="2"/>
        <v/>
      </c>
      <c r="H1276" s="30"/>
      <c r="I1276" s="21" t="str">
        <f t="shared" si="1"/>
        <v/>
      </c>
      <c r="J1276" s="19"/>
    </row>
    <row r="1277" ht="15.75" customHeight="1">
      <c r="A1277" s="3"/>
      <c r="B1277" s="19"/>
      <c r="C1277" s="19"/>
      <c r="D1277" s="27"/>
      <c r="E1277" s="27"/>
      <c r="F1277" s="28"/>
      <c r="G1277" s="31" t="str">
        <f t="shared" si="2"/>
        <v/>
      </c>
      <c r="H1277" s="30"/>
      <c r="I1277" s="21" t="str">
        <f t="shared" si="1"/>
        <v/>
      </c>
      <c r="J1277" s="19"/>
    </row>
    <row r="1278" ht="15.75" customHeight="1">
      <c r="A1278" s="3"/>
      <c r="B1278" s="19"/>
      <c r="C1278" s="19"/>
      <c r="D1278" s="27"/>
      <c r="E1278" s="27"/>
      <c r="F1278" s="28"/>
      <c r="G1278" s="31" t="str">
        <f t="shared" si="2"/>
        <v/>
      </c>
      <c r="H1278" s="30"/>
      <c r="I1278" s="21" t="str">
        <f t="shared" si="1"/>
        <v/>
      </c>
      <c r="J1278" s="19"/>
    </row>
    <row r="1279" ht="15.75" customHeight="1">
      <c r="A1279" s="3"/>
      <c r="B1279" s="19"/>
      <c r="C1279" s="19"/>
      <c r="D1279" s="27"/>
      <c r="E1279" s="27"/>
      <c r="F1279" s="28"/>
      <c r="G1279" s="31" t="str">
        <f t="shared" si="2"/>
        <v/>
      </c>
      <c r="H1279" s="30"/>
      <c r="I1279" s="21" t="str">
        <f t="shared" si="1"/>
        <v/>
      </c>
      <c r="J1279" s="19"/>
    </row>
    <row r="1280" ht="15.75" customHeight="1">
      <c r="A1280" s="3"/>
      <c r="B1280" s="19"/>
      <c r="C1280" s="19"/>
      <c r="D1280" s="27"/>
      <c r="E1280" s="27"/>
      <c r="F1280" s="28"/>
      <c r="G1280" s="31" t="str">
        <f t="shared" si="2"/>
        <v/>
      </c>
      <c r="H1280" s="30"/>
      <c r="I1280" s="21" t="str">
        <f t="shared" si="1"/>
        <v/>
      </c>
      <c r="J1280" s="19"/>
    </row>
    <row r="1281" ht="15.75" customHeight="1">
      <c r="A1281" s="3"/>
      <c r="B1281" s="19"/>
      <c r="C1281" s="19"/>
      <c r="D1281" s="27"/>
      <c r="E1281" s="27"/>
      <c r="F1281" s="28"/>
      <c r="G1281" s="31" t="str">
        <f t="shared" si="2"/>
        <v/>
      </c>
      <c r="H1281" s="30"/>
      <c r="I1281" s="21" t="str">
        <f t="shared" si="1"/>
        <v/>
      </c>
      <c r="J1281" s="19"/>
    </row>
    <row r="1282" ht="15.75" customHeight="1">
      <c r="A1282" s="3"/>
      <c r="B1282" s="19"/>
      <c r="C1282" s="19"/>
      <c r="D1282" s="27"/>
      <c r="E1282" s="27"/>
      <c r="F1282" s="28"/>
      <c r="G1282" s="31" t="str">
        <f t="shared" si="2"/>
        <v/>
      </c>
      <c r="H1282" s="30"/>
      <c r="I1282" s="21" t="str">
        <f t="shared" si="1"/>
        <v/>
      </c>
      <c r="J1282" s="19"/>
    </row>
    <row r="1283" ht="15.75" customHeight="1">
      <c r="A1283" s="3"/>
      <c r="B1283" s="19"/>
      <c r="C1283" s="19"/>
      <c r="D1283" s="27"/>
      <c r="E1283" s="27"/>
      <c r="F1283" s="28"/>
      <c r="G1283" s="31" t="str">
        <f t="shared" si="2"/>
        <v/>
      </c>
      <c r="H1283" s="30"/>
      <c r="I1283" s="21" t="str">
        <f t="shared" si="1"/>
        <v/>
      </c>
      <c r="J1283" s="19"/>
    </row>
    <row r="1284" ht="15.75" customHeight="1">
      <c r="A1284" s="3"/>
      <c r="B1284" s="19"/>
      <c r="C1284" s="19"/>
      <c r="D1284" s="27"/>
      <c r="E1284" s="27"/>
      <c r="F1284" s="28"/>
      <c r="G1284" s="31" t="str">
        <f t="shared" si="2"/>
        <v/>
      </c>
      <c r="H1284" s="30"/>
      <c r="I1284" s="21" t="str">
        <f t="shared" si="1"/>
        <v/>
      </c>
      <c r="J1284" s="19"/>
    </row>
    <row r="1285" ht="15.75" customHeight="1">
      <c r="A1285" s="3"/>
      <c r="B1285" s="19"/>
      <c r="C1285" s="19"/>
      <c r="D1285" s="27"/>
      <c r="E1285" s="27"/>
      <c r="F1285" s="28"/>
      <c r="G1285" s="31" t="str">
        <f t="shared" si="2"/>
        <v/>
      </c>
      <c r="H1285" s="30"/>
      <c r="I1285" s="21" t="str">
        <f t="shared" si="1"/>
        <v/>
      </c>
      <c r="J1285" s="19"/>
    </row>
    <row r="1286" ht="15.75" customHeight="1">
      <c r="A1286" s="3"/>
      <c r="B1286" s="19"/>
      <c r="C1286" s="19"/>
      <c r="D1286" s="27"/>
      <c r="E1286" s="27"/>
      <c r="F1286" s="28"/>
      <c r="G1286" s="31" t="str">
        <f t="shared" si="2"/>
        <v/>
      </c>
      <c r="H1286" s="30"/>
      <c r="I1286" s="21" t="str">
        <f t="shared" si="1"/>
        <v/>
      </c>
      <c r="J1286" s="19"/>
    </row>
    <row r="1287" ht="15.75" customHeight="1">
      <c r="A1287" s="3"/>
      <c r="B1287" s="19"/>
      <c r="C1287" s="19"/>
      <c r="D1287" s="27"/>
      <c r="E1287" s="27"/>
      <c r="F1287" s="28"/>
      <c r="G1287" s="31" t="str">
        <f t="shared" si="2"/>
        <v/>
      </c>
      <c r="H1287" s="30"/>
      <c r="I1287" s="21" t="str">
        <f t="shared" si="1"/>
        <v/>
      </c>
      <c r="J1287" s="19"/>
    </row>
    <row r="1288" ht="15.75" customHeight="1">
      <c r="A1288" s="3"/>
      <c r="B1288" s="19"/>
      <c r="C1288" s="19"/>
      <c r="D1288" s="27"/>
      <c r="E1288" s="27"/>
      <c r="F1288" s="28"/>
      <c r="G1288" s="31" t="str">
        <f t="shared" si="2"/>
        <v/>
      </c>
      <c r="H1288" s="30"/>
      <c r="I1288" s="21" t="str">
        <f t="shared" si="1"/>
        <v/>
      </c>
      <c r="J1288" s="19"/>
    </row>
    <row r="1289" ht="15.75" customHeight="1">
      <c r="A1289" s="3"/>
      <c r="B1289" s="19"/>
      <c r="C1289" s="19"/>
      <c r="D1289" s="27"/>
      <c r="E1289" s="27"/>
      <c r="F1289" s="28"/>
      <c r="G1289" s="31" t="str">
        <f t="shared" si="2"/>
        <v/>
      </c>
      <c r="H1289" s="30"/>
      <c r="I1289" s="21" t="str">
        <f t="shared" si="1"/>
        <v/>
      </c>
      <c r="J1289" s="19"/>
    </row>
    <row r="1290" ht="15.75" customHeight="1">
      <c r="A1290" s="3"/>
      <c r="B1290" s="19"/>
      <c r="C1290" s="19"/>
      <c r="D1290" s="27"/>
      <c r="E1290" s="27"/>
      <c r="F1290" s="28"/>
      <c r="G1290" s="31" t="str">
        <f t="shared" si="2"/>
        <v/>
      </c>
      <c r="H1290" s="30"/>
      <c r="I1290" s="21" t="str">
        <f t="shared" si="1"/>
        <v/>
      </c>
      <c r="J1290" s="19"/>
    </row>
    <row r="1291" ht="15.75" customHeight="1">
      <c r="A1291" s="3"/>
      <c r="B1291" s="19"/>
      <c r="C1291" s="19"/>
      <c r="D1291" s="27"/>
      <c r="E1291" s="27"/>
      <c r="F1291" s="28"/>
      <c r="G1291" s="31" t="str">
        <f t="shared" si="2"/>
        <v/>
      </c>
      <c r="H1291" s="30"/>
      <c r="I1291" s="21" t="str">
        <f t="shared" si="1"/>
        <v/>
      </c>
      <c r="J1291" s="19"/>
    </row>
    <row r="1292" ht="15.75" customHeight="1">
      <c r="A1292" s="3"/>
      <c r="B1292" s="19"/>
      <c r="C1292" s="19"/>
      <c r="D1292" s="27"/>
      <c r="E1292" s="27"/>
      <c r="F1292" s="28"/>
      <c r="G1292" s="31" t="str">
        <f t="shared" si="2"/>
        <v/>
      </c>
      <c r="H1292" s="30"/>
      <c r="I1292" s="21" t="str">
        <f t="shared" si="1"/>
        <v/>
      </c>
      <c r="J1292" s="19"/>
    </row>
    <row r="1293" ht="15.75" customHeight="1">
      <c r="A1293" s="3"/>
      <c r="B1293" s="19"/>
      <c r="C1293" s="19"/>
      <c r="D1293" s="27"/>
      <c r="E1293" s="27"/>
      <c r="F1293" s="28"/>
      <c r="G1293" s="31" t="str">
        <f t="shared" si="2"/>
        <v/>
      </c>
      <c r="H1293" s="30"/>
      <c r="I1293" s="21" t="str">
        <f t="shared" si="1"/>
        <v/>
      </c>
      <c r="J1293" s="19"/>
    </row>
    <row r="1294" ht="15.75" customHeight="1">
      <c r="A1294" s="3"/>
      <c r="B1294" s="19"/>
      <c r="C1294" s="19"/>
      <c r="D1294" s="27"/>
      <c r="E1294" s="27"/>
      <c r="F1294" s="28"/>
      <c r="G1294" s="31" t="str">
        <f t="shared" si="2"/>
        <v/>
      </c>
      <c r="H1294" s="30"/>
      <c r="I1294" s="21" t="str">
        <f t="shared" si="1"/>
        <v/>
      </c>
      <c r="J1294" s="19"/>
    </row>
    <row r="1295" ht="15.75" customHeight="1">
      <c r="A1295" s="3"/>
      <c r="B1295" s="19"/>
      <c r="C1295" s="19"/>
      <c r="D1295" s="27"/>
      <c r="E1295" s="27"/>
      <c r="F1295" s="28"/>
      <c r="G1295" s="31" t="str">
        <f t="shared" si="2"/>
        <v/>
      </c>
      <c r="H1295" s="30"/>
      <c r="I1295" s="21" t="str">
        <f t="shared" si="1"/>
        <v/>
      </c>
      <c r="J1295" s="19"/>
    </row>
    <row r="1296" ht="15.75" customHeight="1">
      <c r="A1296" s="3"/>
      <c r="B1296" s="19"/>
      <c r="C1296" s="19"/>
      <c r="D1296" s="27"/>
      <c r="E1296" s="27"/>
      <c r="F1296" s="28"/>
      <c r="G1296" s="31" t="str">
        <f t="shared" si="2"/>
        <v/>
      </c>
      <c r="H1296" s="30"/>
      <c r="I1296" s="21" t="str">
        <f t="shared" si="1"/>
        <v/>
      </c>
      <c r="J1296" s="19"/>
    </row>
    <row r="1297" ht="15.75" customHeight="1">
      <c r="A1297" s="3"/>
      <c r="B1297" s="19"/>
      <c r="C1297" s="19"/>
      <c r="D1297" s="27"/>
      <c r="E1297" s="27"/>
      <c r="F1297" s="28"/>
      <c r="G1297" s="31" t="str">
        <f t="shared" si="2"/>
        <v/>
      </c>
      <c r="H1297" s="30"/>
      <c r="I1297" s="21" t="str">
        <f t="shared" si="1"/>
        <v/>
      </c>
      <c r="J1297" s="19"/>
    </row>
    <row r="1298" ht="15.75" customHeight="1">
      <c r="A1298" s="3"/>
      <c r="B1298" s="19"/>
      <c r="C1298" s="19"/>
      <c r="D1298" s="27"/>
      <c r="E1298" s="27"/>
      <c r="F1298" s="28"/>
      <c r="G1298" s="31" t="str">
        <f t="shared" si="2"/>
        <v/>
      </c>
      <c r="H1298" s="30"/>
      <c r="I1298" s="21" t="str">
        <f t="shared" si="1"/>
        <v/>
      </c>
      <c r="J1298" s="19"/>
    </row>
    <row r="1299" ht="15.75" customHeight="1">
      <c r="A1299" s="3"/>
      <c r="B1299" s="19"/>
      <c r="C1299" s="19"/>
      <c r="D1299" s="27"/>
      <c r="E1299" s="27"/>
      <c r="F1299" s="28"/>
      <c r="G1299" s="31" t="str">
        <f t="shared" si="2"/>
        <v/>
      </c>
      <c r="H1299" s="30"/>
      <c r="I1299" s="21" t="str">
        <f t="shared" si="1"/>
        <v/>
      </c>
      <c r="J1299" s="19"/>
    </row>
    <row r="1300" ht="15.75" customHeight="1">
      <c r="A1300" s="3"/>
      <c r="B1300" s="19"/>
      <c r="C1300" s="19"/>
      <c r="D1300" s="27"/>
      <c r="E1300" s="27"/>
      <c r="F1300" s="28"/>
      <c r="G1300" s="31" t="str">
        <f t="shared" si="2"/>
        <v/>
      </c>
      <c r="H1300" s="30"/>
      <c r="I1300" s="21" t="str">
        <f t="shared" si="1"/>
        <v/>
      </c>
      <c r="J1300" s="19"/>
    </row>
    <row r="1301" ht="15.75" customHeight="1">
      <c r="A1301" s="3"/>
      <c r="B1301" s="19"/>
      <c r="C1301" s="19"/>
      <c r="D1301" s="27"/>
      <c r="E1301" s="27"/>
      <c r="F1301" s="28"/>
      <c r="G1301" s="31" t="str">
        <f t="shared" si="2"/>
        <v/>
      </c>
      <c r="H1301" s="30"/>
      <c r="I1301" s="21" t="str">
        <f t="shared" si="1"/>
        <v/>
      </c>
      <c r="J1301" s="19"/>
    </row>
    <row r="1302" ht="15.75" customHeight="1">
      <c r="A1302" s="3"/>
      <c r="B1302" s="19"/>
      <c r="C1302" s="19"/>
      <c r="D1302" s="27"/>
      <c r="E1302" s="27"/>
      <c r="F1302" s="28"/>
      <c r="G1302" s="31" t="str">
        <f t="shared" si="2"/>
        <v/>
      </c>
      <c r="H1302" s="30"/>
      <c r="I1302" s="21" t="str">
        <f t="shared" si="1"/>
        <v/>
      </c>
      <c r="J1302" s="19"/>
    </row>
    <row r="1303" ht="15.75" customHeight="1">
      <c r="A1303" s="3"/>
      <c r="B1303" s="19"/>
      <c r="C1303" s="19"/>
      <c r="D1303" s="27"/>
      <c r="E1303" s="27"/>
      <c r="F1303" s="28"/>
      <c r="G1303" s="31" t="str">
        <f t="shared" si="2"/>
        <v/>
      </c>
      <c r="H1303" s="30"/>
      <c r="I1303" s="21" t="str">
        <f t="shared" si="1"/>
        <v/>
      </c>
      <c r="J1303" s="19"/>
    </row>
    <row r="1304" ht="15.75" customHeight="1">
      <c r="A1304" s="3"/>
      <c r="B1304" s="19"/>
      <c r="C1304" s="19"/>
      <c r="D1304" s="27"/>
      <c r="E1304" s="27"/>
      <c r="F1304" s="28"/>
      <c r="G1304" s="31" t="str">
        <f t="shared" si="2"/>
        <v/>
      </c>
      <c r="H1304" s="30"/>
      <c r="I1304" s="21" t="str">
        <f t="shared" si="1"/>
        <v/>
      </c>
      <c r="J1304" s="19"/>
    </row>
    <row r="1305" ht="15.75" customHeight="1">
      <c r="A1305" s="3"/>
      <c r="B1305" s="19"/>
      <c r="C1305" s="19"/>
      <c r="D1305" s="27"/>
      <c r="E1305" s="27"/>
      <c r="F1305" s="28"/>
      <c r="G1305" s="31" t="str">
        <f t="shared" si="2"/>
        <v/>
      </c>
      <c r="H1305" s="30"/>
      <c r="I1305" s="21" t="str">
        <f t="shared" si="1"/>
        <v/>
      </c>
      <c r="J1305" s="19"/>
    </row>
    <row r="1306" ht="15.75" customHeight="1">
      <c r="A1306" s="3"/>
      <c r="B1306" s="19"/>
      <c r="C1306" s="19"/>
      <c r="D1306" s="27"/>
      <c r="E1306" s="27"/>
      <c r="F1306" s="28"/>
      <c r="G1306" s="31" t="str">
        <f t="shared" si="2"/>
        <v/>
      </c>
      <c r="H1306" s="30"/>
      <c r="I1306" s="21" t="str">
        <f t="shared" si="1"/>
        <v/>
      </c>
      <c r="J1306" s="19"/>
    </row>
    <row r="1307" ht="15.75" customHeight="1">
      <c r="A1307" s="3"/>
      <c r="B1307" s="19"/>
      <c r="C1307" s="19"/>
      <c r="D1307" s="27"/>
      <c r="E1307" s="27"/>
      <c r="F1307" s="28"/>
      <c r="G1307" s="31" t="str">
        <f t="shared" si="2"/>
        <v/>
      </c>
      <c r="H1307" s="30"/>
      <c r="I1307" s="21" t="str">
        <f t="shared" si="1"/>
        <v/>
      </c>
      <c r="J1307" s="19"/>
    </row>
    <row r="1308" ht="15.75" customHeight="1">
      <c r="A1308" s="3"/>
      <c r="B1308" s="19"/>
      <c r="C1308" s="19"/>
      <c r="D1308" s="27"/>
      <c r="E1308" s="27"/>
      <c r="F1308" s="28"/>
      <c r="G1308" s="31" t="str">
        <f t="shared" si="2"/>
        <v/>
      </c>
      <c r="H1308" s="30"/>
      <c r="I1308" s="21" t="str">
        <f t="shared" si="1"/>
        <v/>
      </c>
      <c r="J1308" s="19"/>
    </row>
    <row r="1309" ht="15.75" customHeight="1">
      <c r="A1309" s="3"/>
      <c r="B1309" s="19"/>
      <c r="C1309" s="19"/>
      <c r="D1309" s="27"/>
      <c r="E1309" s="27"/>
      <c r="F1309" s="28"/>
      <c r="G1309" s="31" t="str">
        <f t="shared" si="2"/>
        <v/>
      </c>
      <c r="H1309" s="30"/>
      <c r="I1309" s="21" t="str">
        <f t="shared" si="1"/>
        <v/>
      </c>
      <c r="J1309" s="19"/>
    </row>
    <row r="1310" ht="15.75" customHeight="1">
      <c r="A1310" s="3"/>
      <c r="B1310" s="19"/>
      <c r="C1310" s="19"/>
      <c r="D1310" s="27"/>
      <c r="E1310" s="27"/>
      <c r="F1310" s="28"/>
      <c r="G1310" s="31" t="str">
        <f t="shared" si="2"/>
        <v/>
      </c>
      <c r="H1310" s="30"/>
      <c r="I1310" s="21" t="str">
        <f t="shared" si="1"/>
        <v/>
      </c>
      <c r="J1310" s="19"/>
    </row>
    <row r="1311" ht="15.75" customHeight="1">
      <c r="A1311" s="3"/>
      <c r="B1311" s="19"/>
      <c r="C1311" s="19"/>
      <c r="D1311" s="27"/>
      <c r="E1311" s="27"/>
      <c r="F1311" s="28"/>
      <c r="G1311" s="31" t="str">
        <f t="shared" si="2"/>
        <v/>
      </c>
      <c r="H1311" s="30"/>
      <c r="I1311" s="21" t="str">
        <f t="shared" si="1"/>
        <v/>
      </c>
      <c r="J1311" s="19"/>
    </row>
    <row r="1312" ht="15.75" customHeight="1">
      <c r="A1312" s="3"/>
      <c r="B1312" s="19"/>
      <c r="C1312" s="19"/>
      <c r="D1312" s="27"/>
      <c r="E1312" s="27"/>
      <c r="F1312" s="28"/>
      <c r="G1312" s="31" t="str">
        <f t="shared" si="2"/>
        <v/>
      </c>
      <c r="H1312" s="30"/>
      <c r="I1312" s="21" t="str">
        <f t="shared" si="1"/>
        <v/>
      </c>
      <c r="J1312" s="19"/>
    </row>
    <row r="1313" ht="15.75" customHeight="1">
      <c r="A1313" s="3"/>
      <c r="B1313" s="19"/>
      <c r="C1313" s="19"/>
      <c r="D1313" s="27"/>
      <c r="E1313" s="27"/>
      <c r="F1313" s="28"/>
      <c r="G1313" s="31" t="str">
        <f t="shared" si="2"/>
        <v/>
      </c>
      <c r="H1313" s="30"/>
      <c r="I1313" s="21" t="str">
        <f t="shared" si="1"/>
        <v/>
      </c>
      <c r="J1313" s="19"/>
    </row>
    <row r="1314" ht="15.75" customHeight="1">
      <c r="A1314" s="3"/>
      <c r="B1314" s="19"/>
      <c r="C1314" s="19"/>
      <c r="D1314" s="27"/>
      <c r="E1314" s="27"/>
      <c r="F1314" s="28"/>
      <c r="G1314" s="31" t="str">
        <f t="shared" si="2"/>
        <v/>
      </c>
      <c r="H1314" s="30"/>
      <c r="I1314" s="21" t="str">
        <f t="shared" si="1"/>
        <v/>
      </c>
      <c r="J1314" s="19"/>
    </row>
    <row r="1315" ht="15.75" customHeight="1">
      <c r="A1315" s="3"/>
      <c r="B1315" s="19"/>
      <c r="C1315" s="19"/>
      <c r="D1315" s="27"/>
      <c r="E1315" s="27"/>
      <c r="F1315" s="28"/>
      <c r="G1315" s="31" t="str">
        <f t="shared" si="2"/>
        <v/>
      </c>
      <c r="H1315" s="30"/>
      <c r="I1315" s="21" t="str">
        <f t="shared" si="1"/>
        <v/>
      </c>
      <c r="J1315" s="19"/>
    </row>
    <row r="1316" ht="15.75" customHeight="1">
      <c r="A1316" s="3"/>
      <c r="B1316" s="19"/>
      <c r="C1316" s="19"/>
      <c r="D1316" s="27"/>
      <c r="E1316" s="27"/>
      <c r="F1316" s="28"/>
      <c r="G1316" s="31" t="str">
        <f t="shared" si="2"/>
        <v/>
      </c>
      <c r="H1316" s="30"/>
      <c r="I1316" s="21" t="str">
        <f t="shared" si="1"/>
        <v/>
      </c>
      <c r="J1316" s="19"/>
    </row>
    <row r="1317" ht="15.75" customHeight="1">
      <c r="A1317" s="3"/>
      <c r="B1317" s="19"/>
      <c r="C1317" s="19"/>
      <c r="D1317" s="27"/>
      <c r="E1317" s="27"/>
      <c r="F1317" s="28"/>
      <c r="G1317" s="31" t="str">
        <f t="shared" si="2"/>
        <v/>
      </c>
      <c r="H1317" s="30"/>
      <c r="I1317" s="21" t="str">
        <f t="shared" si="1"/>
        <v/>
      </c>
      <c r="J1317" s="19"/>
    </row>
    <row r="1318" ht="15.75" customHeight="1">
      <c r="A1318" s="3"/>
      <c r="B1318" s="19"/>
      <c r="C1318" s="19"/>
      <c r="D1318" s="27"/>
      <c r="E1318" s="27"/>
      <c r="F1318" s="28"/>
      <c r="G1318" s="31" t="str">
        <f t="shared" si="2"/>
        <v/>
      </c>
      <c r="H1318" s="30"/>
      <c r="I1318" s="21" t="str">
        <f t="shared" si="1"/>
        <v/>
      </c>
      <c r="J1318" s="19"/>
    </row>
    <row r="1319" ht="15.75" customHeight="1">
      <c r="A1319" s="3"/>
      <c r="B1319" s="19"/>
      <c r="C1319" s="19"/>
      <c r="D1319" s="27"/>
      <c r="E1319" s="27"/>
      <c r="F1319" s="28"/>
      <c r="G1319" s="31" t="str">
        <f t="shared" si="2"/>
        <v/>
      </c>
      <c r="H1319" s="30"/>
      <c r="I1319" s="21" t="str">
        <f t="shared" si="1"/>
        <v/>
      </c>
      <c r="J1319" s="19"/>
    </row>
    <row r="1320" ht="15.75" customHeight="1">
      <c r="A1320" s="3"/>
      <c r="B1320" s="19"/>
      <c r="C1320" s="19"/>
      <c r="D1320" s="27"/>
      <c r="E1320" s="27"/>
      <c r="F1320" s="28"/>
      <c r="G1320" s="31" t="str">
        <f t="shared" si="2"/>
        <v/>
      </c>
      <c r="H1320" s="30"/>
      <c r="I1320" s="21" t="str">
        <f t="shared" si="1"/>
        <v/>
      </c>
      <c r="J1320" s="19"/>
    </row>
    <row r="1321" ht="15.75" customHeight="1">
      <c r="A1321" s="3"/>
      <c r="B1321" s="19"/>
      <c r="C1321" s="19"/>
      <c r="D1321" s="27"/>
      <c r="E1321" s="27"/>
      <c r="F1321" s="28"/>
      <c r="G1321" s="31" t="str">
        <f t="shared" si="2"/>
        <v/>
      </c>
      <c r="H1321" s="30"/>
      <c r="I1321" s="21" t="str">
        <f t="shared" si="1"/>
        <v/>
      </c>
      <c r="J1321" s="19"/>
    </row>
    <row r="1322" ht="15.75" customHeight="1">
      <c r="A1322" s="3"/>
      <c r="B1322" s="19"/>
      <c r="C1322" s="19"/>
      <c r="D1322" s="27"/>
      <c r="E1322" s="27"/>
      <c r="F1322" s="28"/>
      <c r="G1322" s="31" t="str">
        <f t="shared" si="2"/>
        <v/>
      </c>
      <c r="H1322" s="30"/>
      <c r="I1322" s="21" t="str">
        <f t="shared" si="1"/>
        <v/>
      </c>
      <c r="J1322" s="19"/>
    </row>
    <row r="1323" ht="15.75" customHeight="1">
      <c r="A1323" s="3"/>
      <c r="B1323" s="19"/>
      <c r="C1323" s="19"/>
      <c r="D1323" s="27"/>
      <c r="E1323" s="27"/>
      <c r="F1323" s="28"/>
      <c r="G1323" s="31" t="str">
        <f t="shared" si="2"/>
        <v/>
      </c>
      <c r="H1323" s="30"/>
      <c r="I1323" s="21" t="str">
        <f t="shared" si="1"/>
        <v/>
      </c>
      <c r="J1323" s="19"/>
    </row>
    <row r="1324" ht="15.75" customHeight="1">
      <c r="A1324" s="3"/>
      <c r="B1324" s="19"/>
      <c r="C1324" s="19"/>
      <c r="D1324" s="27"/>
      <c r="E1324" s="27"/>
      <c r="F1324" s="28"/>
      <c r="G1324" s="31" t="str">
        <f t="shared" si="2"/>
        <v/>
      </c>
      <c r="H1324" s="30"/>
      <c r="I1324" s="21" t="str">
        <f t="shared" si="1"/>
        <v/>
      </c>
      <c r="J1324" s="19"/>
    </row>
    <row r="1325" ht="15.75" customHeight="1">
      <c r="A1325" s="3"/>
      <c r="B1325" s="19"/>
      <c r="C1325" s="19"/>
      <c r="D1325" s="27"/>
      <c r="E1325" s="27"/>
      <c r="F1325" s="28"/>
      <c r="G1325" s="31" t="str">
        <f t="shared" si="2"/>
        <v/>
      </c>
      <c r="H1325" s="30"/>
      <c r="I1325" s="21" t="str">
        <f t="shared" si="1"/>
        <v/>
      </c>
      <c r="J1325" s="19"/>
    </row>
    <row r="1326" ht="15.75" customHeight="1">
      <c r="A1326" s="3"/>
      <c r="B1326" s="19"/>
      <c r="C1326" s="19"/>
      <c r="D1326" s="27"/>
      <c r="E1326" s="27"/>
      <c r="F1326" s="28"/>
      <c r="G1326" s="31" t="str">
        <f t="shared" si="2"/>
        <v/>
      </c>
      <c r="H1326" s="30"/>
      <c r="I1326" s="21" t="str">
        <f t="shared" si="1"/>
        <v/>
      </c>
      <c r="J1326" s="19"/>
    </row>
    <row r="1327" ht="15.75" customHeight="1">
      <c r="A1327" s="3"/>
      <c r="B1327" s="19"/>
      <c r="C1327" s="19"/>
      <c r="D1327" s="27"/>
      <c r="E1327" s="27"/>
      <c r="F1327" s="28"/>
      <c r="G1327" s="31" t="str">
        <f t="shared" si="2"/>
        <v/>
      </c>
      <c r="H1327" s="30"/>
      <c r="I1327" s="21" t="str">
        <f t="shared" si="1"/>
        <v/>
      </c>
      <c r="J1327" s="19"/>
    </row>
    <row r="1328" ht="15.75" customHeight="1">
      <c r="A1328" s="3"/>
      <c r="B1328" s="19"/>
      <c r="C1328" s="19"/>
      <c r="D1328" s="27"/>
      <c r="E1328" s="27"/>
      <c r="F1328" s="28"/>
      <c r="G1328" s="31" t="str">
        <f t="shared" si="2"/>
        <v/>
      </c>
      <c r="H1328" s="30"/>
      <c r="I1328" s="21" t="str">
        <f t="shared" si="1"/>
        <v/>
      </c>
      <c r="J1328" s="19"/>
    </row>
    <row r="1329" ht="15.75" customHeight="1">
      <c r="A1329" s="3"/>
      <c r="B1329" s="19"/>
      <c r="C1329" s="19"/>
      <c r="D1329" s="27"/>
      <c r="E1329" s="27"/>
      <c r="F1329" s="28"/>
      <c r="G1329" s="31" t="str">
        <f t="shared" si="2"/>
        <v/>
      </c>
      <c r="H1329" s="30"/>
      <c r="I1329" s="21" t="str">
        <f t="shared" si="1"/>
        <v/>
      </c>
      <c r="J1329" s="19"/>
    </row>
    <row r="1330" ht="15.75" customHeight="1">
      <c r="A1330" s="3"/>
      <c r="B1330" s="19"/>
      <c r="C1330" s="19"/>
      <c r="D1330" s="27"/>
      <c r="E1330" s="27"/>
      <c r="F1330" s="28"/>
      <c r="G1330" s="31" t="str">
        <f t="shared" si="2"/>
        <v/>
      </c>
      <c r="H1330" s="30"/>
      <c r="I1330" s="21" t="str">
        <f t="shared" si="1"/>
        <v/>
      </c>
      <c r="J1330" s="19"/>
    </row>
    <row r="1331" ht="15.75" customHeight="1">
      <c r="A1331" s="3"/>
      <c r="B1331" s="19"/>
      <c r="C1331" s="19"/>
      <c r="D1331" s="27"/>
      <c r="E1331" s="27"/>
      <c r="F1331" s="28"/>
      <c r="G1331" s="31" t="str">
        <f t="shared" si="2"/>
        <v/>
      </c>
      <c r="H1331" s="30"/>
      <c r="I1331" s="21" t="str">
        <f t="shared" si="1"/>
        <v/>
      </c>
      <c r="J1331" s="19"/>
    </row>
    <row r="1332" ht="15.75" customHeight="1">
      <c r="A1332" s="3"/>
      <c r="B1332" s="19"/>
      <c r="C1332" s="19"/>
      <c r="D1332" s="27"/>
      <c r="E1332" s="27"/>
      <c r="F1332" s="28"/>
      <c r="G1332" s="31" t="str">
        <f t="shared" si="2"/>
        <v/>
      </c>
      <c r="H1332" s="30"/>
      <c r="I1332" s="21" t="str">
        <f t="shared" si="1"/>
        <v/>
      </c>
      <c r="J1332" s="19"/>
    </row>
    <row r="1333" ht="15.75" customHeight="1">
      <c r="A1333" s="3"/>
      <c r="B1333" s="19"/>
      <c r="C1333" s="19"/>
      <c r="D1333" s="27"/>
      <c r="E1333" s="27"/>
      <c r="F1333" s="28"/>
      <c r="G1333" s="31" t="str">
        <f t="shared" si="2"/>
        <v/>
      </c>
      <c r="H1333" s="30"/>
      <c r="I1333" s="21" t="str">
        <f t="shared" si="1"/>
        <v/>
      </c>
      <c r="J1333" s="19"/>
    </row>
    <row r="1334" ht="15.75" customHeight="1">
      <c r="A1334" s="3"/>
      <c r="B1334" s="19"/>
      <c r="C1334" s="19"/>
      <c r="D1334" s="27"/>
      <c r="E1334" s="27"/>
      <c r="F1334" s="28"/>
      <c r="G1334" s="31" t="str">
        <f t="shared" si="2"/>
        <v/>
      </c>
      <c r="H1334" s="30"/>
      <c r="I1334" s="21" t="str">
        <f t="shared" si="1"/>
        <v/>
      </c>
      <c r="J1334" s="19"/>
    </row>
    <row r="1335" ht="15.75" customHeight="1">
      <c r="A1335" s="3"/>
      <c r="B1335" s="19"/>
      <c r="C1335" s="19"/>
      <c r="D1335" s="27"/>
      <c r="E1335" s="27"/>
      <c r="F1335" s="28"/>
      <c r="G1335" s="31" t="str">
        <f t="shared" si="2"/>
        <v/>
      </c>
      <c r="H1335" s="30"/>
      <c r="I1335" s="21" t="str">
        <f t="shared" si="1"/>
        <v/>
      </c>
      <c r="J1335" s="19"/>
    </row>
    <row r="1336" ht="15.75" customHeight="1">
      <c r="A1336" s="3"/>
      <c r="B1336" s="19"/>
      <c r="C1336" s="19"/>
      <c r="D1336" s="27"/>
      <c r="E1336" s="27"/>
      <c r="F1336" s="28"/>
      <c r="G1336" s="31" t="str">
        <f t="shared" si="2"/>
        <v/>
      </c>
      <c r="H1336" s="30"/>
      <c r="I1336" s="21" t="str">
        <f t="shared" si="1"/>
        <v/>
      </c>
      <c r="J1336" s="19"/>
    </row>
    <row r="1337" ht="15.75" customHeight="1">
      <c r="A1337" s="3"/>
      <c r="B1337" s="19"/>
      <c r="C1337" s="19"/>
      <c r="D1337" s="27"/>
      <c r="E1337" s="27"/>
      <c r="F1337" s="28"/>
      <c r="G1337" s="31" t="str">
        <f t="shared" si="2"/>
        <v/>
      </c>
      <c r="H1337" s="30"/>
      <c r="I1337" s="21" t="str">
        <f t="shared" si="1"/>
        <v/>
      </c>
      <c r="J1337" s="19"/>
    </row>
    <row r="1338" ht="15.75" customHeight="1">
      <c r="A1338" s="3"/>
      <c r="B1338" s="19"/>
      <c r="C1338" s="19"/>
      <c r="D1338" s="27"/>
      <c r="E1338" s="27"/>
      <c r="F1338" s="28"/>
      <c r="G1338" s="31" t="str">
        <f t="shared" si="2"/>
        <v/>
      </c>
      <c r="H1338" s="30"/>
      <c r="I1338" s="21" t="str">
        <f t="shared" si="1"/>
        <v/>
      </c>
      <c r="J1338" s="19"/>
    </row>
    <row r="1339" ht="15.75" customHeight="1">
      <c r="A1339" s="3"/>
      <c r="B1339" s="19"/>
      <c r="C1339" s="19"/>
      <c r="D1339" s="27"/>
      <c r="E1339" s="27"/>
      <c r="F1339" s="28"/>
      <c r="G1339" s="31" t="str">
        <f t="shared" si="2"/>
        <v/>
      </c>
      <c r="H1339" s="30"/>
      <c r="I1339" s="21" t="str">
        <f t="shared" si="1"/>
        <v/>
      </c>
      <c r="J1339" s="19"/>
    </row>
    <row r="1340" ht="15.75" customHeight="1">
      <c r="A1340" s="3"/>
      <c r="B1340" s="19"/>
      <c r="C1340" s="19"/>
      <c r="D1340" s="27"/>
      <c r="E1340" s="27"/>
      <c r="F1340" s="28"/>
      <c r="G1340" s="31" t="str">
        <f t="shared" si="2"/>
        <v/>
      </c>
      <c r="H1340" s="30"/>
      <c r="I1340" s="21" t="str">
        <f t="shared" si="1"/>
        <v/>
      </c>
      <c r="J1340" s="19"/>
    </row>
    <row r="1341" ht="15.75" customHeight="1">
      <c r="A1341" s="3"/>
      <c r="B1341" s="19"/>
      <c r="C1341" s="19"/>
      <c r="D1341" s="27"/>
      <c r="E1341" s="27"/>
      <c r="F1341" s="28"/>
      <c r="G1341" s="31" t="str">
        <f t="shared" si="2"/>
        <v/>
      </c>
      <c r="H1341" s="30"/>
      <c r="I1341" s="21" t="str">
        <f t="shared" si="1"/>
        <v/>
      </c>
      <c r="J1341" s="19"/>
    </row>
    <row r="1342" ht="15.75" customHeight="1">
      <c r="A1342" s="3"/>
      <c r="B1342" s="19"/>
      <c r="C1342" s="19"/>
      <c r="D1342" s="27"/>
      <c r="E1342" s="27"/>
      <c r="F1342" s="28"/>
      <c r="G1342" s="31" t="str">
        <f t="shared" si="2"/>
        <v/>
      </c>
      <c r="H1342" s="30"/>
      <c r="I1342" s="21" t="str">
        <f t="shared" si="1"/>
        <v/>
      </c>
      <c r="J1342" s="19"/>
    </row>
    <row r="1343" ht="15.75" customHeight="1">
      <c r="A1343" s="3"/>
      <c r="B1343" s="19"/>
      <c r="C1343" s="19"/>
      <c r="D1343" s="27"/>
      <c r="E1343" s="27"/>
      <c r="F1343" s="28"/>
      <c r="G1343" s="31" t="str">
        <f t="shared" si="2"/>
        <v/>
      </c>
      <c r="H1343" s="30"/>
      <c r="I1343" s="21" t="str">
        <f t="shared" si="1"/>
        <v/>
      </c>
      <c r="J1343" s="19"/>
    </row>
    <row r="1344" ht="15.75" customHeight="1">
      <c r="A1344" s="3"/>
      <c r="B1344" s="19"/>
      <c r="C1344" s="19"/>
      <c r="D1344" s="27"/>
      <c r="E1344" s="27"/>
      <c r="F1344" s="28"/>
      <c r="G1344" s="31" t="str">
        <f t="shared" si="2"/>
        <v/>
      </c>
      <c r="H1344" s="30"/>
      <c r="I1344" s="21" t="str">
        <f t="shared" si="1"/>
        <v/>
      </c>
      <c r="J1344" s="19"/>
    </row>
    <row r="1345" ht="15.75" customHeight="1">
      <c r="A1345" s="3"/>
      <c r="B1345" s="19"/>
      <c r="C1345" s="19"/>
      <c r="D1345" s="27"/>
      <c r="E1345" s="27"/>
      <c r="F1345" s="28"/>
      <c r="G1345" s="31" t="str">
        <f t="shared" si="2"/>
        <v/>
      </c>
      <c r="H1345" s="30"/>
      <c r="I1345" s="21" t="str">
        <f t="shared" si="1"/>
        <v/>
      </c>
      <c r="J1345" s="19"/>
    </row>
    <row r="1346" ht="15.75" customHeight="1">
      <c r="A1346" s="3"/>
      <c r="B1346" s="19"/>
      <c r="C1346" s="19"/>
      <c r="D1346" s="27"/>
      <c r="E1346" s="27"/>
      <c r="F1346" s="28"/>
      <c r="G1346" s="31" t="str">
        <f t="shared" si="2"/>
        <v/>
      </c>
      <c r="H1346" s="30"/>
      <c r="I1346" s="21" t="str">
        <f t="shared" si="1"/>
        <v/>
      </c>
      <c r="J1346" s="19"/>
    </row>
    <row r="1347" ht="15.75" customHeight="1">
      <c r="A1347" s="3"/>
      <c r="B1347" s="19"/>
      <c r="C1347" s="19"/>
      <c r="D1347" s="27"/>
      <c r="E1347" s="27"/>
      <c r="F1347" s="28"/>
      <c r="G1347" s="31" t="str">
        <f t="shared" si="2"/>
        <v/>
      </c>
      <c r="H1347" s="30"/>
      <c r="I1347" s="21" t="str">
        <f t="shared" si="1"/>
        <v/>
      </c>
      <c r="J1347" s="19"/>
    </row>
    <row r="1348" ht="15.75" customHeight="1">
      <c r="A1348" s="3"/>
      <c r="B1348" s="19"/>
      <c r="C1348" s="19"/>
      <c r="D1348" s="27"/>
      <c r="E1348" s="27"/>
      <c r="F1348" s="28"/>
      <c r="G1348" s="31" t="str">
        <f t="shared" si="2"/>
        <v/>
      </c>
      <c r="H1348" s="30"/>
      <c r="I1348" s="21" t="str">
        <f t="shared" si="1"/>
        <v/>
      </c>
      <c r="J1348" s="19"/>
    </row>
    <row r="1349" ht="15.75" customHeight="1">
      <c r="A1349" s="3"/>
      <c r="B1349" s="19"/>
      <c r="C1349" s="19"/>
      <c r="D1349" s="27"/>
      <c r="E1349" s="27"/>
      <c r="F1349" s="28"/>
      <c r="G1349" s="31" t="str">
        <f t="shared" si="2"/>
        <v/>
      </c>
      <c r="H1349" s="30"/>
      <c r="I1349" s="21" t="str">
        <f t="shared" si="1"/>
        <v/>
      </c>
      <c r="J1349" s="19"/>
    </row>
    <row r="1350" ht="15.75" customHeight="1">
      <c r="A1350" s="3"/>
      <c r="B1350" s="19"/>
      <c r="C1350" s="19"/>
      <c r="D1350" s="27"/>
      <c r="E1350" s="27"/>
      <c r="F1350" s="28"/>
      <c r="G1350" s="31" t="str">
        <f t="shared" si="2"/>
        <v/>
      </c>
      <c r="H1350" s="30"/>
      <c r="I1350" s="21" t="str">
        <f t="shared" si="1"/>
        <v/>
      </c>
      <c r="J1350" s="19"/>
    </row>
    <row r="1351" ht="15.75" customHeight="1">
      <c r="A1351" s="3"/>
      <c r="B1351" s="19"/>
      <c r="C1351" s="19"/>
      <c r="D1351" s="27"/>
      <c r="E1351" s="27"/>
      <c r="F1351" s="28"/>
      <c r="G1351" s="31" t="str">
        <f t="shared" si="2"/>
        <v/>
      </c>
      <c r="H1351" s="30"/>
      <c r="I1351" s="21" t="str">
        <f t="shared" si="1"/>
        <v/>
      </c>
      <c r="J1351" s="19"/>
    </row>
    <row r="1352" ht="15.75" customHeight="1">
      <c r="A1352" s="3"/>
      <c r="B1352" s="19"/>
      <c r="C1352" s="19"/>
      <c r="D1352" s="27"/>
      <c r="E1352" s="27"/>
      <c r="F1352" s="28"/>
      <c r="G1352" s="31" t="str">
        <f t="shared" si="2"/>
        <v/>
      </c>
      <c r="H1352" s="30"/>
      <c r="I1352" s="21" t="str">
        <f t="shared" si="1"/>
        <v/>
      </c>
      <c r="J1352" s="19"/>
    </row>
    <row r="1353" ht="15.75" customHeight="1">
      <c r="A1353" s="3"/>
      <c r="B1353" s="19"/>
      <c r="C1353" s="19"/>
      <c r="D1353" s="27"/>
      <c r="E1353" s="27"/>
      <c r="F1353" s="28"/>
      <c r="G1353" s="31" t="str">
        <f t="shared" si="2"/>
        <v/>
      </c>
      <c r="H1353" s="30"/>
      <c r="I1353" s="21" t="str">
        <f t="shared" si="1"/>
        <v/>
      </c>
      <c r="J1353" s="19"/>
    </row>
    <row r="1354" ht="15.75" customHeight="1">
      <c r="A1354" s="3"/>
      <c r="B1354" s="19"/>
      <c r="C1354" s="19"/>
      <c r="D1354" s="27"/>
      <c r="E1354" s="27"/>
      <c r="F1354" s="28"/>
      <c r="G1354" s="31" t="str">
        <f t="shared" si="2"/>
        <v/>
      </c>
      <c r="H1354" s="30"/>
      <c r="I1354" s="21" t="str">
        <f t="shared" si="1"/>
        <v/>
      </c>
      <c r="J1354" s="19"/>
    </row>
    <row r="1355" ht="15.75" customHeight="1">
      <c r="A1355" s="3"/>
      <c r="B1355" s="19"/>
      <c r="C1355" s="19"/>
      <c r="D1355" s="27"/>
      <c r="E1355" s="27"/>
      <c r="F1355" s="28"/>
      <c r="G1355" s="31" t="str">
        <f t="shared" si="2"/>
        <v/>
      </c>
      <c r="H1355" s="30"/>
      <c r="I1355" s="21" t="str">
        <f t="shared" si="1"/>
        <v/>
      </c>
      <c r="J1355" s="19"/>
    </row>
    <row r="1356" ht="15.75" customHeight="1">
      <c r="A1356" s="3"/>
      <c r="B1356" s="19"/>
      <c r="C1356" s="19"/>
      <c r="D1356" s="27"/>
      <c r="E1356" s="27"/>
      <c r="F1356" s="28"/>
      <c r="G1356" s="31" t="str">
        <f t="shared" si="2"/>
        <v/>
      </c>
      <c r="H1356" s="30"/>
      <c r="I1356" s="21" t="str">
        <f t="shared" si="1"/>
        <v/>
      </c>
      <c r="J1356" s="19"/>
    </row>
    <row r="1357" ht="15.75" customHeight="1">
      <c r="A1357" s="3"/>
      <c r="B1357" s="19"/>
      <c r="C1357" s="19"/>
      <c r="D1357" s="27"/>
      <c r="E1357" s="27"/>
      <c r="F1357" s="28"/>
      <c r="G1357" s="31" t="str">
        <f t="shared" si="2"/>
        <v/>
      </c>
      <c r="H1357" s="30"/>
      <c r="I1357" s="21" t="str">
        <f t="shared" si="1"/>
        <v/>
      </c>
      <c r="J1357" s="19"/>
    </row>
    <row r="1358" ht="15.75" customHeight="1">
      <c r="A1358" s="3"/>
      <c r="B1358" s="19"/>
      <c r="C1358" s="19"/>
      <c r="D1358" s="27"/>
      <c r="E1358" s="27"/>
      <c r="F1358" s="28"/>
      <c r="G1358" s="31" t="str">
        <f t="shared" si="2"/>
        <v/>
      </c>
      <c r="H1358" s="30"/>
      <c r="I1358" s="21" t="str">
        <f t="shared" si="1"/>
        <v/>
      </c>
      <c r="J1358" s="19"/>
    </row>
    <row r="1359" ht="15.75" customHeight="1">
      <c r="A1359" s="3"/>
      <c r="B1359" s="19"/>
      <c r="C1359" s="19"/>
      <c r="D1359" s="27"/>
      <c r="E1359" s="27"/>
      <c r="F1359" s="28"/>
      <c r="G1359" s="31" t="str">
        <f t="shared" si="2"/>
        <v/>
      </c>
      <c r="H1359" s="30"/>
      <c r="I1359" s="21" t="str">
        <f t="shared" si="1"/>
        <v/>
      </c>
      <c r="J1359" s="19"/>
    </row>
    <row r="1360" ht="15.75" customHeight="1">
      <c r="A1360" s="3"/>
      <c r="B1360" s="19"/>
      <c r="C1360" s="19"/>
      <c r="D1360" s="27"/>
      <c r="E1360" s="27"/>
      <c r="F1360" s="28"/>
      <c r="G1360" s="31" t="str">
        <f t="shared" si="2"/>
        <v/>
      </c>
      <c r="H1360" s="30"/>
      <c r="I1360" s="21" t="str">
        <f t="shared" si="1"/>
        <v/>
      </c>
      <c r="J1360" s="19"/>
    </row>
    <row r="1361" ht="15.75" customHeight="1">
      <c r="A1361" s="3"/>
      <c r="B1361" s="19"/>
      <c r="C1361" s="19"/>
      <c r="D1361" s="27"/>
      <c r="E1361" s="27"/>
      <c r="F1361" s="28"/>
      <c r="G1361" s="31" t="str">
        <f t="shared" si="2"/>
        <v/>
      </c>
      <c r="H1361" s="30"/>
      <c r="I1361" s="21" t="str">
        <f t="shared" si="1"/>
        <v/>
      </c>
      <c r="J1361" s="19"/>
    </row>
    <row r="1362" ht="15.75" customHeight="1">
      <c r="A1362" s="3"/>
      <c r="B1362" s="19"/>
      <c r="C1362" s="19"/>
      <c r="D1362" s="27"/>
      <c r="E1362" s="27"/>
      <c r="F1362" s="28"/>
      <c r="G1362" s="31" t="str">
        <f t="shared" si="2"/>
        <v/>
      </c>
      <c r="H1362" s="30"/>
      <c r="I1362" s="21" t="str">
        <f t="shared" si="1"/>
        <v/>
      </c>
      <c r="J1362" s="19"/>
    </row>
    <row r="1363" ht="15.75" customHeight="1">
      <c r="A1363" s="3"/>
      <c r="B1363" s="19"/>
      <c r="C1363" s="19"/>
      <c r="D1363" s="27"/>
      <c r="E1363" s="27"/>
      <c r="F1363" s="28"/>
      <c r="G1363" s="31" t="str">
        <f t="shared" si="2"/>
        <v/>
      </c>
      <c r="H1363" s="30"/>
      <c r="I1363" s="21" t="str">
        <f t="shared" si="1"/>
        <v/>
      </c>
      <c r="J1363" s="19"/>
    </row>
    <row r="1364" ht="15.75" customHeight="1">
      <c r="A1364" s="3"/>
      <c r="B1364" s="19"/>
      <c r="C1364" s="19"/>
      <c r="D1364" s="27"/>
      <c r="E1364" s="27"/>
      <c r="F1364" s="28"/>
      <c r="G1364" s="31" t="str">
        <f t="shared" si="2"/>
        <v/>
      </c>
      <c r="H1364" s="30"/>
      <c r="I1364" s="21" t="str">
        <f t="shared" si="1"/>
        <v/>
      </c>
      <c r="J1364" s="19"/>
    </row>
    <row r="1365" ht="15.75" customHeight="1">
      <c r="A1365" s="3"/>
      <c r="B1365" s="19"/>
      <c r="C1365" s="19"/>
      <c r="D1365" s="27"/>
      <c r="E1365" s="27"/>
      <c r="F1365" s="28"/>
      <c r="G1365" s="31" t="str">
        <f t="shared" si="2"/>
        <v/>
      </c>
      <c r="H1365" s="30"/>
      <c r="I1365" s="21" t="str">
        <f t="shared" si="1"/>
        <v/>
      </c>
      <c r="J1365" s="19"/>
    </row>
    <row r="1366" ht="15.75" customHeight="1">
      <c r="A1366" s="3"/>
      <c r="B1366" s="19"/>
      <c r="C1366" s="19"/>
      <c r="D1366" s="27"/>
      <c r="E1366" s="27"/>
      <c r="F1366" s="28"/>
      <c r="G1366" s="31" t="str">
        <f t="shared" si="2"/>
        <v/>
      </c>
      <c r="H1366" s="30"/>
      <c r="I1366" s="21" t="str">
        <f t="shared" si="1"/>
        <v/>
      </c>
      <c r="J1366" s="19"/>
    </row>
    <row r="1367" ht="15.75" customHeight="1">
      <c r="A1367" s="3"/>
      <c r="B1367" s="19"/>
      <c r="C1367" s="19"/>
      <c r="D1367" s="27"/>
      <c r="E1367" s="27"/>
      <c r="F1367" s="28"/>
      <c r="G1367" s="31" t="str">
        <f t="shared" si="2"/>
        <v/>
      </c>
      <c r="H1367" s="30"/>
      <c r="I1367" s="21" t="str">
        <f t="shared" si="1"/>
        <v/>
      </c>
      <c r="J1367" s="19"/>
    </row>
    <row r="1368" ht="15.75" customHeight="1">
      <c r="A1368" s="3"/>
      <c r="B1368" s="19"/>
      <c r="C1368" s="19"/>
      <c r="D1368" s="27"/>
      <c r="E1368" s="27"/>
      <c r="F1368" s="28"/>
      <c r="G1368" s="31" t="str">
        <f t="shared" si="2"/>
        <v/>
      </c>
      <c r="H1368" s="30"/>
      <c r="I1368" s="21" t="str">
        <f t="shared" si="1"/>
        <v/>
      </c>
      <c r="J1368" s="19"/>
    </row>
    <row r="1369" ht="15.75" customHeight="1">
      <c r="A1369" s="3"/>
      <c r="B1369" s="19"/>
      <c r="C1369" s="19"/>
      <c r="D1369" s="27"/>
      <c r="E1369" s="27"/>
      <c r="F1369" s="28"/>
      <c r="G1369" s="31" t="str">
        <f t="shared" si="2"/>
        <v/>
      </c>
      <c r="H1369" s="30"/>
      <c r="I1369" s="21" t="str">
        <f t="shared" si="1"/>
        <v/>
      </c>
      <c r="J1369" s="19"/>
    </row>
    <row r="1370" ht="15.75" customHeight="1">
      <c r="A1370" s="3"/>
      <c r="B1370" s="19"/>
      <c r="C1370" s="19"/>
      <c r="D1370" s="27"/>
      <c r="E1370" s="27"/>
      <c r="F1370" s="28"/>
      <c r="G1370" s="31" t="str">
        <f t="shared" si="2"/>
        <v/>
      </c>
      <c r="H1370" s="30"/>
      <c r="I1370" s="21" t="str">
        <f t="shared" si="1"/>
        <v/>
      </c>
      <c r="J1370" s="19"/>
    </row>
    <row r="1371" ht="15.75" customHeight="1">
      <c r="A1371" s="3"/>
      <c r="B1371" s="19"/>
      <c r="C1371" s="19"/>
      <c r="D1371" s="27"/>
      <c r="E1371" s="27"/>
      <c r="F1371" s="28"/>
      <c r="G1371" s="31" t="str">
        <f t="shared" si="2"/>
        <v/>
      </c>
      <c r="H1371" s="30"/>
      <c r="I1371" s="21" t="str">
        <f t="shared" si="1"/>
        <v/>
      </c>
      <c r="J1371" s="19"/>
    </row>
    <row r="1372" ht="15.75" customHeight="1">
      <c r="A1372" s="3"/>
      <c r="B1372" s="19"/>
      <c r="C1372" s="19"/>
      <c r="D1372" s="27"/>
      <c r="E1372" s="27"/>
      <c r="F1372" s="28"/>
      <c r="G1372" s="31" t="str">
        <f t="shared" si="2"/>
        <v/>
      </c>
      <c r="H1372" s="30"/>
      <c r="I1372" s="21" t="str">
        <f t="shared" si="1"/>
        <v/>
      </c>
      <c r="J1372" s="19"/>
    </row>
    <row r="1373" ht="15.75" customHeight="1">
      <c r="A1373" s="3"/>
      <c r="B1373" s="19"/>
      <c r="C1373" s="19"/>
      <c r="D1373" s="27"/>
      <c r="E1373" s="27"/>
      <c r="F1373" s="28"/>
      <c r="G1373" s="31" t="str">
        <f t="shared" si="2"/>
        <v/>
      </c>
      <c r="H1373" s="30"/>
      <c r="I1373" s="21" t="str">
        <f t="shared" si="1"/>
        <v/>
      </c>
      <c r="J1373" s="19"/>
    </row>
    <row r="1374" ht="15.75" customHeight="1">
      <c r="A1374" s="3"/>
      <c r="B1374" s="19"/>
      <c r="C1374" s="19"/>
      <c r="D1374" s="27"/>
      <c r="E1374" s="27"/>
      <c r="F1374" s="28"/>
      <c r="G1374" s="31" t="str">
        <f t="shared" si="2"/>
        <v/>
      </c>
      <c r="H1374" s="30"/>
      <c r="I1374" s="21" t="str">
        <f t="shared" si="1"/>
        <v/>
      </c>
      <c r="J1374" s="19"/>
    </row>
    <row r="1375" ht="15.75" customHeight="1">
      <c r="A1375" s="3"/>
      <c r="B1375" s="19"/>
      <c r="C1375" s="19"/>
      <c r="D1375" s="27"/>
      <c r="E1375" s="27"/>
      <c r="F1375" s="28"/>
      <c r="G1375" s="31" t="str">
        <f t="shared" si="2"/>
        <v/>
      </c>
      <c r="H1375" s="30"/>
      <c r="I1375" s="21" t="str">
        <f t="shared" si="1"/>
        <v/>
      </c>
      <c r="J1375" s="19"/>
    </row>
    <row r="1376" ht="15.75" customHeight="1">
      <c r="A1376" s="3"/>
      <c r="B1376" s="19"/>
      <c r="C1376" s="19"/>
      <c r="D1376" s="27"/>
      <c r="E1376" s="27"/>
      <c r="F1376" s="28"/>
      <c r="G1376" s="31" t="str">
        <f t="shared" si="2"/>
        <v/>
      </c>
      <c r="H1376" s="30"/>
      <c r="I1376" s="21" t="str">
        <f t="shared" si="1"/>
        <v/>
      </c>
      <c r="J1376" s="19"/>
    </row>
    <row r="1377" ht="15.75" customHeight="1">
      <c r="A1377" s="3"/>
      <c r="B1377" s="19"/>
      <c r="C1377" s="19"/>
      <c r="D1377" s="27"/>
      <c r="E1377" s="27"/>
      <c r="F1377" s="28"/>
      <c r="G1377" s="31" t="str">
        <f t="shared" si="2"/>
        <v/>
      </c>
      <c r="H1377" s="30"/>
      <c r="I1377" s="21" t="str">
        <f t="shared" si="1"/>
        <v/>
      </c>
      <c r="J1377" s="19"/>
    </row>
    <row r="1378" ht="15.75" customHeight="1">
      <c r="A1378" s="3"/>
      <c r="B1378" s="19"/>
      <c r="C1378" s="19"/>
      <c r="D1378" s="27"/>
      <c r="E1378" s="27"/>
      <c r="F1378" s="28"/>
      <c r="G1378" s="31" t="str">
        <f t="shared" si="2"/>
        <v/>
      </c>
      <c r="H1378" s="30"/>
      <c r="I1378" s="21" t="str">
        <f t="shared" si="1"/>
        <v/>
      </c>
      <c r="J1378" s="19"/>
    </row>
    <row r="1379" ht="15.75" customHeight="1">
      <c r="A1379" s="3"/>
      <c r="B1379" s="19"/>
      <c r="C1379" s="19"/>
      <c r="D1379" s="27"/>
      <c r="E1379" s="27"/>
      <c r="F1379" s="28"/>
      <c r="G1379" s="31" t="str">
        <f t="shared" si="2"/>
        <v/>
      </c>
      <c r="H1379" s="30"/>
      <c r="I1379" s="21" t="str">
        <f t="shared" si="1"/>
        <v/>
      </c>
      <c r="J1379" s="19"/>
    </row>
    <row r="1380" ht="15.75" customHeight="1">
      <c r="A1380" s="3"/>
      <c r="B1380" s="19"/>
      <c r="C1380" s="19"/>
      <c r="D1380" s="27"/>
      <c r="E1380" s="27"/>
      <c r="F1380" s="28"/>
      <c r="G1380" s="31" t="str">
        <f t="shared" si="2"/>
        <v/>
      </c>
      <c r="H1380" s="30"/>
      <c r="I1380" s="21" t="str">
        <f t="shared" si="1"/>
        <v/>
      </c>
      <c r="J1380" s="19"/>
    </row>
    <row r="1381" ht="15.75" customHeight="1">
      <c r="A1381" s="3"/>
      <c r="B1381" s="19"/>
      <c r="C1381" s="19"/>
      <c r="D1381" s="27"/>
      <c r="E1381" s="27"/>
      <c r="F1381" s="28"/>
      <c r="G1381" s="31" t="str">
        <f t="shared" si="2"/>
        <v/>
      </c>
      <c r="H1381" s="30"/>
      <c r="I1381" s="21" t="str">
        <f t="shared" si="1"/>
        <v/>
      </c>
      <c r="J1381" s="19"/>
    </row>
    <row r="1382" ht="15.75" customHeight="1">
      <c r="A1382" s="3"/>
      <c r="B1382" s="19"/>
      <c r="C1382" s="19"/>
      <c r="D1382" s="27"/>
      <c r="E1382" s="27"/>
      <c r="F1382" s="28"/>
      <c r="G1382" s="31" t="str">
        <f t="shared" si="2"/>
        <v/>
      </c>
      <c r="H1382" s="30"/>
      <c r="I1382" s="21" t="str">
        <f t="shared" si="1"/>
        <v/>
      </c>
      <c r="J1382" s="19"/>
    </row>
    <row r="1383" ht="15.75" customHeight="1">
      <c r="A1383" s="3"/>
      <c r="B1383" s="19"/>
      <c r="C1383" s="19"/>
      <c r="D1383" s="27"/>
      <c r="E1383" s="27"/>
      <c r="F1383" s="28"/>
      <c r="G1383" s="31" t="str">
        <f t="shared" si="2"/>
        <v/>
      </c>
      <c r="H1383" s="30"/>
      <c r="I1383" s="21" t="str">
        <f t="shared" si="1"/>
        <v/>
      </c>
      <c r="J1383" s="19"/>
    </row>
    <row r="1384" ht="15.75" customHeight="1">
      <c r="A1384" s="3"/>
      <c r="B1384" s="19"/>
      <c r="C1384" s="19"/>
      <c r="D1384" s="27"/>
      <c r="E1384" s="27"/>
      <c r="F1384" s="28"/>
      <c r="G1384" s="31" t="str">
        <f t="shared" si="2"/>
        <v/>
      </c>
      <c r="H1384" s="30"/>
      <c r="I1384" s="21" t="str">
        <f t="shared" si="1"/>
        <v/>
      </c>
      <c r="J1384" s="19"/>
    </row>
    <row r="1385" ht="15.75" customHeight="1">
      <c r="A1385" s="3"/>
      <c r="B1385" s="19"/>
      <c r="C1385" s="19"/>
      <c r="D1385" s="27"/>
      <c r="E1385" s="27"/>
      <c r="F1385" s="28"/>
      <c r="G1385" s="31" t="str">
        <f t="shared" si="2"/>
        <v/>
      </c>
      <c r="H1385" s="30"/>
      <c r="I1385" s="21" t="str">
        <f t="shared" si="1"/>
        <v/>
      </c>
      <c r="J1385" s="19"/>
    </row>
    <row r="1386" ht="15.75" customHeight="1">
      <c r="A1386" s="3"/>
      <c r="B1386" s="19"/>
      <c r="C1386" s="19"/>
      <c r="D1386" s="27"/>
      <c r="E1386" s="27"/>
      <c r="F1386" s="28"/>
      <c r="G1386" s="31" t="str">
        <f t="shared" si="2"/>
        <v/>
      </c>
      <c r="H1386" s="30"/>
      <c r="I1386" s="21" t="str">
        <f t="shared" si="1"/>
        <v/>
      </c>
      <c r="J1386" s="19"/>
    </row>
    <row r="1387" ht="15.75" customHeight="1">
      <c r="A1387" s="3"/>
      <c r="B1387" s="19"/>
      <c r="C1387" s="19"/>
      <c r="D1387" s="27"/>
      <c r="E1387" s="27"/>
      <c r="F1387" s="28"/>
      <c r="G1387" s="31" t="str">
        <f t="shared" si="2"/>
        <v/>
      </c>
      <c r="H1387" s="30"/>
      <c r="I1387" s="21" t="str">
        <f t="shared" si="1"/>
        <v/>
      </c>
      <c r="J1387" s="19"/>
    </row>
    <row r="1388" ht="15.75" customHeight="1">
      <c r="A1388" s="3"/>
      <c r="B1388" s="19"/>
      <c r="C1388" s="19"/>
      <c r="D1388" s="27"/>
      <c r="E1388" s="27"/>
      <c r="F1388" s="28"/>
      <c r="G1388" s="31" t="str">
        <f t="shared" si="2"/>
        <v/>
      </c>
      <c r="H1388" s="30"/>
      <c r="I1388" s="21" t="str">
        <f t="shared" si="1"/>
        <v/>
      </c>
      <c r="J1388" s="19"/>
    </row>
    <row r="1389" ht="15.75" customHeight="1">
      <c r="A1389" s="3"/>
      <c r="B1389" s="19"/>
      <c r="C1389" s="19"/>
      <c r="D1389" s="27"/>
      <c r="E1389" s="27"/>
      <c r="F1389" s="28"/>
      <c r="G1389" s="31" t="str">
        <f t="shared" si="2"/>
        <v/>
      </c>
      <c r="H1389" s="30"/>
      <c r="I1389" s="21" t="str">
        <f t="shared" si="1"/>
        <v/>
      </c>
      <c r="J1389" s="19"/>
    </row>
    <row r="1390" ht="15.75" customHeight="1">
      <c r="A1390" s="3"/>
      <c r="B1390" s="19"/>
      <c r="C1390" s="19"/>
      <c r="D1390" s="27"/>
      <c r="E1390" s="27"/>
      <c r="F1390" s="28"/>
      <c r="G1390" s="31" t="str">
        <f t="shared" si="2"/>
        <v/>
      </c>
      <c r="H1390" s="30"/>
      <c r="I1390" s="21" t="str">
        <f t="shared" si="1"/>
        <v/>
      </c>
      <c r="J1390" s="19"/>
    </row>
    <row r="1391" ht="15.75" customHeight="1">
      <c r="A1391" s="3"/>
      <c r="B1391" s="19"/>
      <c r="C1391" s="19"/>
      <c r="D1391" s="27"/>
      <c r="E1391" s="27"/>
      <c r="F1391" s="28"/>
      <c r="G1391" s="31" t="str">
        <f t="shared" si="2"/>
        <v/>
      </c>
      <c r="H1391" s="30"/>
      <c r="I1391" s="21" t="str">
        <f t="shared" si="1"/>
        <v/>
      </c>
      <c r="J1391" s="19"/>
    </row>
    <row r="1392" ht="15.75" customHeight="1">
      <c r="A1392" s="3"/>
      <c r="B1392" s="19"/>
      <c r="C1392" s="19"/>
      <c r="D1392" s="27"/>
      <c r="E1392" s="27"/>
      <c r="F1392" s="28"/>
      <c r="G1392" s="31" t="str">
        <f t="shared" si="2"/>
        <v/>
      </c>
      <c r="H1392" s="30"/>
      <c r="I1392" s="21" t="str">
        <f t="shared" si="1"/>
        <v/>
      </c>
      <c r="J1392" s="19"/>
    </row>
    <row r="1393" ht="15.75" customHeight="1">
      <c r="A1393" s="3"/>
      <c r="B1393" s="19"/>
      <c r="C1393" s="19"/>
      <c r="D1393" s="27"/>
      <c r="E1393" s="27"/>
      <c r="F1393" s="28"/>
      <c r="G1393" s="31" t="str">
        <f t="shared" si="2"/>
        <v/>
      </c>
      <c r="H1393" s="30"/>
      <c r="I1393" s="21" t="str">
        <f t="shared" si="1"/>
        <v/>
      </c>
      <c r="J1393" s="19"/>
    </row>
    <row r="1394" ht="15.75" customHeight="1">
      <c r="A1394" s="3"/>
      <c r="B1394" s="19"/>
      <c r="C1394" s="19"/>
      <c r="D1394" s="27"/>
      <c r="E1394" s="27"/>
      <c r="F1394" s="28"/>
      <c r="G1394" s="31" t="str">
        <f t="shared" si="2"/>
        <v/>
      </c>
      <c r="H1394" s="30"/>
      <c r="I1394" s="21" t="str">
        <f t="shared" si="1"/>
        <v/>
      </c>
      <c r="J1394" s="19"/>
    </row>
    <row r="1395" ht="15.75" customHeight="1">
      <c r="A1395" s="3"/>
      <c r="B1395" s="19"/>
      <c r="C1395" s="19"/>
      <c r="D1395" s="27"/>
      <c r="E1395" s="27"/>
      <c r="F1395" s="28"/>
      <c r="G1395" s="31" t="str">
        <f t="shared" si="2"/>
        <v/>
      </c>
      <c r="H1395" s="30"/>
      <c r="I1395" s="21" t="str">
        <f t="shared" si="1"/>
        <v/>
      </c>
      <c r="J1395" s="19"/>
    </row>
    <row r="1396" ht="15.75" customHeight="1">
      <c r="A1396" s="3"/>
      <c r="B1396" s="19"/>
      <c r="C1396" s="19"/>
      <c r="D1396" s="27"/>
      <c r="E1396" s="27"/>
      <c r="F1396" s="28"/>
      <c r="G1396" s="31" t="str">
        <f t="shared" si="2"/>
        <v/>
      </c>
      <c r="H1396" s="30"/>
      <c r="I1396" s="21" t="str">
        <f t="shared" si="1"/>
        <v/>
      </c>
      <c r="J1396" s="19"/>
    </row>
    <row r="1397" ht="15.75" customHeight="1">
      <c r="A1397" s="3"/>
      <c r="B1397" s="19"/>
      <c r="C1397" s="19"/>
      <c r="D1397" s="27"/>
      <c r="E1397" s="27"/>
      <c r="F1397" s="28"/>
      <c r="G1397" s="31" t="str">
        <f t="shared" si="2"/>
        <v/>
      </c>
      <c r="H1397" s="30"/>
      <c r="I1397" s="21" t="str">
        <f t="shared" si="1"/>
        <v/>
      </c>
      <c r="J1397" s="19"/>
    </row>
    <row r="1398" ht="15.75" customHeight="1">
      <c r="A1398" s="3"/>
      <c r="B1398" s="19"/>
      <c r="C1398" s="19"/>
      <c r="D1398" s="27"/>
      <c r="E1398" s="27"/>
      <c r="F1398" s="28"/>
      <c r="G1398" s="31" t="str">
        <f t="shared" si="2"/>
        <v/>
      </c>
      <c r="H1398" s="30"/>
      <c r="I1398" s="21" t="str">
        <f t="shared" si="1"/>
        <v/>
      </c>
      <c r="J1398" s="19"/>
    </row>
    <row r="1399" ht="15.75" customHeight="1">
      <c r="A1399" s="3"/>
      <c r="B1399" s="19"/>
      <c r="C1399" s="19"/>
      <c r="D1399" s="27"/>
      <c r="E1399" s="27"/>
      <c r="F1399" s="28"/>
      <c r="G1399" s="31" t="str">
        <f t="shared" si="2"/>
        <v/>
      </c>
      <c r="H1399" s="30"/>
      <c r="I1399" s="21" t="str">
        <f t="shared" si="1"/>
        <v/>
      </c>
      <c r="J1399" s="19"/>
    </row>
    <row r="1400" ht="15.75" customHeight="1">
      <c r="A1400" s="3"/>
      <c r="B1400" s="19"/>
      <c r="C1400" s="19"/>
      <c r="D1400" s="27"/>
      <c r="E1400" s="27"/>
      <c r="F1400" s="28"/>
      <c r="G1400" s="31" t="str">
        <f t="shared" si="2"/>
        <v/>
      </c>
      <c r="H1400" s="30"/>
      <c r="I1400" s="21" t="str">
        <f t="shared" si="1"/>
        <v/>
      </c>
      <c r="J1400" s="19"/>
    </row>
    <row r="1401" ht="15.75" customHeight="1">
      <c r="A1401" s="3"/>
      <c r="B1401" s="19"/>
      <c r="C1401" s="19"/>
      <c r="D1401" s="27"/>
      <c r="E1401" s="27"/>
      <c r="F1401" s="28"/>
      <c r="G1401" s="31" t="str">
        <f t="shared" si="2"/>
        <v/>
      </c>
      <c r="H1401" s="30"/>
      <c r="I1401" s="21" t="str">
        <f t="shared" si="1"/>
        <v/>
      </c>
      <c r="J1401" s="19"/>
    </row>
    <row r="1402" ht="15.75" customHeight="1">
      <c r="A1402" s="3"/>
      <c r="B1402" s="19"/>
      <c r="C1402" s="19"/>
      <c r="D1402" s="27"/>
      <c r="E1402" s="27"/>
      <c r="F1402" s="28"/>
      <c r="G1402" s="31" t="str">
        <f t="shared" si="2"/>
        <v/>
      </c>
      <c r="H1402" s="30"/>
      <c r="I1402" s="21" t="str">
        <f t="shared" si="1"/>
        <v/>
      </c>
      <c r="J1402" s="19"/>
    </row>
    <row r="1403" ht="15.75" customHeight="1">
      <c r="A1403" s="3"/>
      <c r="B1403" s="19"/>
      <c r="C1403" s="19"/>
      <c r="D1403" s="27"/>
      <c r="E1403" s="27"/>
      <c r="F1403" s="28"/>
      <c r="G1403" s="31" t="str">
        <f t="shared" si="2"/>
        <v/>
      </c>
      <c r="H1403" s="30"/>
      <c r="I1403" s="21" t="str">
        <f t="shared" si="1"/>
        <v/>
      </c>
      <c r="J1403" s="19"/>
    </row>
    <row r="1404" ht="15.75" customHeight="1">
      <c r="A1404" s="3"/>
      <c r="B1404" s="19"/>
      <c r="C1404" s="19"/>
      <c r="D1404" s="27"/>
      <c r="E1404" s="27"/>
      <c r="F1404" s="28"/>
      <c r="G1404" s="31" t="str">
        <f t="shared" si="2"/>
        <v/>
      </c>
      <c r="H1404" s="30"/>
      <c r="I1404" s="21" t="str">
        <f t="shared" si="1"/>
        <v/>
      </c>
      <c r="J1404" s="19"/>
    </row>
    <row r="1405" ht="15.75" customHeight="1">
      <c r="A1405" s="3"/>
      <c r="B1405" s="19"/>
      <c r="C1405" s="19"/>
      <c r="D1405" s="27"/>
      <c r="E1405" s="27"/>
      <c r="F1405" s="28"/>
      <c r="G1405" s="31" t="str">
        <f t="shared" si="2"/>
        <v/>
      </c>
      <c r="H1405" s="30"/>
      <c r="I1405" s="21" t="str">
        <f t="shared" si="1"/>
        <v/>
      </c>
      <c r="J1405" s="19"/>
    </row>
    <row r="1406" ht="15.75" customHeight="1">
      <c r="A1406" s="3"/>
      <c r="B1406" s="19"/>
      <c r="C1406" s="19"/>
      <c r="D1406" s="27"/>
      <c r="E1406" s="27"/>
      <c r="F1406" s="28"/>
      <c r="G1406" s="31" t="str">
        <f t="shared" si="2"/>
        <v/>
      </c>
      <c r="H1406" s="30"/>
      <c r="I1406" s="21" t="str">
        <f t="shared" si="1"/>
        <v/>
      </c>
      <c r="J1406" s="19"/>
    </row>
    <row r="1407" ht="15.75" customHeight="1">
      <c r="A1407" s="3"/>
      <c r="B1407" s="19"/>
      <c r="C1407" s="19"/>
      <c r="D1407" s="27"/>
      <c r="E1407" s="27"/>
      <c r="F1407" s="28"/>
      <c r="G1407" s="31" t="str">
        <f t="shared" si="2"/>
        <v/>
      </c>
      <c r="H1407" s="30"/>
      <c r="I1407" s="21" t="str">
        <f t="shared" si="1"/>
        <v/>
      </c>
      <c r="J1407" s="19"/>
    </row>
    <row r="1408" ht="15.75" customHeight="1">
      <c r="A1408" s="3"/>
      <c r="B1408" s="19"/>
      <c r="C1408" s="19"/>
      <c r="D1408" s="27"/>
      <c r="E1408" s="27"/>
      <c r="F1408" s="28"/>
      <c r="G1408" s="31" t="str">
        <f t="shared" si="2"/>
        <v/>
      </c>
      <c r="H1408" s="30"/>
      <c r="I1408" s="21" t="str">
        <f t="shared" si="1"/>
        <v/>
      </c>
      <c r="J1408" s="19"/>
    </row>
    <row r="1409" ht="15.75" customHeight="1">
      <c r="A1409" s="3"/>
      <c r="B1409" s="19"/>
      <c r="C1409" s="19"/>
      <c r="D1409" s="27"/>
      <c r="E1409" s="27"/>
      <c r="F1409" s="28"/>
      <c r="G1409" s="31" t="str">
        <f t="shared" si="2"/>
        <v/>
      </c>
      <c r="H1409" s="30"/>
      <c r="I1409" s="21" t="str">
        <f t="shared" si="1"/>
        <v/>
      </c>
      <c r="J1409" s="19"/>
    </row>
    <row r="1410" ht="15.75" customHeight="1">
      <c r="A1410" s="3"/>
      <c r="B1410" s="19"/>
      <c r="C1410" s="19"/>
      <c r="D1410" s="27"/>
      <c r="E1410" s="27"/>
      <c r="F1410" s="28"/>
      <c r="G1410" s="31" t="str">
        <f t="shared" si="2"/>
        <v/>
      </c>
      <c r="H1410" s="30"/>
      <c r="I1410" s="21" t="str">
        <f t="shared" si="1"/>
        <v/>
      </c>
      <c r="J1410" s="19"/>
    </row>
    <row r="1411" ht="15.75" customHeight="1">
      <c r="A1411" s="3"/>
      <c r="B1411" s="19"/>
      <c r="C1411" s="19"/>
      <c r="D1411" s="27"/>
      <c r="E1411" s="27"/>
      <c r="F1411" s="28"/>
      <c r="G1411" s="31" t="str">
        <f t="shared" si="2"/>
        <v/>
      </c>
      <c r="H1411" s="30"/>
      <c r="I1411" s="21" t="str">
        <f t="shared" si="1"/>
        <v/>
      </c>
      <c r="J1411" s="19"/>
    </row>
    <row r="1412" ht="15.75" customHeight="1">
      <c r="A1412" s="3"/>
      <c r="B1412" s="19"/>
      <c r="C1412" s="19"/>
      <c r="D1412" s="27"/>
      <c r="E1412" s="27"/>
      <c r="F1412" s="28"/>
      <c r="G1412" s="31" t="str">
        <f t="shared" si="2"/>
        <v/>
      </c>
      <c r="H1412" s="30"/>
      <c r="I1412" s="21" t="str">
        <f t="shared" si="1"/>
        <v/>
      </c>
      <c r="J1412" s="19"/>
    </row>
    <row r="1413" ht="15.75" customHeight="1">
      <c r="A1413" s="3"/>
      <c r="B1413" s="19"/>
      <c r="C1413" s="19"/>
      <c r="D1413" s="27"/>
      <c r="E1413" s="27"/>
      <c r="F1413" s="28"/>
      <c r="G1413" s="31" t="str">
        <f t="shared" si="2"/>
        <v/>
      </c>
      <c r="H1413" s="30"/>
      <c r="I1413" s="21" t="str">
        <f t="shared" si="1"/>
        <v/>
      </c>
      <c r="J1413" s="19"/>
    </row>
    <row r="1414" ht="15.75" customHeight="1">
      <c r="A1414" s="3"/>
      <c r="B1414" s="19"/>
      <c r="C1414" s="19"/>
      <c r="D1414" s="27"/>
      <c r="E1414" s="27"/>
      <c r="F1414" s="28"/>
      <c r="G1414" s="31" t="str">
        <f t="shared" si="2"/>
        <v/>
      </c>
      <c r="H1414" s="30"/>
      <c r="I1414" s="21" t="str">
        <f t="shared" si="1"/>
        <v/>
      </c>
      <c r="J1414" s="19"/>
    </row>
    <row r="1415" ht="15.75" customHeight="1">
      <c r="A1415" s="3"/>
      <c r="B1415" s="19"/>
      <c r="C1415" s="19"/>
      <c r="D1415" s="27"/>
      <c r="E1415" s="27"/>
      <c r="F1415" s="28"/>
      <c r="G1415" s="31" t="str">
        <f t="shared" si="2"/>
        <v/>
      </c>
      <c r="H1415" s="30"/>
      <c r="I1415" s="21" t="str">
        <f t="shared" si="1"/>
        <v/>
      </c>
      <c r="J1415" s="19"/>
    </row>
    <row r="1416" ht="15.75" customHeight="1">
      <c r="A1416" s="3"/>
      <c r="B1416" s="19"/>
      <c r="C1416" s="19"/>
      <c r="D1416" s="27"/>
      <c r="E1416" s="27"/>
      <c r="F1416" s="28"/>
      <c r="G1416" s="31" t="str">
        <f t="shared" si="2"/>
        <v/>
      </c>
      <c r="H1416" s="30"/>
      <c r="I1416" s="21" t="str">
        <f t="shared" si="1"/>
        <v/>
      </c>
      <c r="J1416" s="19"/>
    </row>
    <row r="1417" ht="15.75" customHeight="1">
      <c r="A1417" s="3"/>
      <c r="B1417" s="19"/>
      <c r="C1417" s="19"/>
      <c r="D1417" s="27"/>
      <c r="E1417" s="27"/>
      <c r="F1417" s="28"/>
      <c r="G1417" s="31" t="str">
        <f t="shared" si="2"/>
        <v/>
      </c>
      <c r="H1417" s="30"/>
      <c r="I1417" s="21" t="str">
        <f t="shared" si="1"/>
        <v/>
      </c>
      <c r="J1417" s="19"/>
    </row>
    <row r="1418" ht="15.75" customHeight="1">
      <c r="A1418" s="3"/>
      <c r="B1418" s="19"/>
      <c r="C1418" s="19"/>
      <c r="D1418" s="27"/>
      <c r="E1418" s="27"/>
      <c r="F1418" s="28"/>
      <c r="G1418" s="31" t="str">
        <f t="shared" si="2"/>
        <v/>
      </c>
      <c r="H1418" s="30"/>
      <c r="I1418" s="21" t="str">
        <f t="shared" si="1"/>
        <v/>
      </c>
      <c r="J1418" s="19"/>
    </row>
    <row r="1419" ht="15.75" customHeight="1">
      <c r="A1419" s="3"/>
      <c r="B1419" s="19"/>
      <c r="C1419" s="19"/>
      <c r="D1419" s="27"/>
      <c r="E1419" s="27"/>
      <c r="F1419" s="28"/>
      <c r="G1419" s="31" t="str">
        <f t="shared" si="2"/>
        <v/>
      </c>
      <c r="H1419" s="30"/>
      <c r="I1419" s="21" t="str">
        <f t="shared" si="1"/>
        <v/>
      </c>
      <c r="J1419" s="19"/>
    </row>
    <row r="1420" ht="15.75" customHeight="1">
      <c r="A1420" s="3"/>
      <c r="B1420" s="19"/>
      <c r="C1420" s="19"/>
      <c r="D1420" s="27"/>
      <c r="E1420" s="27"/>
      <c r="F1420" s="28"/>
      <c r="G1420" s="31" t="str">
        <f t="shared" si="2"/>
        <v/>
      </c>
      <c r="H1420" s="30"/>
      <c r="I1420" s="21" t="str">
        <f t="shared" si="1"/>
        <v/>
      </c>
      <c r="J1420" s="19"/>
    </row>
    <row r="1421" ht="15.75" customHeight="1">
      <c r="A1421" s="3"/>
      <c r="B1421" s="19"/>
      <c r="C1421" s="19"/>
      <c r="D1421" s="27"/>
      <c r="E1421" s="27"/>
      <c r="F1421" s="28"/>
      <c r="G1421" s="31" t="str">
        <f t="shared" si="2"/>
        <v/>
      </c>
      <c r="H1421" s="30"/>
      <c r="I1421" s="21" t="str">
        <f t="shared" si="1"/>
        <v/>
      </c>
      <c r="J1421" s="19"/>
    </row>
    <row r="1422" ht="15.75" customHeight="1">
      <c r="A1422" s="3"/>
      <c r="B1422" s="19"/>
      <c r="C1422" s="19"/>
      <c r="D1422" s="27"/>
      <c r="E1422" s="27"/>
      <c r="F1422" s="28"/>
      <c r="G1422" s="31" t="str">
        <f t="shared" si="2"/>
        <v/>
      </c>
      <c r="H1422" s="30"/>
      <c r="I1422" s="21" t="str">
        <f t="shared" si="1"/>
        <v/>
      </c>
      <c r="J1422" s="19"/>
    </row>
    <row r="1423" ht="15.75" customHeight="1">
      <c r="A1423" s="3"/>
      <c r="B1423" s="19"/>
      <c r="C1423" s="19"/>
      <c r="D1423" s="27"/>
      <c r="E1423" s="27"/>
      <c r="F1423" s="28"/>
      <c r="G1423" s="31" t="str">
        <f t="shared" si="2"/>
        <v/>
      </c>
      <c r="H1423" s="30"/>
      <c r="I1423" s="21" t="str">
        <f t="shared" si="1"/>
        <v/>
      </c>
      <c r="J1423" s="19"/>
    </row>
    <row r="1424" ht="15.75" customHeight="1">
      <c r="A1424" s="3"/>
      <c r="B1424" s="19"/>
      <c r="C1424" s="19"/>
      <c r="D1424" s="27"/>
      <c r="E1424" s="27"/>
      <c r="F1424" s="28"/>
      <c r="G1424" s="31" t="str">
        <f t="shared" si="2"/>
        <v/>
      </c>
      <c r="H1424" s="30"/>
      <c r="I1424" s="21" t="str">
        <f t="shared" si="1"/>
        <v/>
      </c>
      <c r="J1424" s="19"/>
    </row>
    <row r="1425" ht="15.75" customHeight="1">
      <c r="A1425" s="3"/>
      <c r="B1425" s="19"/>
      <c r="C1425" s="19"/>
      <c r="D1425" s="27"/>
      <c r="E1425" s="27"/>
      <c r="F1425" s="28"/>
      <c r="G1425" s="31" t="str">
        <f t="shared" si="2"/>
        <v/>
      </c>
      <c r="H1425" s="30"/>
      <c r="I1425" s="21" t="str">
        <f t="shared" si="1"/>
        <v/>
      </c>
      <c r="J1425" s="19"/>
    </row>
    <row r="1426" ht="15.75" customHeight="1">
      <c r="A1426" s="3"/>
      <c r="B1426" s="19"/>
      <c r="C1426" s="19"/>
      <c r="D1426" s="27"/>
      <c r="E1426" s="27"/>
      <c r="F1426" s="28"/>
      <c r="G1426" s="31" t="str">
        <f t="shared" si="2"/>
        <v/>
      </c>
      <c r="H1426" s="30"/>
      <c r="I1426" s="21" t="str">
        <f t="shared" si="1"/>
        <v/>
      </c>
      <c r="J1426" s="19"/>
    </row>
    <row r="1427" ht="15.75" customHeight="1">
      <c r="A1427" s="3"/>
      <c r="B1427" s="19"/>
      <c r="C1427" s="19"/>
      <c r="D1427" s="27"/>
      <c r="E1427" s="27"/>
      <c r="F1427" s="28"/>
      <c r="G1427" s="31" t="str">
        <f t="shared" si="2"/>
        <v/>
      </c>
      <c r="H1427" s="30"/>
      <c r="I1427" s="21" t="str">
        <f t="shared" si="1"/>
        <v/>
      </c>
      <c r="J1427" s="19"/>
    </row>
    <row r="1428" ht="15.75" customHeight="1">
      <c r="A1428" s="3"/>
      <c r="B1428" s="19"/>
      <c r="C1428" s="19"/>
      <c r="D1428" s="27"/>
      <c r="E1428" s="27"/>
      <c r="F1428" s="28"/>
      <c r="G1428" s="31" t="str">
        <f t="shared" si="2"/>
        <v/>
      </c>
      <c r="H1428" s="30"/>
      <c r="I1428" s="21" t="str">
        <f t="shared" si="1"/>
        <v/>
      </c>
      <c r="J1428" s="19"/>
    </row>
    <row r="1429" ht="15.75" customHeight="1">
      <c r="A1429" s="3"/>
      <c r="B1429" s="19"/>
      <c r="C1429" s="19"/>
      <c r="D1429" s="27"/>
      <c r="E1429" s="27"/>
      <c r="F1429" s="28"/>
      <c r="G1429" s="31" t="str">
        <f t="shared" si="2"/>
        <v/>
      </c>
      <c r="H1429" s="30"/>
      <c r="I1429" s="21" t="str">
        <f t="shared" si="1"/>
        <v/>
      </c>
      <c r="J1429" s="19"/>
    </row>
    <row r="1430" ht="15.75" customHeight="1">
      <c r="A1430" s="3"/>
      <c r="B1430" s="19"/>
      <c r="C1430" s="19"/>
      <c r="D1430" s="27"/>
      <c r="E1430" s="27"/>
      <c r="F1430" s="28"/>
      <c r="G1430" s="31" t="str">
        <f t="shared" si="2"/>
        <v/>
      </c>
      <c r="H1430" s="30"/>
      <c r="I1430" s="21" t="str">
        <f t="shared" si="1"/>
        <v/>
      </c>
      <c r="J1430" s="19"/>
    </row>
    <row r="1431" ht="15.75" customHeight="1">
      <c r="A1431" s="3"/>
      <c r="B1431" s="19"/>
      <c r="C1431" s="19"/>
      <c r="D1431" s="27"/>
      <c r="E1431" s="27"/>
      <c r="F1431" s="28"/>
      <c r="G1431" s="31" t="str">
        <f t="shared" si="2"/>
        <v/>
      </c>
      <c r="H1431" s="30"/>
      <c r="I1431" s="21" t="str">
        <f t="shared" si="1"/>
        <v/>
      </c>
      <c r="J1431" s="19"/>
    </row>
    <row r="1432" ht="15.75" customHeight="1">
      <c r="A1432" s="3"/>
      <c r="B1432" s="19"/>
      <c r="C1432" s="19"/>
      <c r="D1432" s="27"/>
      <c r="E1432" s="27"/>
      <c r="F1432" s="28"/>
      <c r="G1432" s="31" t="str">
        <f t="shared" si="2"/>
        <v/>
      </c>
      <c r="H1432" s="30"/>
      <c r="I1432" s="21" t="str">
        <f t="shared" si="1"/>
        <v/>
      </c>
      <c r="J1432" s="19"/>
    </row>
    <row r="1433" ht="15.75" customHeight="1">
      <c r="A1433" s="3"/>
      <c r="B1433" s="19"/>
      <c r="C1433" s="19"/>
      <c r="D1433" s="27"/>
      <c r="E1433" s="27"/>
      <c r="F1433" s="28"/>
      <c r="G1433" s="31" t="str">
        <f t="shared" si="2"/>
        <v/>
      </c>
      <c r="H1433" s="30"/>
      <c r="I1433" s="21" t="str">
        <f t="shared" si="1"/>
        <v/>
      </c>
      <c r="J1433" s="19"/>
    </row>
    <row r="1434" ht="15.75" customHeight="1">
      <c r="A1434" s="3"/>
      <c r="B1434" s="19"/>
      <c r="C1434" s="19"/>
      <c r="D1434" s="27"/>
      <c r="E1434" s="27"/>
      <c r="F1434" s="28"/>
      <c r="G1434" s="31" t="str">
        <f t="shared" si="2"/>
        <v/>
      </c>
      <c r="H1434" s="30"/>
      <c r="I1434" s="21" t="str">
        <f t="shared" si="1"/>
        <v/>
      </c>
      <c r="J1434" s="19"/>
    </row>
    <row r="1435" ht="15.75" customHeight="1">
      <c r="A1435" s="3"/>
      <c r="B1435" s="19"/>
      <c r="C1435" s="19"/>
      <c r="D1435" s="27"/>
      <c r="E1435" s="27"/>
      <c r="F1435" s="28"/>
      <c r="G1435" s="31" t="str">
        <f t="shared" si="2"/>
        <v/>
      </c>
      <c r="H1435" s="30"/>
      <c r="I1435" s="21" t="str">
        <f t="shared" si="1"/>
        <v/>
      </c>
      <c r="J1435" s="19"/>
    </row>
    <row r="1436" ht="15.75" customHeight="1">
      <c r="A1436" s="3"/>
      <c r="B1436" s="19"/>
      <c r="C1436" s="19"/>
      <c r="D1436" s="27"/>
      <c r="E1436" s="27"/>
      <c r="F1436" s="28"/>
      <c r="G1436" s="31" t="str">
        <f t="shared" si="2"/>
        <v/>
      </c>
      <c r="H1436" s="30"/>
      <c r="I1436" s="21" t="str">
        <f t="shared" si="1"/>
        <v/>
      </c>
      <c r="J1436" s="19"/>
    </row>
    <row r="1437" ht="15.75" customHeight="1">
      <c r="A1437" s="3"/>
      <c r="B1437" s="19"/>
      <c r="C1437" s="19"/>
      <c r="D1437" s="27"/>
      <c r="E1437" s="27"/>
      <c r="F1437" s="28"/>
      <c r="G1437" s="31" t="str">
        <f t="shared" si="2"/>
        <v/>
      </c>
      <c r="H1437" s="30"/>
      <c r="I1437" s="21" t="str">
        <f t="shared" si="1"/>
        <v/>
      </c>
      <c r="J1437" s="19"/>
    </row>
    <row r="1438" ht="15.75" customHeight="1">
      <c r="A1438" s="3"/>
      <c r="B1438" s="19"/>
      <c r="C1438" s="19"/>
      <c r="D1438" s="27"/>
      <c r="E1438" s="27"/>
      <c r="F1438" s="28"/>
      <c r="G1438" s="31" t="str">
        <f t="shared" si="2"/>
        <v/>
      </c>
      <c r="H1438" s="30"/>
      <c r="I1438" s="21" t="str">
        <f t="shared" si="1"/>
        <v/>
      </c>
      <c r="J1438" s="19"/>
    </row>
    <row r="1439" ht="15.75" customHeight="1">
      <c r="A1439" s="3"/>
      <c r="B1439" s="19"/>
      <c r="C1439" s="19"/>
      <c r="D1439" s="27"/>
      <c r="E1439" s="27"/>
      <c r="F1439" s="28"/>
      <c r="G1439" s="31" t="str">
        <f t="shared" si="2"/>
        <v/>
      </c>
      <c r="H1439" s="30"/>
      <c r="I1439" s="21" t="str">
        <f t="shared" si="1"/>
        <v/>
      </c>
      <c r="J1439" s="19"/>
    </row>
    <row r="1440" ht="15.75" customHeight="1">
      <c r="A1440" s="3"/>
      <c r="B1440" s="19"/>
      <c r="C1440" s="19"/>
      <c r="D1440" s="27"/>
      <c r="E1440" s="27"/>
      <c r="F1440" s="28"/>
      <c r="G1440" s="31" t="str">
        <f t="shared" si="2"/>
        <v/>
      </c>
      <c r="H1440" s="30"/>
      <c r="I1440" s="21" t="str">
        <f t="shared" si="1"/>
        <v/>
      </c>
      <c r="J1440" s="19"/>
    </row>
    <row r="1441" ht="15.75" customHeight="1">
      <c r="A1441" s="3"/>
      <c r="B1441" s="19"/>
      <c r="C1441" s="19"/>
      <c r="D1441" s="27"/>
      <c r="E1441" s="27"/>
      <c r="F1441" s="28"/>
      <c r="G1441" s="31" t="str">
        <f t="shared" si="2"/>
        <v/>
      </c>
      <c r="H1441" s="30"/>
      <c r="I1441" s="21" t="str">
        <f t="shared" si="1"/>
        <v/>
      </c>
      <c r="J1441" s="19"/>
    </row>
    <row r="1442" ht="15.75" customHeight="1">
      <c r="A1442" s="3"/>
      <c r="B1442" s="19"/>
      <c r="C1442" s="19"/>
      <c r="D1442" s="27"/>
      <c r="E1442" s="27"/>
      <c r="F1442" s="28"/>
      <c r="G1442" s="31" t="str">
        <f t="shared" si="2"/>
        <v/>
      </c>
      <c r="H1442" s="30"/>
      <c r="I1442" s="21" t="str">
        <f t="shared" si="1"/>
        <v/>
      </c>
      <c r="J1442" s="19"/>
    </row>
    <row r="1443" ht="15.75" customHeight="1">
      <c r="A1443" s="3"/>
      <c r="B1443" s="19"/>
      <c r="C1443" s="19"/>
      <c r="D1443" s="27"/>
      <c r="E1443" s="27"/>
      <c r="F1443" s="28"/>
      <c r="G1443" s="31" t="str">
        <f t="shared" si="2"/>
        <v/>
      </c>
      <c r="H1443" s="30"/>
      <c r="I1443" s="21" t="str">
        <f t="shared" si="1"/>
        <v/>
      </c>
      <c r="J1443" s="19"/>
    </row>
    <row r="1444" ht="15.75" customHeight="1">
      <c r="A1444" s="3"/>
      <c r="B1444" s="19"/>
      <c r="C1444" s="19"/>
      <c r="D1444" s="27"/>
      <c r="E1444" s="27"/>
      <c r="F1444" s="28"/>
      <c r="G1444" s="31" t="str">
        <f t="shared" si="2"/>
        <v/>
      </c>
      <c r="H1444" s="30"/>
      <c r="I1444" s="21" t="str">
        <f t="shared" si="1"/>
        <v/>
      </c>
      <c r="J1444" s="19"/>
    </row>
    <row r="1445" ht="15.75" customHeight="1">
      <c r="A1445" s="3"/>
      <c r="B1445" s="19"/>
      <c r="C1445" s="19"/>
      <c r="D1445" s="27"/>
      <c r="E1445" s="27"/>
      <c r="F1445" s="28"/>
      <c r="G1445" s="31" t="str">
        <f t="shared" si="2"/>
        <v/>
      </c>
      <c r="H1445" s="30"/>
      <c r="I1445" s="21" t="str">
        <f t="shared" si="1"/>
        <v/>
      </c>
      <c r="J1445" s="19"/>
    </row>
    <row r="1446" ht="15.75" customHeight="1">
      <c r="A1446" s="3"/>
      <c r="B1446" s="19"/>
      <c r="C1446" s="19"/>
      <c r="D1446" s="27"/>
      <c r="E1446" s="27"/>
      <c r="F1446" s="28"/>
      <c r="G1446" s="31" t="str">
        <f t="shared" si="2"/>
        <v/>
      </c>
      <c r="H1446" s="30"/>
      <c r="I1446" s="21" t="str">
        <f t="shared" si="1"/>
        <v/>
      </c>
      <c r="J1446" s="19"/>
    </row>
    <row r="1447" ht="15.75" customHeight="1">
      <c r="A1447" s="3"/>
      <c r="B1447" s="19"/>
      <c r="C1447" s="19"/>
      <c r="D1447" s="27"/>
      <c r="E1447" s="27"/>
      <c r="F1447" s="28"/>
      <c r="G1447" s="31" t="str">
        <f t="shared" si="2"/>
        <v/>
      </c>
      <c r="H1447" s="30"/>
      <c r="I1447" s="21" t="str">
        <f t="shared" si="1"/>
        <v/>
      </c>
      <c r="J1447" s="19"/>
    </row>
    <row r="1448" ht="15.75" customHeight="1">
      <c r="A1448" s="3"/>
      <c r="B1448" s="19"/>
      <c r="C1448" s="19"/>
      <c r="D1448" s="27"/>
      <c r="E1448" s="27"/>
      <c r="F1448" s="28"/>
      <c r="G1448" s="31" t="str">
        <f t="shared" si="2"/>
        <v/>
      </c>
      <c r="H1448" s="30"/>
      <c r="I1448" s="21" t="str">
        <f t="shared" si="1"/>
        <v/>
      </c>
      <c r="J1448" s="19"/>
    </row>
    <row r="1449" ht="15.75" customHeight="1">
      <c r="A1449" s="3"/>
      <c r="B1449" s="19"/>
      <c r="C1449" s="19"/>
      <c r="D1449" s="27"/>
      <c r="E1449" s="27"/>
      <c r="F1449" s="28"/>
      <c r="G1449" s="31" t="str">
        <f t="shared" si="2"/>
        <v/>
      </c>
      <c r="H1449" s="30"/>
      <c r="I1449" s="21" t="str">
        <f t="shared" si="1"/>
        <v/>
      </c>
      <c r="J1449" s="19"/>
    </row>
    <row r="1450" ht="15.75" customHeight="1">
      <c r="A1450" s="3"/>
      <c r="B1450" s="19"/>
      <c r="C1450" s="19"/>
      <c r="D1450" s="27"/>
      <c r="E1450" s="27"/>
      <c r="F1450" s="28"/>
      <c r="G1450" s="31" t="str">
        <f t="shared" si="2"/>
        <v/>
      </c>
      <c r="H1450" s="30"/>
      <c r="I1450" s="21" t="str">
        <f t="shared" si="1"/>
        <v/>
      </c>
      <c r="J1450" s="19"/>
    </row>
    <row r="1451" ht="15.75" customHeight="1">
      <c r="A1451" s="3"/>
      <c r="B1451" s="19"/>
      <c r="C1451" s="19"/>
      <c r="D1451" s="27"/>
      <c r="E1451" s="27"/>
      <c r="F1451" s="28"/>
      <c r="G1451" s="31" t="str">
        <f t="shared" si="2"/>
        <v/>
      </c>
      <c r="H1451" s="30"/>
      <c r="I1451" s="21" t="str">
        <f t="shared" si="1"/>
        <v/>
      </c>
      <c r="J1451" s="19"/>
    </row>
    <row r="1452" ht="15.75" customHeight="1">
      <c r="A1452" s="3"/>
      <c r="B1452" s="19"/>
      <c r="C1452" s="19"/>
      <c r="D1452" s="27"/>
      <c r="E1452" s="27"/>
      <c r="F1452" s="28"/>
      <c r="G1452" s="31" t="str">
        <f t="shared" si="2"/>
        <v/>
      </c>
      <c r="H1452" s="30"/>
      <c r="I1452" s="21" t="str">
        <f t="shared" si="1"/>
        <v/>
      </c>
      <c r="J1452" s="19"/>
    </row>
    <row r="1453" ht="15.75" customHeight="1">
      <c r="A1453" s="3"/>
      <c r="B1453" s="19"/>
      <c r="C1453" s="19"/>
      <c r="D1453" s="27"/>
      <c r="E1453" s="27"/>
      <c r="F1453" s="28"/>
      <c r="G1453" s="31" t="str">
        <f t="shared" si="2"/>
        <v/>
      </c>
      <c r="H1453" s="30"/>
      <c r="I1453" s="21" t="str">
        <f t="shared" si="1"/>
        <v/>
      </c>
      <c r="J1453" s="19"/>
    </row>
    <row r="1454" ht="15.75" customHeight="1">
      <c r="A1454" s="3"/>
      <c r="B1454" s="19"/>
      <c r="C1454" s="19"/>
      <c r="D1454" s="27"/>
      <c r="E1454" s="27"/>
      <c r="F1454" s="28"/>
      <c r="G1454" s="31" t="str">
        <f t="shared" si="2"/>
        <v/>
      </c>
      <c r="H1454" s="30"/>
      <c r="I1454" s="21" t="str">
        <f t="shared" si="1"/>
        <v/>
      </c>
      <c r="J1454" s="19"/>
    </row>
    <row r="1455" ht="15.75" customHeight="1">
      <c r="A1455" s="3"/>
      <c r="B1455" s="19"/>
      <c r="C1455" s="19"/>
      <c r="D1455" s="27"/>
      <c r="E1455" s="27"/>
      <c r="F1455" s="28"/>
      <c r="G1455" s="31" t="str">
        <f t="shared" si="2"/>
        <v/>
      </c>
      <c r="H1455" s="30"/>
      <c r="I1455" s="21" t="str">
        <f t="shared" si="1"/>
        <v/>
      </c>
      <c r="J1455" s="19"/>
    </row>
    <row r="1456" ht="15.75" customHeight="1">
      <c r="A1456" s="3"/>
      <c r="B1456" s="19"/>
      <c r="C1456" s="19"/>
      <c r="D1456" s="27"/>
      <c r="E1456" s="27"/>
      <c r="F1456" s="28"/>
      <c r="G1456" s="31" t="str">
        <f t="shared" si="2"/>
        <v/>
      </c>
      <c r="H1456" s="30"/>
      <c r="I1456" s="21" t="str">
        <f t="shared" si="1"/>
        <v/>
      </c>
      <c r="J1456" s="19"/>
    </row>
    <row r="1457" ht="15.75" customHeight="1">
      <c r="A1457" s="3"/>
      <c r="B1457" s="19"/>
      <c r="C1457" s="19"/>
      <c r="D1457" s="27"/>
      <c r="E1457" s="27"/>
      <c r="F1457" s="28"/>
      <c r="G1457" s="31" t="str">
        <f t="shared" si="2"/>
        <v/>
      </c>
      <c r="H1457" s="30"/>
      <c r="I1457" s="21" t="str">
        <f t="shared" si="1"/>
        <v/>
      </c>
      <c r="J1457" s="19"/>
    </row>
    <row r="1458" ht="15.75" customHeight="1">
      <c r="A1458" s="3"/>
      <c r="B1458" s="19"/>
      <c r="C1458" s="19"/>
      <c r="D1458" s="27"/>
      <c r="E1458" s="27"/>
      <c r="F1458" s="28"/>
      <c r="G1458" s="31" t="str">
        <f t="shared" si="2"/>
        <v/>
      </c>
      <c r="H1458" s="30"/>
      <c r="I1458" s="21" t="str">
        <f t="shared" si="1"/>
        <v/>
      </c>
      <c r="J1458" s="19"/>
    </row>
    <row r="1459" ht="15.75" customHeight="1">
      <c r="A1459" s="3"/>
      <c r="B1459" s="19"/>
      <c r="C1459" s="19"/>
      <c r="D1459" s="27"/>
      <c r="E1459" s="27"/>
      <c r="F1459" s="28"/>
      <c r="G1459" s="31" t="str">
        <f t="shared" si="2"/>
        <v/>
      </c>
      <c r="H1459" s="30"/>
      <c r="I1459" s="21" t="str">
        <f t="shared" si="1"/>
        <v/>
      </c>
      <c r="J1459" s="19"/>
    </row>
    <row r="1460" ht="15.75" customHeight="1">
      <c r="A1460" s="3"/>
      <c r="B1460" s="19"/>
      <c r="C1460" s="19"/>
      <c r="D1460" s="27"/>
      <c r="E1460" s="27"/>
      <c r="F1460" s="28"/>
      <c r="G1460" s="31" t="str">
        <f t="shared" si="2"/>
        <v/>
      </c>
      <c r="H1460" s="30"/>
      <c r="I1460" s="21" t="str">
        <f t="shared" si="1"/>
        <v/>
      </c>
      <c r="J1460" s="19"/>
    </row>
    <row r="1461" ht="15.75" customHeight="1">
      <c r="A1461" s="3"/>
      <c r="B1461" s="19"/>
      <c r="C1461" s="19"/>
      <c r="D1461" s="27"/>
      <c r="E1461" s="27"/>
      <c r="F1461" s="28"/>
      <c r="G1461" s="31" t="str">
        <f t="shared" si="2"/>
        <v/>
      </c>
      <c r="H1461" s="30"/>
      <c r="I1461" s="21" t="str">
        <f t="shared" si="1"/>
        <v/>
      </c>
      <c r="J1461" s="19"/>
    </row>
    <row r="1462" ht="15.75" customHeight="1">
      <c r="A1462" s="3"/>
      <c r="B1462" s="19"/>
      <c r="C1462" s="19"/>
      <c r="D1462" s="27"/>
      <c r="E1462" s="27"/>
      <c r="F1462" s="28"/>
      <c r="G1462" s="31" t="str">
        <f t="shared" si="2"/>
        <v/>
      </c>
      <c r="H1462" s="30"/>
      <c r="I1462" s="21" t="str">
        <f t="shared" si="1"/>
        <v/>
      </c>
      <c r="J1462" s="19"/>
    </row>
    <row r="1463" ht="15.75" customHeight="1">
      <c r="A1463" s="3"/>
      <c r="B1463" s="19"/>
      <c r="C1463" s="19"/>
      <c r="D1463" s="27"/>
      <c r="E1463" s="27"/>
      <c r="F1463" s="28"/>
      <c r="G1463" s="31" t="str">
        <f t="shared" si="2"/>
        <v/>
      </c>
      <c r="H1463" s="30"/>
      <c r="I1463" s="21" t="str">
        <f t="shared" si="1"/>
        <v/>
      </c>
      <c r="J1463" s="19"/>
    </row>
    <row r="1464" ht="15.75" customHeight="1">
      <c r="A1464" s="3"/>
      <c r="B1464" s="19"/>
      <c r="C1464" s="19"/>
      <c r="D1464" s="27"/>
      <c r="E1464" s="27"/>
      <c r="F1464" s="28"/>
      <c r="G1464" s="31" t="str">
        <f t="shared" si="2"/>
        <v/>
      </c>
      <c r="H1464" s="30"/>
      <c r="I1464" s="21" t="str">
        <f t="shared" si="1"/>
        <v/>
      </c>
      <c r="J1464" s="19"/>
    </row>
    <row r="1465" ht="15.75" customHeight="1">
      <c r="A1465" s="3"/>
      <c r="B1465" s="19"/>
      <c r="C1465" s="19"/>
      <c r="D1465" s="27"/>
      <c r="E1465" s="27"/>
      <c r="F1465" s="28"/>
      <c r="G1465" s="31" t="str">
        <f t="shared" si="2"/>
        <v/>
      </c>
      <c r="H1465" s="30"/>
      <c r="I1465" s="21" t="str">
        <f t="shared" si="1"/>
        <v/>
      </c>
      <c r="J1465" s="19"/>
    </row>
    <row r="1466" ht="15.75" customHeight="1">
      <c r="A1466" s="3"/>
      <c r="B1466" s="19"/>
      <c r="C1466" s="19"/>
      <c r="D1466" s="27"/>
      <c r="E1466" s="27"/>
      <c r="F1466" s="28"/>
      <c r="G1466" s="31" t="str">
        <f t="shared" si="2"/>
        <v/>
      </c>
      <c r="H1466" s="30"/>
      <c r="I1466" s="21" t="str">
        <f t="shared" si="1"/>
        <v/>
      </c>
      <c r="J1466" s="19"/>
    </row>
    <row r="1467" ht="15.75" customHeight="1">
      <c r="A1467" s="3"/>
      <c r="B1467" s="19"/>
      <c r="C1467" s="19"/>
      <c r="D1467" s="27"/>
      <c r="E1467" s="27"/>
      <c r="F1467" s="28"/>
      <c r="G1467" s="31" t="str">
        <f t="shared" si="2"/>
        <v/>
      </c>
      <c r="H1467" s="30"/>
      <c r="I1467" s="21" t="str">
        <f t="shared" si="1"/>
        <v/>
      </c>
      <c r="J1467" s="19"/>
    </row>
    <row r="1468" ht="15.75" customHeight="1">
      <c r="A1468" s="3"/>
      <c r="B1468" s="19"/>
      <c r="C1468" s="19"/>
      <c r="D1468" s="27"/>
      <c r="E1468" s="27"/>
      <c r="F1468" s="28"/>
      <c r="G1468" s="31" t="str">
        <f t="shared" si="2"/>
        <v/>
      </c>
      <c r="H1468" s="30"/>
      <c r="I1468" s="21" t="str">
        <f t="shared" si="1"/>
        <v/>
      </c>
      <c r="J1468" s="19"/>
    </row>
    <row r="1469" ht="15.75" customHeight="1">
      <c r="A1469" s="3"/>
      <c r="B1469" s="19"/>
      <c r="C1469" s="19"/>
      <c r="D1469" s="27"/>
      <c r="E1469" s="27"/>
      <c r="F1469" s="28"/>
      <c r="G1469" s="31" t="str">
        <f t="shared" si="2"/>
        <v/>
      </c>
      <c r="H1469" s="30"/>
      <c r="I1469" s="21" t="str">
        <f t="shared" si="1"/>
        <v/>
      </c>
      <c r="J1469" s="19"/>
    </row>
    <row r="1470" ht="15.75" customHeight="1">
      <c r="A1470" s="3"/>
      <c r="B1470" s="19"/>
      <c r="C1470" s="19"/>
      <c r="D1470" s="27"/>
      <c r="E1470" s="27"/>
      <c r="F1470" s="28"/>
      <c r="G1470" s="31" t="str">
        <f t="shared" si="2"/>
        <v/>
      </c>
      <c r="H1470" s="30"/>
      <c r="I1470" s="21" t="str">
        <f t="shared" si="1"/>
        <v/>
      </c>
      <c r="J1470" s="19"/>
    </row>
    <row r="1471" ht="15.75" customHeight="1">
      <c r="A1471" s="3"/>
      <c r="B1471" s="19"/>
      <c r="C1471" s="19"/>
      <c r="D1471" s="27"/>
      <c r="E1471" s="27"/>
      <c r="F1471" s="28"/>
      <c r="G1471" s="31" t="str">
        <f t="shared" si="2"/>
        <v/>
      </c>
      <c r="H1471" s="30"/>
      <c r="I1471" s="21" t="str">
        <f t="shared" si="1"/>
        <v/>
      </c>
      <c r="J1471" s="19"/>
    </row>
    <row r="1472" ht="15.75" customHeight="1">
      <c r="A1472" s="3"/>
      <c r="B1472" s="19"/>
      <c r="C1472" s="19"/>
      <c r="D1472" s="27"/>
      <c r="E1472" s="27"/>
      <c r="F1472" s="28"/>
      <c r="G1472" s="31" t="str">
        <f t="shared" si="2"/>
        <v/>
      </c>
      <c r="H1472" s="30"/>
      <c r="I1472" s="21" t="str">
        <f t="shared" si="1"/>
        <v/>
      </c>
      <c r="J1472" s="19"/>
    </row>
    <row r="1473" ht="15.75" customHeight="1">
      <c r="A1473" s="3"/>
      <c r="B1473" s="19"/>
      <c r="C1473" s="19"/>
      <c r="D1473" s="27"/>
      <c r="E1473" s="27"/>
      <c r="F1473" s="28"/>
      <c r="G1473" s="31" t="str">
        <f t="shared" si="2"/>
        <v/>
      </c>
      <c r="H1473" s="30"/>
      <c r="I1473" s="21" t="str">
        <f t="shared" si="1"/>
        <v/>
      </c>
      <c r="J1473" s="19"/>
    </row>
    <row r="1474" ht="15.75" customHeight="1">
      <c r="A1474" s="3"/>
      <c r="B1474" s="19"/>
      <c r="C1474" s="19"/>
      <c r="D1474" s="27"/>
      <c r="E1474" s="27"/>
      <c r="F1474" s="28"/>
      <c r="G1474" s="31" t="str">
        <f t="shared" si="2"/>
        <v/>
      </c>
      <c r="H1474" s="30"/>
      <c r="I1474" s="21" t="str">
        <f t="shared" si="1"/>
        <v/>
      </c>
      <c r="J1474" s="19"/>
    </row>
    <row r="1475" ht="15.75" customHeight="1">
      <c r="A1475" s="3"/>
      <c r="B1475" s="19"/>
      <c r="C1475" s="19"/>
      <c r="D1475" s="27"/>
      <c r="E1475" s="27"/>
      <c r="F1475" s="28"/>
      <c r="G1475" s="31" t="str">
        <f t="shared" si="2"/>
        <v/>
      </c>
      <c r="H1475" s="30"/>
      <c r="I1475" s="21" t="str">
        <f t="shared" si="1"/>
        <v/>
      </c>
      <c r="J1475" s="19"/>
    </row>
    <row r="1476" ht="15.75" customHeight="1">
      <c r="A1476" s="3"/>
      <c r="B1476" s="19"/>
      <c r="C1476" s="19"/>
      <c r="D1476" s="27"/>
      <c r="E1476" s="27"/>
      <c r="F1476" s="28"/>
      <c r="G1476" s="31" t="str">
        <f t="shared" si="2"/>
        <v/>
      </c>
      <c r="H1476" s="30"/>
      <c r="I1476" s="21" t="str">
        <f t="shared" si="1"/>
        <v/>
      </c>
      <c r="J1476" s="19"/>
    </row>
    <row r="1477" ht="15.75" customHeight="1">
      <c r="A1477" s="3"/>
      <c r="B1477" s="19"/>
      <c r="C1477" s="19"/>
      <c r="D1477" s="27"/>
      <c r="E1477" s="27"/>
      <c r="F1477" s="28"/>
      <c r="G1477" s="31" t="str">
        <f t="shared" si="2"/>
        <v/>
      </c>
      <c r="H1477" s="30"/>
      <c r="I1477" s="21" t="str">
        <f t="shared" si="1"/>
        <v/>
      </c>
      <c r="J1477" s="19"/>
    </row>
    <row r="1478" ht="15.75" customHeight="1">
      <c r="A1478" s="3"/>
      <c r="B1478" s="19"/>
      <c r="C1478" s="19"/>
      <c r="D1478" s="27"/>
      <c r="E1478" s="27"/>
      <c r="F1478" s="28"/>
      <c r="G1478" s="31" t="str">
        <f t="shared" si="2"/>
        <v/>
      </c>
      <c r="H1478" s="30"/>
      <c r="I1478" s="21" t="str">
        <f t="shared" si="1"/>
        <v/>
      </c>
      <c r="J1478" s="19"/>
    </row>
    <row r="1479" ht="15.75" customHeight="1">
      <c r="A1479" s="3"/>
      <c r="B1479" s="19"/>
      <c r="C1479" s="19"/>
      <c r="D1479" s="27"/>
      <c r="E1479" s="27"/>
      <c r="F1479" s="28"/>
      <c r="G1479" s="31" t="str">
        <f t="shared" si="2"/>
        <v/>
      </c>
      <c r="H1479" s="30"/>
      <c r="I1479" s="21" t="str">
        <f t="shared" si="1"/>
        <v/>
      </c>
      <c r="J1479" s="19"/>
    </row>
    <row r="1480" ht="15.75" customHeight="1">
      <c r="A1480" s="3"/>
      <c r="B1480" s="19"/>
      <c r="C1480" s="19"/>
      <c r="D1480" s="27"/>
      <c r="E1480" s="27"/>
      <c r="F1480" s="28"/>
      <c r="G1480" s="31" t="str">
        <f t="shared" si="2"/>
        <v/>
      </c>
      <c r="H1480" s="30"/>
      <c r="I1480" s="21" t="str">
        <f t="shared" si="1"/>
        <v/>
      </c>
      <c r="J1480" s="19"/>
    </row>
    <row r="1481" ht="15.75" customHeight="1">
      <c r="A1481" s="3"/>
      <c r="B1481" s="19"/>
      <c r="C1481" s="19"/>
      <c r="D1481" s="27"/>
      <c r="E1481" s="27"/>
      <c r="F1481" s="28"/>
      <c r="G1481" s="31" t="str">
        <f t="shared" si="2"/>
        <v/>
      </c>
      <c r="H1481" s="30"/>
      <c r="I1481" s="21" t="str">
        <f t="shared" si="1"/>
        <v/>
      </c>
      <c r="J1481" s="19"/>
    </row>
    <row r="1482" ht="15.75" customHeight="1">
      <c r="A1482" s="3"/>
      <c r="B1482" s="19"/>
      <c r="C1482" s="19"/>
      <c r="D1482" s="27"/>
      <c r="E1482" s="27"/>
      <c r="F1482" s="28"/>
      <c r="G1482" s="31" t="str">
        <f t="shared" si="2"/>
        <v/>
      </c>
      <c r="H1482" s="30"/>
      <c r="I1482" s="21" t="str">
        <f t="shared" si="1"/>
        <v/>
      </c>
      <c r="J1482" s="19"/>
    </row>
    <row r="1483" ht="15.75" customHeight="1">
      <c r="A1483" s="3"/>
      <c r="B1483" s="19"/>
      <c r="C1483" s="19"/>
      <c r="D1483" s="27"/>
      <c r="E1483" s="27"/>
      <c r="F1483" s="28"/>
      <c r="G1483" s="31" t="str">
        <f t="shared" si="2"/>
        <v/>
      </c>
      <c r="H1483" s="30"/>
      <c r="I1483" s="21" t="str">
        <f t="shared" si="1"/>
        <v/>
      </c>
      <c r="J1483" s="19"/>
    </row>
    <row r="1484" ht="15.75" customHeight="1">
      <c r="A1484" s="3"/>
      <c r="B1484" s="19"/>
      <c r="C1484" s="19"/>
      <c r="D1484" s="27"/>
      <c r="E1484" s="27"/>
      <c r="F1484" s="28"/>
      <c r="G1484" s="31" t="str">
        <f t="shared" si="2"/>
        <v/>
      </c>
      <c r="H1484" s="30"/>
      <c r="I1484" s="21" t="str">
        <f t="shared" si="1"/>
        <v/>
      </c>
      <c r="J1484" s="19"/>
    </row>
    <row r="1485" ht="15.75" customHeight="1">
      <c r="A1485" s="3"/>
      <c r="B1485" s="19"/>
      <c r="C1485" s="19"/>
      <c r="D1485" s="27"/>
      <c r="E1485" s="27"/>
      <c r="F1485" s="28"/>
      <c r="G1485" s="31" t="str">
        <f t="shared" si="2"/>
        <v/>
      </c>
      <c r="H1485" s="30"/>
      <c r="I1485" s="21" t="str">
        <f t="shared" si="1"/>
        <v/>
      </c>
      <c r="J1485" s="19"/>
    </row>
    <row r="1486" ht="15.75" customHeight="1">
      <c r="A1486" s="3"/>
      <c r="B1486" s="19"/>
      <c r="C1486" s="19"/>
      <c r="D1486" s="27"/>
      <c r="E1486" s="27"/>
      <c r="F1486" s="28"/>
      <c r="G1486" s="31" t="str">
        <f t="shared" si="2"/>
        <v/>
      </c>
      <c r="H1486" s="30"/>
      <c r="I1486" s="21" t="str">
        <f t="shared" si="1"/>
        <v/>
      </c>
      <c r="J1486" s="19"/>
    </row>
    <row r="1487" ht="15.75" customHeight="1">
      <c r="A1487" s="3"/>
      <c r="B1487" s="19"/>
      <c r="C1487" s="19"/>
      <c r="D1487" s="27"/>
      <c r="E1487" s="27"/>
      <c r="F1487" s="28"/>
      <c r="G1487" s="31" t="str">
        <f t="shared" si="2"/>
        <v/>
      </c>
      <c r="H1487" s="30"/>
      <c r="I1487" s="21" t="str">
        <f t="shared" si="1"/>
        <v/>
      </c>
      <c r="J1487" s="19"/>
    </row>
    <row r="1488" ht="15.75" customHeight="1">
      <c r="A1488" s="3"/>
      <c r="B1488" s="19"/>
      <c r="C1488" s="19"/>
      <c r="D1488" s="27"/>
      <c r="E1488" s="27"/>
      <c r="F1488" s="28"/>
      <c r="G1488" s="31" t="str">
        <f t="shared" si="2"/>
        <v/>
      </c>
      <c r="H1488" s="30"/>
      <c r="I1488" s="21" t="str">
        <f t="shared" si="1"/>
        <v/>
      </c>
      <c r="J1488" s="19"/>
    </row>
    <row r="1489" ht="15.75" customHeight="1">
      <c r="A1489" s="3"/>
      <c r="B1489" s="19"/>
      <c r="C1489" s="19"/>
      <c r="D1489" s="27"/>
      <c r="E1489" s="27"/>
      <c r="F1489" s="28"/>
      <c r="G1489" s="31" t="str">
        <f t="shared" si="2"/>
        <v/>
      </c>
      <c r="H1489" s="30"/>
      <c r="I1489" s="21" t="str">
        <f t="shared" si="1"/>
        <v/>
      </c>
      <c r="J1489" s="19"/>
    </row>
    <row r="1490" ht="15.75" customHeight="1">
      <c r="A1490" s="3"/>
      <c r="B1490" s="19"/>
      <c r="C1490" s="19"/>
      <c r="D1490" s="27"/>
      <c r="E1490" s="27"/>
      <c r="F1490" s="28"/>
      <c r="G1490" s="31" t="str">
        <f t="shared" si="2"/>
        <v/>
      </c>
      <c r="H1490" s="30"/>
      <c r="I1490" s="21" t="str">
        <f t="shared" si="1"/>
        <v/>
      </c>
      <c r="J1490" s="19"/>
    </row>
    <row r="1491" ht="15.75" customHeight="1">
      <c r="A1491" s="3"/>
      <c r="B1491" s="19"/>
      <c r="C1491" s="19"/>
      <c r="D1491" s="27"/>
      <c r="E1491" s="27"/>
      <c r="F1491" s="28"/>
      <c r="G1491" s="31" t="str">
        <f t="shared" si="2"/>
        <v/>
      </c>
      <c r="H1491" s="30"/>
      <c r="I1491" s="21" t="str">
        <f t="shared" si="1"/>
        <v/>
      </c>
      <c r="J1491" s="19"/>
    </row>
    <row r="1492" ht="15.75" customHeight="1">
      <c r="A1492" s="3"/>
      <c r="B1492" s="19"/>
      <c r="C1492" s="19"/>
      <c r="D1492" s="27"/>
      <c r="E1492" s="27"/>
      <c r="F1492" s="28"/>
      <c r="G1492" s="31" t="str">
        <f t="shared" si="2"/>
        <v/>
      </c>
      <c r="H1492" s="30"/>
      <c r="I1492" s="21" t="str">
        <f t="shared" si="1"/>
        <v/>
      </c>
      <c r="J1492" s="19"/>
    </row>
    <row r="1493" ht="15.75" customHeight="1">
      <c r="A1493" s="3"/>
      <c r="B1493" s="19"/>
      <c r="C1493" s="19"/>
      <c r="D1493" s="27"/>
      <c r="E1493" s="27"/>
      <c r="F1493" s="28"/>
      <c r="G1493" s="31" t="str">
        <f t="shared" si="2"/>
        <v/>
      </c>
      <c r="H1493" s="30"/>
      <c r="I1493" s="21" t="str">
        <f t="shared" si="1"/>
        <v/>
      </c>
      <c r="J1493" s="19"/>
    </row>
    <row r="1494" ht="15.75" customHeight="1">
      <c r="A1494" s="3"/>
      <c r="B1494" s="19"/>
      <c r="C1494" s="19"/>
      <c r="D1494" s="27"/>
      <c r="E1494" s="27"/>
      <c r="F1494" s="28"/>
      <c r="G1494" s="31" t="str">
        <f t="shared" si="2"/>
        <v/>
      </c>
      <c r="H1494" s="30"/>
      <c r="I1494" s="21" t="str">
        <f t="shared" si="1"/>
        <v/>
      </c>
      <c r="J1494" s="19"/>
    </row>
    <row r="1495" ht="15.75" customHeight="1">
      <c r="A1495" s="3"/>
      <c r="B1495" s="19"/>
      <c r="C1495" s="19"/>
      <c r="D1495" s="27"/>
      <c r="E1495" s="27"/>
      <c r="F1495" s="28"/>
      <c r="G1495" s="31" t="str">
        <f t="shared" si="2"/>
        <v/>
      </c>
      <c r="H1495" s="30"/>
      <c r="I1495" s="21" t="str">
        <f t="shared" si="1"/>
        <v/>
      </c>
      <c r="J1495" s="19"/>
    </row>
    <row r="1496" ht="15.75" customHeight="1">
      <c r="A1496" s="3"/>
      <c r="B1496" s="19"/>
      <c r="C1496" s="19"/>
      <c r="D1496" s="27"/>
      <c r="E1496" s="27"/>
      <c r="F1496" s="28"/>
      <c r="G1496" s="31" t="str">
        <f t="shared" si="2"/>
        <v/>
      </c>
      <c r="H1496" s="30"/>
      <c r="I1496" s="21" t="str">
        <f t="shared" si="1"/>
        <v/>
      </c>
      <c r="J1496" s="19"/>
    </row>
    <row r="1497" ht="15.75" customHeight="1">
      <c r="A1497" s="3"/>
      <c r="B1497" s="19"/>
      <c r="C1497" s="19"/>
      <c r="D1497" s="27"/>
      <c r="E1497" s="27"/>
      <c r="F1497" s="28"/>
      <c r="G1497" s="31" t="str">
        <f t="shared" si="2"/>
        <v/>
      </c>
      <c r="H1497" s="30"/>
      <c r="I1497" s="21" t="str">
        <f t="shared" si="1"/>
        <v/>
      </c>
      <c r="J1497" s="19"/>
    </row>
    <row r="1498" ht="15.75" customHeight="1">
      <c r="A1498" s="3"/>
      <c r="B1498" s="19"/>
      <c r="C1498" s="19"/>
      <c r="D1498" s="27"/>
      <c r="E1498" s="27"/>
      <c r="F1498" s="28"/>
      <c r="G1498" s="31" t="str">
        <f t="shared" si="2"/>
        <v/>
      </c>
      <c r="H1498" s="30"/>
      <c r="I1498" s="21" t="str">
        <f t="shared" si="1"/>
        <v/>
      </c>
      <c r="J1498" s="19"/>
    </row>
    <row r="1499" ht="15.75" customHeight="1">
      <c r="A1499" s="3"/>
      <c r="B1499" s="19"/>
      <c r="C1499" s="19"/>
      <c r="D1499" s="27"/>
      <c r="E1499" s="27"/>
      <c r="F1499" s="28"/>
      <c r="G1499" s="31" t="str">
        <f t="shared" si="2"/>
        <v/>
      </c>
      <c r="H1499" s="30"/>
      <c r="I1499" s="21" t="str">
        <f t="shared" si="1"/>
        <v/>
      </c>
      <c r="J1499" s="19"/>
    </row>
    <row r="1500" ht="15.75" customHeight="1">
      <c r="A1500" s="3"/>
      <c r="B1500" s="19"/>
      <c r="C1500" s="19"/>
      <c r="D1500" s="27"/>
      <c r="E1500" s="27"/>
      <c r="F1500" s="28"/>
      <c r="G1500" s="31" t="str">
        <f t="shared" si="2"/>
        <v/>
      </c>
      <c r="H1500" s="30"/>
      <c r="I1500" s="21" t="str">
        <f t="shared" si="1"/>
        <v/>
      </c>
      <c r="J1500" s="19"/>
    </row>
    <row r="1501" ht="15.75" customHeight="1">
      <c r="A1501" s="3"/>
      <c r="B1501" s="19"/>
      <c r="C1501" s="19"/>
      <c r="D1501" s="27"/>
      <c r="E1501" s="27"/>
      <c r="F1501" s="28"/>
      <c r="G1501" s="31" t="str">
        <f t="shared" si="2"/>
        <v/>
      </c>
      <c r="H1501" s="30"/>
      <c r="I1501" s="21" t="str">
        <f t="shared" si="1"/>
        <v/>
      </c>
      <c r="J1501" s="19"/>
    </row>
    <row r="1502" ht="15.75" customHeight="1">
      <c r="A1502" s="3"/>
      <c r="B1502" s="19"/>
      <c r="C1502" s="19"/>
      <c r="D1502" s="27"/>
      <c r="E1502" s="27"/>
      <c r="F1502" s="28"/>
      <c r="G1502" s="31" t="str">
        <f t="shared" si="2"/>
        <v/>
      </c>
      <c r="H1502" s="30"/>
      <c r="I1502" s="21" t="str">
        <f t="shared" si="1"/>
        <v/>
      </c>
      <c r="J1502" s="19"/>
    </row>
    <row r="1503" ht="15.75" customHeight="1">
      <c r="A1503" s="3"/>
      <c r="B1503" s="19"/>
      <c r="C1503" s="19"/>
      <c r="D1503" s="27"/>
      <c r="E1503" s="27"/>
      <c r="F1503" s="28"/>
      <c r="G1503" s="31" t="str">
        <f t="shared" si="2"/>
        <v/>
      </c>
      <c r="H1503" s="30"/>
      <c r="I1503" s="21" t="str">
        <f t="shared" si="1"/>
        <v/>
      </c>
      <c r="J1503" s="19"/>
    </row>
    <row r="1504" ht="15.75" customHeight="1">
      <c r="A1504" s="3"/>
      <c r="B1504" s="19"/>
      <c r="C1504" s="19"/>
      <c r="D1504" s="27"/>
      <c r="E1504" s="27"/>
      <c r="F1504" s="28"/>
      <c r="G1504" s="31" t="str">
        <f t="shared" si="2"/>
        <v/>
      </c>
      <c r="H1504" s="30"/>
      <c r="I1504" s="21" t="str">
        <f t="shared" si="1"/>
        <v/>
      </c>
      <c r="J1504" s="19"/>
    </row>
    <row r="1505" ht="15.75" customHeight="1">
      <c r="A1505" s="3"/>
      <c r="B1505" s="19"/>
      <c r="C1505" s="19"/>
      <c r="D1505" s="27"/>
      <c r="E1505" s="27"/>
      <c r="F1505" s="28"/>
      <c r="G1505" s="31" t="str">
        <f t="shared" si="2"/>
        <v/>
      </c>
      <c r="H1505" s="30"/>
      <c r="I1505" s="21" t="str">
        <f t="shared" si="1"/>
        <v/>
      </c>
      <c r="J1505" s="19"/>
    </row>
    <row r="1506" ht="15.75" customHeight="1">
      <c r="A1506" s="3"/>
      <c r="B1506" s="19"/>
      <c r="C1506" s="19"/>
      <c r="D1506" s="27"/>
      <c r="E1506" s="27"/>
      <c r="F1506" s="28"/>
      <c r="G1506" s="31" t="str">
        <f t="shared" si="2"/>
        <v/>
      </c>
      <c r="H1506" s="30"/>
      <c r="I1506" s="21" t="str">
        <f t="shared" si="1"/>
        <v/>
      </c>
      <c r="J1506" s="19"/>
    </row>
    <row r="1507" ht="15.75" customHeight="1">
      <c r="A1507" s="3"/>
      <c r="B1507" s="19"/>
      <c r="C1507" s="19"/>
      <c r="D1507" s="27"/>
      <c r="E1507" s="27"/>
      <c r="F1507" s="28"/>
      <c r="G1507" s="31" t="str">
        <f t="shared" si="2"/>
        <v/>
      </c>
      <c r="H1507" s="30"/>
      <c r="I1507" s="21" t="str">
        <f t="shared" si="1"/>
        <v/>
      </c>
      <c r="J1507" s="19"/>
    </row>
    <row r="1508" ht="15.75" customHeight="1">
      <c r="A1508" s="3"/>
      <c r="B1508" s="19"/>
      <c r="C1508" s="19"/>
      <c r="D1508" s="27"/>
      <c r="E1508" s="27"/>
      <c r="F1508" s="28"/>
      <c r="G1508" s="31" t="str">
        <f t="shared" si="2"/>
        <v/>
      </c>
      <c r="H1508" s="30"/>
      <c r="I1508" s="21" t="str">
        <f t="shared" si="1"/>
        <v/>
      </c>
      <c r="J1508" s="19"/>
    </row>
    <row r="1509" ht="15.75" customHeight="1">
      <c r="A1509" s="3"/>
      <c r="B1509" s="19"/>
      <c r="C1509" s="19"/>
      <c r="D1509" s="27"/>
      <c r="E1509" s="27"/>
      <c r="F1509" s="28"/>
      <c r="G1509" s="31" t="str">
        <f t="shared" si="2"/>
        <v/>
      </c>
      <c r="H1509" s="30"/>
      <c r="I1509" s="21" t="str">
        <f t="shared" si="1"/>
        <v/>
      </c>
      <c r="J1509" s="19"/>
    </row>
    <row r="1510" ht="15.75" customHeight="1">
      <c r="A1510" s="3"/>
      <c r="B1510" s="19"/>
      <c r="C1510" s="19"/>
      <c r="D1510" s="27"/>
      <c r="E1510" s="27"/>
      <c r="F1510" s="28"/>
      <c r="G1510" s="31" t="str">
        <f t="shared" si="2"/>
        <v/>
      </c>
      <c r="H1510" s="30"/>
      <c r="I1510" s="21" t="str">
        <f t="shared" si="1"/>
        <v/>
      </c>
      <c r="J1510" s="19"/>
    </row>
    <row r="1511" ht="15.75" customHeight="1">
      <c r="A1511" s="3"/>
      <c r="B1511" s="19"/>
      <c r="C1511" s="19"/>
      <c r="D1511" s="27"/>
      <c r="E1511" s="27"/>
      <c r="F1511" s="28"/>
      <c r="G1511" s="31" t="str">
        <f t="shared" si="2"/>
        <v/>
      </c>
      <c r="H1511" s="30"/>
      <c r="I1511" s="21" t="str">
        <f t="shared" si="1"/>
        <v/>
      </c>
      <c r="J1511" s="19"/>
    </row>
    <row r="1512" ht="15.75" customHeight="1">
      <c r="A1512" s="3"/>
      <c r="B1512" s="19"/>
      <c r="C1512" s="19"/>
      <c r="D1512" s="27"/>
      <c r="E1512" s="27"/>
      <c r="F1512" s="28"/>
      <c r="G1512" s="31" t="str">
        <f t="shared" si="2"/>
        <v/>
      </c>
      <c r="H1512" s="30"/>
      <c r="I1512" s="21" t="str">
        <f t="shared" si="1"/>
        <v/>
      </c>
      <c r="J1512" s="19"/>
    </row>
    <row r="1513" ht="15.75" customHeight="1">
      <c r="A1513" s="3"/>
      <c r="B1513" s="19"/>
      <c r="C1513" s="19"/>
      <c r="D1513" s="27"/>
      <c r="E1513" s="27"/>
      <c r="F1513" s="28"/>
      <c r="G1513" s="31" t="str">
        <f t="shared" si="2"/>
        <v/>
      </c>
      <c r="H1513" s="30"/>
      <c r="I1513" s="21" t="str">
        <f t="shared" si="1"/>
        <v/>
      </c>
      <c r="J1513" s="19"/>
    </row>
    <row r="1514" ht="15.75" customHeight="1">
      <c r="A1514" s="3"/>
      <c r="B1514" s="19"/>
      <c r="C1514" s="19"/>
      <c r="D1514" s="27"/>
      <c r="E1514" s="27"/>
      <c r="F1514" s="28"/>
      <c r="G1514" s="31" t="str">
        <f t="shared" si="2"/>
        <v/>
      </c>
      <c r="H1514" s="30"/>
      <c r="I1514" s="21" t="str">
        <f t="shared" si="1"/>
        <v/>
      </c>
      <c r="J1514" s="19"/>
    </row>
    <row r="1515" ht="15.75" customHeight="1">
      <c r="A1515" s="3"/>
      <c r="B1515" s="19"/>
      <c r="C1515" s="19"/>
      <c r="D1515" s="27"/>
      <c r="E1515" s="27"/>
      <c r="F1515" s="28"/>
      <c r="G1515" s="31" t="str">
        <f t="shared" si="2"/>
        <v/>
      </c>
      <c r="H1515" s="30"/>
      <c r="I1515" s="21" t="str">
        <f t="shared" si="1"/>
        <v/>
      </c>
      <c r="J1515" s="19"/>
    </row>
    <row r="1516" ht="15.75" customHeight="1">
      <c r="A1516" s="3"/>
      <c r="B1516" s="19"/>
      <c r="C1516" s="19"/>
      <c r="D1516" s="27"/>
      <c r="E1516" s="27"/>
      <c r="F1516" s="28"/>
      <c r="G1516" s="31" t="str">
        <f t="shared" si="2"/>
        <v/>
      </c>
      <c r="H1516" s="30"/>
      <c r="I1516" s="21" t="str">
        <f t="shared" si="1"/>
        <v/>
      </c>
      <c r="J1516" s="19"/>
    </row>
    <row r="1517" ht="15.75" customHeight="1">
      <c r="A1517" s="3"/>
      <c r="B1517" s="19"/>
      <c r="C1517" s="19"/>
      <c r="D1517" s="27"/>
      <c r="E1517" s="27"/>
      <c r="F1517" s="28"/>
      <c r="G1517" s="31" t="str">
        <f t="shared" si="2"/>
        <v/>
      </c>
      <c r="H1517" s="30"/>
      <c r="I1517" s="21" t="str">
        <f t="shared" si="1"/>
        <v/>
      </c>
      <c r="J1517" s="19"/>
    </row>
    <row r="1518" ht="15.75" customHeight="1">
      <c r="A1518" s="3"/>
      <c r="B1518" s="19"/>
      <c r="C1518" s="19"/>
      <c r="D1518" s="27"/>
      <c r="E1518" s="27"/>
      <c r="F1518" s="28"/>
      <c r="G1518" s="31" t="str">
        <f t="shared" si="2"/>
        <v/>
      </c>
      <c r="H1518" s="30"/>
      <c r="I1518" s="21" t="str">
        <f t="shared" si="1"/>
        <v/>
      </c>
      <c r="J1518" s="19"/>
    </row>
    <row r="1519" ht="15.75" customHeight="1">
      <c r="A1519" s="3"/>
      <c r="B1519" s="19"/>
      <c r="C1519" s="19"/>
      <c r="D1519" s="27"/>
      <c r="E1519" s="27"/>
      <c r="F1519" s="28"/>
      <c r="G1519" s="31" t="str">
        <f t="shared" si="2"/>
        <v/>
      </c>
      <c r="H1519" s="30"/>
      <c r="I1519" s="21" t="str">
        <f t="shared" si="1"/>
        <v/>
      </c>
      <c r="J1519" s="19"/>
    </row>
    <row r="1520" ht="15.75" customHeight="1">
      <c r="A1520" s="3"/>
      <c r="B1520" s="19"/>
      <c r="C1520" s="19"/>
      <c r="D1520" s="27"/>
      <c r="E1520" s="27"/>
      <c r="F1520" s="28"/>
      <c r="G1520" s="31" t="str">
        <f t="shared" si="2"/>
        <v/>
      </c>
      <c r="H1520" s="30"/>
      <c r="I1520" s="21" t="str">
        <f t="shared" si="1"/>
        <v/>
      </c>
      <c r="J1520" s="19"/>
    </row>
    <row r="1521" ht="15.75" customHeight="1">
      <c r="A1521" s="3"/>
      <c r="B1521" s="19"/>
      <c r="C1521" s="19"/>
      <c r="D1521" s="27"/>
      <c r="E1521" s="27"/>
      <c r="F1521" s="28"/>
      <c r="G1521" s="31" t="str">
        <f t="shared" si="2"/>
        <v/>
      </c>
      <c r="H1521" s="30"/>
      <c r="I1521" s="21" t="str">
        <f t="shared" si="1"/>
        <v/>
      </c>
      <c r="J1521" s="19"/>
    </row>
    <row r="1522" ht="15.75" customHeight="1">
      <c r="A1522" s="3"/>
      <c r="B1522" s="19"/>
      <c r="C1522" s="19"/>
      <c r="D1522" s="27"/>
      <c r="E1522" s="27"/>
      <c r="F1522" s="28"/>
      <c r="G1522" s="31" t="str">
        <f t="shared" si="2"/>
        <v/>
      </c>
      <c r="H1522" s="30"/>
      <c r="I1522" s="21" t="str">
        <f t="shared" si="1"/>
        <v/>
      </c>
      <c r="J1522" s="19"/>
    </row>
    <row r="1523" ht="15.75" customHeight="1">
      <c r="A1523" s="3"/>
      <c r="B1523" s="19"/>
      <c r="C1523" s="19"/>
      <c r="D1523" s="27"/>
      <c r="E1523" s="27"/>
      <c r="F1523" s="28"/>
      <c r="G1523" s="31" t="str">
        <f t="shared" si="2"/>
        <v/>
      </c>
      <c r="H1523" s="30"/>
      <c r="I1523" s="21" t="str">
        <f t="shared" si="1"/>
        <v/>
      </c>
      <c r="J1523" s="19"/>
    </row>
    <row r="1524" ht="15.75" customHeight="1">
      <c r="A1524" s="3"/>
      <c r="B1524" s="19"/>
      <c r="C1524" s="19"/>
      <c r="D1524" s="27"/>
      <c r="E1524" s="27"/>
      <c r="F1524" s="28"/>
      <c r="G1524" s="31" t="str">
        <f t="shared" si="2"/>
        <v/>
      </c>
      <c r="H1524" s="30"/>
      <c r="I1524" s="21" t="str">
        <f t="shared" si="1"/>
        <v/>
      </c>
      <c r="J1524" s="19"/>
    </row>
    <row r="1525" ht="15.75" customHeight="1">
      <c r="A1525" s="3"/>
      <c r="B1525" s="19"/>
      <c r="C1525" s="19"/>
      <c r="D1525" s="27"/>
      <c r="E1525" s="27"/>
      <c r="F1525" s="28"/>
      <c r="G1525" s="31" t="str">
        <f t="shared" si="2"/>
        <v/>
      </c>
      <c r="H1525" s="30"/>
      <c r="I1525" s="21" t="str">
        <f t="shared" si="1"/>
        <v/>
      </c>
      <c r="J1525" s="19"/>
    </row>
    <row r="1526" ht="15.75" customHeight="1">
      <c r="A1526" s="3"/>
      <c r="B1526" s="19"/>
      <c r="C1526" s="19"/>
      <c r="D1526" s="27"/>
      <c r="E1526" s="27"/>
      <c r="F1526" s="28"/>
      <c r="G1526" s="31" t="str">
        <f t="shared" si="2"/>
        <v/>
      </c>
      <c r="H1526" s="30"/>
      <c r="I1526" s="21" t="str">
        <f t="shared" si="1"/>
        <v/>
      </c>
      <c r="J1526" s="19"/>
    </row>
    <row r="1527" ht="15.75" customHeight="1">
      <c r="A1527" s="3"/>
      <c r="B1527" s="19"/>
      <c r="C1527" s="19"/>
      <c r="D1527" s="27"/>
      <c r="E1527" s="27"/>
      <c r="F1527" s="28"/>
      <c r="G1527" s="31" t="str">
        <f t="shared" si="2"/>
        <v/>
      </c>
      <c r="H1527" s="30"/>
      <c r="I1527" s="21" t="str">
        <f t="shared" si="1"/>
        <v/>
      </c>
      <c r="J1527" s="19"/>
    </row>
    <row r="1528" ht="15.75" customHeight="1">
      <c r="A1528" s="3"/>
      <c r="B1528" s="19"/>
      <c r="C1528" s="19"/>
      <c r="D1528" s="27"/>
      <c r="E1528" s="27"/>
      <c r="F1528" s="28"/>
      <c r="G1528" s="31" t="str">
        <f t="shared" si="2"/>
        <v/>
      </c>
      <c r="H1528" s="30"/>
      <c r="I1528" s="21" t="str">
        <f t="shared" si="1"/>
        <v/>
      </c>
      <c r="J1528" s="19"/>
    </row>
    <row r="1529" ht="15.75" customHeight="1">
      <c r="A1529" s="3"/>
      <c r="B1529" s="19"/>
      <c r="C1529" s="19"/>
      <c r="D1529" s="27"/>
      <c r="E1529" s="27"/>
      <c r="F1529" s="28"/>
      <c r="G1529" s="31" t="str">
        <f t="shared" si="2"/>
        <v/>
      </c>
      <c r="H1529" s="30"/>
      <c r="I1529" s="21" t="str">
        <f t="shared" si="1"/>
        <v/>
      </c>
      <c r="J1529" s="19"/>
    </row>
    <row r="1530" ht="15.75" customHeight="1">
      <c r="A1530" s="3"/>
      <c r="B1530" s="19"/>
      <c r="C1530" s="19"/>
      <c r="D1530" s="27"/>
      <c r="E1530" s="27"/>
      <c r="F1530" s="28"/>
      <c r="G1530" s="31" t="str">
        <f t="shared" si="2"/>
        <v/>
      </c>
      <c r="H1530" s="30"/>
      <c r="I1530" s="21" t="str">
        <f t="shared" si="1"/>
        <v/>
      </c>
      <c r="J1530" s="19"/>
    </row>
    <row r="1531" ht="15.75" customHeight="1">
      <c r="A1531" s="3"/>
      <c r="B1531" s="19"/>
      <c r="C1531" s="19"/>
      <c r="D1531" s="27"/>
      <c r="E1531" s="27"/>
      <c r="F1531" s="28"/>
      <c r="G1531" s="31" t="str">
        <f t="shared" si="2"/>
        <v/>
      </c>
      <c r="H1531" s="30"/>
      <c r="I1531" s="21" t="str">
        <f t="shared" si="1"/>
        <v/>
      </c>
      <c r="J1531" s="19"/>
    </row>
    <row r="1532" ht="15.75" customHeight="1">
      <c r="A1532" s="3"/>
      <c r="B1532" s="19"/>
      <c r="C1532" s="19"/>
      <c r="D1532" s="27"/>
      <c r="E1532" s="27"/>
      <c r="F1532" s="28"/>
      <c r="G1532" s="31" t="str">
        <f t="shared" si="2"/>
        <v/>
      </c>
      <c r="H1532" s="30"/>
      <c r="I1532" s="21" t="str">
        <f t="shared" si="1"/>
        <v/>
      </c>
      <c r="J1532" s="19"/>
    </row>
    <row r="1533" ht="15.75" customHeight="1">
      <c r="A1533" s="3"/>
      <c r="B1533" s="19"/>
      <c r="C1533" s="19"/>
      <c r="D1533" s="27"/>
      <c r="E1533" s="27"/>
      <c r="F1533" s="28"/>
      <c r="G1533" s="31" t="str">
        <f t="shared" si="2"/>
        <v/>
      </c>
      <c r="H1533" s="30"/>
      <c r="I1533" s="21" t="str">
        <f t="shared" si="1"/>
        <v/>
      </c>
      <c r="J1533" s="19"/>
    </row>
    <row r="1534" ht="15.75" customHeight="1">
      <c r="A1534" s="3"/>
      <c r="B1534" s="19"/>
      <c r="C1534" s="19"/>
      <c r="D1534" s="27"/>
      <c r="E1534" s="27"/>
      <c r="F1534" s="28"/>
      <c r="G1534" s="31" t="str">
        <f t="shared" si="2"/>
        <v/>
      </c>
      <c r="H1534" s="30"/>
      <c r="I1534" s="21" t="str">
        <f t="shared" si="1"/>
        <v/>
      </c>
      <c r="J1534" s="19"/>
    </row>
    <row r="1535" ht="15.75" customHeight="1">
      <c r="A1535" s="3"/>
      <c r="B1535" s="19"/>
      <c r="C1535" s="19"/>
      <c r="D1535" s="27"/>
      <c r="E1535" s="27"/>
      <c r="F1535" s="28"/>
      <c r="G1535" s="31" t="str">
        <f t="shared" si="2"/>
        <v/>
      </c>
      <c r="H1535" s="30"/>
      <c r="I1535" s="21" t="str">
        <f t="shared" si="1"/>
        <v/>
      </c>
      <c r="J1535" s="19"/>
    </row>
    <row r="1536" ht="15.75" customHeight="1">
      <c r="A1536" s="3"/>
      <c r="B1536" s="19"/>
      <c r="C1536" s="19"/>
      <c r="D1536" s="27"/>
      <c r="E1536" s="27"/>
      <c r="F1536" s="28"/>
      <c r="G1536" s="31" t="str">
        <f t="shared" si="2"/>
        <v/>
      </c>
      <c r="H1536" s="30"/>
      <c r="I1536" s="21" t="str">
        <f t="shared" si="1"/>
        <v/>
      </c>
      <c r="J1536" s="19"/>
    </row>
    <row r="1537" ht="15.75" customHeight="1">
      <c r="A1537" s="3"/>
      <c r="B1537" s="19"/>
      <c r="C1537" s="19"/>
      <c r="D1537" s="27"/>
      <c r="E1537" s="27"/>
      <c r="F1537" s="28"/>
      <c r="G1537" s="31" t="str">
        <f t="shared" si="2"/>
        <v/>
      </c>
      <c r="H1537" s="30"/>
      <c r="I1537" s="21" t="str">
        <f t="shared" si="1"/>
        <v/>
      </c>
      <c r="J1537" s="19"/>
    </row>
    <row r="1538" ht="15.75" customHeight="1">
      <c r="A1538" s="3"/>
      <c r="B1538" s="19"/>
      <c r="C1538" s="19"/>
      <c r="D1538" s="27"/>
      <c r="E1538" s="27"/>
      <c r="F1538" s="28"/>
      <c r="G1538" s="31" t="str">
        <f t="shared" si="2"/>
        <v/>
      </c>
      <c r="H1538" s="30"/>
      <c r="I1538" s="21" t="str">
        <f t="shared" si="1"/>
        <v/>
      </c>
      <c r="J1538" s="19"/>
    </row>
    <row r="1539" ht="15.75" customHeight="1">
      <c r="A1539" s="3"/>
      <c r="B1539" s="19"/>
      <c r="C1539" s="19"/>
      <c r="D1539" s="27"/>
      <c r="E1539" s="27"/>
      <c r="F1539" s="28"/>
      <c r="G1539" s="31" t="str">
        <f t="shared" si="2"/>
        <v/>
      </c>
      <c r="H1539" s="30"/>
      <c r="I1539" s="21" t="str">
        <f t="shared" si="1"/>
        <v/>
      </c>
      <c r="J1539" s="19"/>
    </row>
    <row r="1540" ht="15.75" customHeight="1">
      <c r="A1540" s="3"/>
      <c r="B1540" s="19"/>
      <c r="C1540" s="19"/>
      <c r="D1540" s="27"/>
      <c r="E1540" s="27"/>
      <c r="F1540" s="28"/>
      <c r="G1540" s="31" t="str">
        <f t="shared" si="2"/>
        <v/>
      </c>
      <c r="H1540" s="30"/>
      <c r="I1540" s="21" t="str">
        <f t="shared" si="1"/>
        <v/>
      </c>
      <c r="J1540" s="19"/>
    </row>
    <row r="1541" ht="15.75" customHeight="1">
      <c r="A1541" s="3"/>
      <c r="B1541" s="19"/>
      <c r="C1541" s="19"/>
      <c r="D1541" s="27"/>
      <c r="E1541" s="27"/>
      <c r="F1541" s="28"/>
      <c r="G1541" s="31" t="str">
        <f t="shared" si="2"/>
        <v/>
      </c>
      <c r="H1541" s="30"/>
      <c r="I1541" s="21" t="str">
        <f t="shared" si="1"/>
        <v/>
      </c>
      <c r="J1541" s="19"/>
    </row>
    <row r="1542" ht="15.75" customHeight="1">
      <c r="A1542" s="3"/>
      <c r="B1542" s="19"/>
      <c r="C1542" s="19"/>
      <c r="D1542" s="27"/>
      <c r="E1542" s="27"/>
      <c r="F1542" s="28"/>
      <c r="G1542" s="31" t="str">
        <f t="shared" si="2"/>
        <v/>
      </c>
      <c r="H1542" s="30"/>
      <c r="I1542" s="21" t="str">
        <f t="shared" si="1"/>
        <v/>
      </c>
      <c r="J1542" s="19"/>
    </row>
    <row r="1543" ht="15.75" customHeight="1">
      <c r="A1543" s="3"/>
      <c r="B1543" s="19"/>
      <c r="C1543" s="19"/>
      <c r="D1543" s="27"/>
      <c r="E1543" s="27"/>
      <c r="F1543" s="28"/>
      <c r="G1543" s="31" t="str">
        <f t="shared" si="2"/>
        <v/>
      </c>
      <c r="H1543" s="30"/>
      <c r="I1543" s="21" t="str">
        <f t="shared" si="1"/>
        <v/>
      </c>
      <c r="J1543" s="19"/>
    </row>
    <row r="1544" ht="15.75" customHeight="1">
      <c r="A1544" s="3"/>
      <c r="B1544" s="19"/>
      <c r="C1544" s="19"/>
      <c r="D1544" s="27"/>
      <c r="E1544" s="27"/>
      <c r="F1544" s="28"/>
      <c r="G1544" s="31" t="str">
        <f t="shared" si="2"/>
        <v/>
      </c>
      <c r="H1544" s="30"/>
      <c r="I1544" s="21" t="str">
        <f t="shared" si="1"/>
        <v/>
      </c>
      <c r="J1544" s="19"/>
    </row>
    <row r="1545" ht="15.75" customHeight="1">
      <c r="A1545" s="3"/>
      <c r="B1545" s="19"/>
      <c r="C1545" s="19"/>
      <c r="D1545" s="27"/>
      <c r="E1545" s="27"/>
      <c r="F1545" s="28"/>
      <c r="G1545" s="31" t="str">
        <f t="shared" si="2"/>
        <v/>
      </c>
      <c r="H1545" s="30"/>
      <c r="I1545" s="21" t="str">
        <f t="shared" si="1"/>
        <v/>
      </c>
      <c r="J1545" s="19"/>
    </row>
    <row r="1546" ht="15.75" customHeight="1">
      <c r="A1546" s="3"/>
      <c r="B1546" s="19"/>
      <c r="C1546" s="19"/>
      <c r="D1546" s="27"/>
      <c r="E1546" s="27"/>
      <c r="F1546" s="28"/>
      <c r="G1546" s="31" t="str">
        <f t="shared" si="2"/>
        <v/>
      </c>
      <c r="H1546" s="30"/>
      <c r="I1546" s="21" t="str">
        <f t="shared" si="1"/>
        <v/>
      </c>
      <c r="J1546" s="19"/>
    </row>
    <row r="1547" ht="15.75" customHeight="1">
      <c r="A1547" s="3"/>
      <c r="B1547" s="19"/>
      <c r="C1547" s="19"/>
      <c r="D1547" s="27"/>
      <c r="E1547" s="27"/>
      <c r="F1547" s="28"/>
      <c r="G1547" s="31" t="str">
        <f t="shared" si="2"/>
        <v/>
      </c>
      <c r="H1547" s="30"/>
      <c r="I1547" s="21" t="str">
        <f t="shared" si="1"/>
        <v/>
      </c>
      <c r="J1547" s="19"/>
    </row>
    <row r="1548" ht="15.75" customHeight="1">
      <c r="A1548" s="3"/>
      <c r="B1548" s="19"/>
      <c r="C1548" s="19"/>
      <c r="D1548" s="27"/>
      <c r="E1548" s="27"/>
      <c r="F1548" s="28"/>
      <c r="G1548" s="31" t="str">
        <f t="shared" si="2"/>
        <v/>
      </c>
      <c r="H1548" s="30"/>
      <c r="I1548" s="21" t="str">
        <f t="shared" si="1"/>
        <v/>
      </c>
      <c r="J1548" s="19"/>
    </row>
    <row r="1549" ht="15.75" customHeight="1">
      <c r="A1549" s="3"/>
      <c r="B1549" s="19"/>
      <c r="C1549" s="19"/>
      <c r="D1549" s="27"/>
      <c r="E1549" s="27"/>
      <c r="F1549" s="28"/>
      <c r="G1549" s="31" t="str">
        <f t="shared" si="2"/>
        <v/>
      </c>
      <c r="H1549" s="30"/>
      <c r="I1549" s="21" t="str">
        <f t="shared" si="1"/>
        <v/>
      </c>
      <c r="J1549" s="19"/>
    </row>
    <row r="1550" ht="15.75" customHeight="1">
      <c r="A1550" s="3"/>
      <c r="B1550" s="19"/>
      <c r="C1550" s="19"/>
      <c r="D1550" s="27"/>
      <c r="E1550" s="27"/>
      <c r="F1550" s="28"/>
      <c r="G1550" s="31" t="str">
        <f t="shared" si="2"/>
        <v/>
      </c>
      <c r="H1550" s="30"/>
      <c r="I1550" s="21" t="str">
        <f t="shared" si="1"/>
        <v/>
      </c>
      <c r="J1550" s="19"/>
    </row>
    <row r="1551" ht="15.75" customHeight="1">
      <c r="A1551" s="3"/>
      <c r="B1551" s="19"/>
      <c r="C1551" s="19"/>
      <c r="D1551" s="27"/>
      <c r="E1551" s="27"/>
      <c r="F1551" s="28"/>
      <c r="G1551" s="31" t="str">
        <f t="shared" si="2"/>
        <v/>
      </c>
      <c r="H1551" s="30"/>
      <c r="I1551" s="21" t="str">
        <f t="shared" si="1"/>
        <v/>
      </c>
      <c r="J1551" s="19"/>
    </row>
    <row r="1552" ht="15.75" customHeight="1">
      <c r="A1552" s="3"/>
      <c r="B1552" s="19"/>
      <c r="C1552" s="19"/>
      <c r="D1552" s="27"/>
      <c r="E1552" s="27"/>
      <c r="F1552" s="28"/>
      <c r="G1552" s="31" t="str">
        <f t="shared" si="2"/>
        <v/>
      </c>
      <c r="H1552" s="30"/>
      <c r="I1552" s="21" t="str">
        <f t="shared" si="1"/>
        <v/>
      </c>
      <c r="J1552" s="19"/>
    </row>
    <row r="1553" ht="15.75" customHeight="1">
      <c r="A1553" s="3"/>
      <c r="B1553" s="19"/>
      <c r="C1553" s="19"/>
      <c r="D1553" s="27"/>
      <c r="E1553" s="27"/>
      <c r="F1553" s="28"/>
      <c r="G1553" s="31" t="str">
        <f t="shared" si="2"/>
        <v/>
      </c>
      <c r="H1553" s="30"/>
      <c r="I1553" s="21" t="str">
        <f t="shared" si="1"/>
        <v/>
      </c>
      <c r="J1553" s="19"/>
    </row>
    <row r="1554" ht="15.75" customHeight="1">
      <c r="A1554" s="3"/>
      <c r="B1554" s="19"/>
      <c r="C1554" s="19"/>
      <c r="D1554" s="27"/>
      <c r="E1554" s="27"/>
      <c r="F1554" s="28"/>
      <c r="G1554" s="31" t="str">
        <f t="shared" si="2"/>
        <v/>
      </c>
      <c r="H1554" s="30"/>
      <c r="I1554" s="21" t="str">
        <f t="shared" si="1"/>
        <v/>
      </c>
      <c r="J1554" s="19"/>
    </row>
    <row r="1555" ht="15.75" customHeight="1">
      <c r="A1555" s="3"/>
      <c r="B1555" s="19"/>
      <c r="C1555" s="19"/>
      <c r="D1555" s="27"/>
      <c r="E1555" s="27"/>
      <c r="F1555" s="28"/>
      <c r="G1555" s="31" t="str">
        <f t="shared" si="2"/>
        <v/>
      </c>
      <c r="H1555" s="30"/>
      <c r="I1555" s="21" t="str">
        <f t="shared" si="1"/>
        <v/>
      </c>
      <c r="J1555" s="19"/>
    </row>
    <row r="1556" ht="15.75" customHeight="1">
      <c r="A1556" s="3"/>
      <c r="B1556" s="19"/>
      <c r="C1556" s="19"/>
      <c r="D1556" s="27"/>
      <c r="E1556" s="27"/>
      <c r="F1556" s="28"/>
      <c r="G1556" s="31" t="str">
        <f t="shared" si="2"/>
        <v/>
      </c>
      <c r="H1556" s="30"/>
      <c r="I1556" s="21" t="str">
        <f t="shared" si="1"/>
        <v/>
      </c>
      <c r="J1556" s="19"/>
    </row>
    <row r="1557" ht="15.75" customHeight="1">
      <c r="A1557" s="3"/>
      <c r="B1557" s="19"/>
      <c r="C1557" s="19"/>
      <c r="D1557" s="27"/>
      <c r="E1557" s="27"/>
      <c r="F1557" s="28"/>
      <c r="G1557" s="31" t="str">
        <f t="shared" si="2"/>
        <v/>
      </c>
      <c r="H1557" s="30"/>
      <c r="I1557" s="21" t="str">
        <f t="shared" si="1"/>
        <v/>
      </c>
      <c r="J1557" s="19"/>
    </row>
    <row r="1558" ht="15.75" customHeight="1">
      <c r="A1558" s="3"/>
      <c r="B1558" s="19"/>
      <c r="C1558" s="19"/>
      <c r="D1558" s="27"/>
      <c r="E1558" s="27"/>
      <c r="F1558" s="28"/>
      <c r="G1558" s="31" t="str">
        <f t="shared" si="2"/>
        <v/>
      </c>
      <c r="H1558" s="30"/>
      <c r="I1558" s="21" t="str">
        <f t="shared" si="1"/>
        <v/>
      </c>
      <c r="J1558" s="19"/>
    </row>
    <row r="1559" ht="15.75" customHeight="1">
      <c r="A1559" s="3"/>
      <c r="B1559" s="19"/>
      <c r="C1559" s="19"/>
      <c r="D1559" s="27"/>
      <c r="E1559" s="27"/>
      <c r="F1559" s="28"/>
      <c r="G1559" s="31" t="str">
        <f t="shared" si="2"/>
        <v/>
      </c>
      <c r="H1559" s="30"/>
      <c r="I1559" s="21" t="str">
        <f t="shared" si="1"/>
        <v/>
      </c>
      <c r="J1559" s="19"/>
    </row>
    <row r="1560" ht="15.75" customHeight="1">
      <c r="A1560" s="3"/>
      <c r="B1560" s="19"/>
      <c r="C1560" s="19"/>
      <c r="D1560" s="27"/>
      <c r="E1560" s="27"/>
      <c r="F1560" s="28"/>
      <c r="G1560" s="31" t="str">
        <f t="shared" si="2"/>
        <v/>
      </c>
      <c r="H1560" s="30"/>
      <c r="I1560" s="21" t="str">
        <f t="shared" si="1"/>
        <v/>
      </c>
      <c r="J1560" s="19"/>
    </row>
    <row r="1561" ht="15.75" customHeight="1">
      <c r="A1561" s="3"/>
      <c r="B1561" s="19"/>
      <c r="C1561" s="19"/>
      <c r="D1561" s="27"/>
      <c r="E1561" s="27"/>
      <c r="F1561" s="28"/>
      <c r="G1561" s="31" t="str">
        <f t="shared" si="2"/>
        <v/>
      </c>
      <c r="H1561" s="30"/>
      <c r="I1561" s="21" t="str">
        <f t="shared" si="1"/>
        <v/>
      </c>
      <c r="J1561" s="19"/>
    </row>
    <row r="1562" ht="15.75" customHeight="1">
      <c r="A1562" s="3"/>
      <c r="B1562" s="19"/>
      <c r="C1562" s="19"/>
      <c r="D1562" s="27"/>
      <c r="E1562" s="27"/>
      <c r="F1562" s="28"/>
      <c r="G1562" s="31" t="str">
        <f t="shared" si="2"/>
        <v/>
      </c>
      <c r="H1562" s="30"/>
      <c r="I1562" s="21" t="str">
        <f t="shared" si="1"/>
        <v/>
      </c>
      <c r="J1562" s="19"/>
    </row>
    <row r="1563" ht="15.75" customHeight="1">
      <c r="A1563" s="3"/>
      <c r="B1563" s="19"/>
      <c r="C1563" s="19"/>
      <c r="D1563" s="27"/>
      <c r="E1563" s="27"/>
      <c r="F1563" s="28"/>
      <c r="G1563" s="31" t="str">
        <f t="shared" si="2"/>
        <v/>
      </c>
      <c r="H1563" s="30"/>
      <c r="I1563" s="21" t="str">
        <f t="shared" si="1"/>
        <v/>
      </c>
      <c r="J1563" s="19"/>
    </row>
    <row r="1564" ht="15.75" customHeight="1">
      <c r="A1564" s="3"/>
      <c r="B1564" s="19"/>
      <c r="C1564" s="19"/>
      <c r="D1564" s="27"/>
      <c r="E1564" s="27"/>
      <c r="F1564" s="28"/>
      <c r="G1564" s="31" t="str">
        <f t="shared" si="2"/>
        <v/>
      </c>
      <c r="H1564" s="30"/>
      <c r="I1564" s="21" t="str">
        <f t="shared" si="1"/>
        <v/>
      </c>
      <c r="J1564" s="19"/>
    </row>
    <row r="1565" ht="15.75" customHeight="1">
      <c r="A1565" s="3"/>
      <c r="B1565" s="19"/>
      <c r="C1565" s="19"/>
      <c r="D1565" s="27"/>
      <c r="E1565" s="27"/>
      <c r="F1565" s="28"/>
      <c r="G1565" s="31" t="str">
        <f t="shared" si="2"/>
        <v/>
      </c>
      <c r="H1565" s="30"/>
      <c r="I1565" s="21" t="str">
        <f t="shared" si="1"/>
        <v/>
      </c>
      <c r="J1565" s="19"/>
    </row>
    <row r="1566" ht="15.75" customHeight="1">
      <c r="A1566" s="3"/>
      <c r="B1566" s="19"/>
      <c r="C1566" s="19"/>
      <c r="D1566" s="27"/>
      <c r="E1566" s="27"/>
      <c r="F1566" s="28"/>
      <c r="G1566" s="31" t="str">
        <f t="shared" si="2"/>
        <v/>
      </c>
      <c r="H1566" s="30"/>
      <c r="I1566" s="21" t="str">
        <f t="shared" si="1"/>
        <v/>
      </c>
      <c r="J1566" s="19"/>
    </row>
    <row r="1567" ht="15.75" customHeight="1">
      <c r="A1567" s="3"/>
      <c r="B1567" s="19"/>
      <c r="C1567" s="19"/>
      <c r="D1567" s="27"/>
      <c r="E1567" s="27"/>
      <c r="F1567" s="28"/>
      <c r="G1567" s="31" t="str">
        <f t="shared" si="2"/>
        <v/>
      </c>
      <c r="H1567" s="30"/>
      <c r="I1567" s="21" t="str">
        <f t="shared" si="1"/>
        <v/>
      </c>
      <c r="J1567" s="19"/>
    </row>
    <row r="1568" ht="15.75" customHeight="1">
      <c r="A1568" s="3"/>
      <c r="B1568" s="19"/>
      <c r="C1568" s="19"/>
      <c r="D1568" s="27"/>
      <c r="E1568" s="27"/>
      <c r="F1568" s="28"/>
      <c r="G1568" s="31" t="str">
        <f t="shared" si="2"/>
        <v/>
      </c>
      <c r="H1568" s="30"/>
      <c r="I1568" s="21" t="str">
        <f t="shared" si="1"/>
        <v/>
      </c>
      <c r="J1568" s="19"/>
    </row>
    <row r="1569" ht="15.75" customHeight="1">
      <c r="A1569" s="3"/>
      <c r="B1569" s="19"/>
      <c r="C1569" s="19"/>
      <c r="D1569" s="27"/>
      <c r="E1569" s="27"/>
      <c r="F1569" s="28"/>
      <c r="G1569" s="31" t="str">
        <f t="shared" si="2"/>
        <v/>
      </c>
      <c r="H1569" s="30"/>
      <c r="I1569" s="21" t="str">
        <f t="shared" si="1"/>
        <v/>
      </c>
      <c r="J1569" s="19"/>
    </row>
    <row r="1570" ht="15.75" customHeight="1">
      <c r="A1570" s="3"/>
      <c r="B1570" s="19"/>
      <c r="C1570" s="19"/>
      <c r="D1570" s="27"/>
      <c r="E1570" s="27"/>
      <c r="F1570" s="28"/>
      <c r="G1570" s="31" t="str">
        <f t="shared" si="2"/>
        <v/>
      </c>
      <c r="H1570" s="30"/>
      <c r="I1570" s="21" t="str">
        <f t="shared" si="1"/>
        <v/>
      </c>
      <c r="J1570" s="19"/>
    </row>
    <row r="1571" ht="15.75" customHeight="1">
      <c r="A1571" s="3"/>
      <c r="B1571" s="19"/>
      <c r="C1571" s="19"/>
      <c r="D1571" s="27"/>
      <c r="E1571" s="27"/>
      <c r="F1571" s="28"/>
      <c r="G1571" s="31" t="str">
        <f t="shared" si="2"/>
        <v/>
      </c>
      <c r="H1571" s="30"/>
      <c r="I1571" s="21" t="str">
        <f t="shared" si="1"/>
        <v/>
      </c>
      <c r="J1571" s="19"/>
    </row>
    <row r="1572" ht="15.75" customHeight="1">
      <c r="A1572" s="3"/>
      <c r="B1572" s="19"/>
      <c r="C1572" s="19"/>
      <c r="D1572" s="27"/>
      <c r="E1572" s="27"/>
      <c r="F1572" s="28"/>
      <c r="G1572" s="31" t="str">
        <f t="shared" si="2"/>
        <v/>
      </c>
      <c r="H1572" s="30"/>
      <c r="I1572" s="21" t="str">
        <f t="shared" si="1"/>
        <v/>
      </c>
      <c r="J1572" s="19"/>
    </row>
    <row r="1573" ht="15.75" customHeight="1">
      <c r="A1573" s="3"/>
      <c r="B1573" s="19"/>
      <c r="C1573" s="19"/>
      <c r="D1573" s="27"/>
      <c r="E1573" s="27"/>
      <c r="F1573" s="28"/>
      <c r="G1573" s="31" t="str">
        <f t="shared" si="2"/>
        <v/>
      </c>
      <c r="H1573" s="30"/>
      <c r="I1573" s="21" t="str">
        <f t="shared" si="1"/>
        <v/>
      </c>
      <c r="J1573" s="19"/>
    </row>
    <row r="1574" ht="15.75" customHeight="1">
      <c r="A1574" s="3"/>
      <c r="B1574" s="19"/>
      <c r="C1574" s="19"/>
      <c r="D1574" s="27"/>
      <c r="E1574" s="27"/>
      <c r="F1574" s="28"/>
      <c r="G1574" s="31" t="str">
        <f t="shared" si="2"/>
        <v/>
      </c>
      <c r="H1574" s="30"/>
      <c r="I1574" s="21" t="str">
        <f t="shared" si="1"/>
        <v/>
      </c>
      <c r="J1574" s="19"/>
    </row>
    <row r="1575" ht="15.75" customHeight="1">
      <c r="A1575" s="3"/>
      <c r="B1575" s="19"/>
      <c r="C1575" s="19"/>
      <c r="D1575" s="27"/>
      <c r="E1575" s="27"/>
      <c r="F1575" s="28"/>
      <c r="G1575" s="31" t="str">
        <f t="shared" si="2"/>
        <v/>
      </c>
      <c r="H1575" s="30"/>
      <c r="I1575" s="21" t="str">
        <f t="shared" si="1"/>
        <v/>
      </c>
      <c r="J1575" s="19"/>
    </row>
    <row r="1576" ht="15.75" customHeight="1">
      <c r="A1576" s="3"/>
      <c r="B1576" s="19"/>
      <c r="C1576" s="19"/>
      <c r="D1576" s="27"/>
      <c r="E1576" s="27"/>
      <c r="F1576" s="28"/>
      <c r="G1576" s="31" t="str">
        <f t="shared" si="2"/>
        <v/>
      </c>
      <c r="H1576" s="30"/>
      <c r="I1576" s="21" t="str">
        <f t="shared" si="1"/>
        <v/>
      </c>
      <c r="J1576" s="19"/>
    </row>
    <row r="1577" ht="15.75" customHeight="1">
      <c r="A1577" s="3"/>
      <c r="B1577" s="19"/>
      <c r="C1577" s="19"/>
      <c r="D1577" s="27"/>
      <c r="E1577" s="27"/>
      <c r="F1577" s="28"/>
      <c r="G1577" s="31" t="str">
        <f t="shared" si="2"/>
        <v/>
      </c>
      <c r="H1577" s="30"/>
      <c r="I1577" s="21" t="str">
        <f t="shared" si="1"/>
        <v/>
      </c>
      <c r="J1577" s="19"/>
    </row>
    <row r="1578" ht="15.75" customHeight="1">
      <c r="A1578" s="3"/>
      <c r="B1578" s="19"/>
      <c r="C1578" s="19"/>
      <c r="D1578" s="27"/>
      <c r="E1578" s="27"/>
      <c r="F1578" s="28"/>
      <c r="G1578" s="31" t="str">
        <f t="shared" si="2"/>
        <v/>
      </c>
      <c r="H1578" s="30"/>
      <c r="I1578" s="21" t="str">
        <f t="shared" si="1"/>
        <v/>
      </c>
      <c r="J1578" s="19"/>
    </row>
    <row r="1579" ht="15.75" customHeight="1">
      <c r="A1579" s="3"/>
      <c r="B1579" s="19"/>
      <c r="C1579" s="19"/>
      <c r="D1579" s="27"/>
      <c r="E1579" s="27"/>
      <c r="F1579" s="28"/>
      <c r="G1579" s="31" t="str">
        <f t="shared" si="2"/>
        <v/>
      </c>
      <c r="H1579" s="30"/>
      <c r="I1579" s="21" t="str">
        <f t="shared" si="1"/>
        <v/>
      </c>
      <c r="J1579" s="19"/>
    </row>
    <row r="1580" ht="15.75" customHeight="1">
      <c r="A1580" s="3"/>
      <c r="B1580" s="19"/>
      <c r="C1580" s="19"/>
      <c r="D1580" s="27"/>
      <c r="E1580" s="27"/>
      <c r="F1580" s="28"/>
      <c r="G1580" s="31" t="str">
        <f t="shared" si="2"/>
        <v/>
      </c>
      <c r="H1580" s="30"/>
      <c r="I1580" s="21" t="str">
        <f t="shared" si="1"/>
        <v/>
      </c>
      <c r="J1580" s="19"/>
    </row>
    <row r="1581" ht="15.75" customHeight="1">
      <c r="A1581" s="3"/>
      <c r="B1581" s="19"/>
      <c r="C1581" s="19"/>
      <c r="D1581" s="27"/>
      <c r="E1581" s="27"/>
      <c r="F1581" s="28"/>
      <c r="G1581" s="31" t="str">
        <f t="shared" si="2"/>
        <v/>
      </c>
      <c r="H1581" s="30"/>
      <c r="I1581" s="21" t="str">
        <f t="shared" si="1"/>
        <v/>
      </c>
      <c r="J1581" s="19"/>
    </row>
    <row r="1582" ht="15.75" customHeight="1">
      <c r="A1582" s="3"/>
      <c r="B1582" s="19"/>
      <c r="C1582" s="19"/>
      <c r="D1582" s="27"/>
      <c r="E1582" s="27"/>
      <c r="F1582" s="28"/>
      <c r="G1582" s="31" t="str">
        <f t="shared" si="2"/>
        <v/>
      </c>
      <c r="H1582" s="30"/>
      <c r="I1582" s="21" t="str">
        <f t="shared" si="1"/>
        <v/>
      </c>
      <c r="J1582" s="19"/>
    </row>
    <row r="1583" ht="15.75" customHeight="1">
      <c r="A1583" s="3"/>
      <c r="B1583" s="19"/>
      <c r="C1583" s="19"/>
      <c r="D1583" s="27"/>
      <c r="E1583" s="27"/>
      <c r="F1583" s="28"/>
      <c r="G1583" s="31" t="str">
        <f t="shared" si="2"/>
        <v/>
      </c>
      <c r="H1583" s="30"/>
      <c r="I1583" s="21" t="str">
        <f t="shared" si="1"/>
        <v/>
      </c>
      <c r="J1583" s="19"/>
    </row>
    <row r="1584" ht="15.75" customHeight="1">
      <c r="A1584" s="3"/>
      <c r="B1584" s="19"/>
      <c r="C1584" s="19"/>
      <c r="D1584" s="27"/>
      <c r="E1584" s="27"/>
      <c r="F1584" s="28"/>
      <c r="G1584" s="31" t="str">
        <f t="shared" si="2"/>
        <v/>
      </c>
      <c r="H1584" s="30"/>
      <c r="I1584" s="21" t="str">
        <f t="shared" si="1"/>
        <v/>
      </c>
      <c r="J1584" s="19"/>
    </row>
    <row r="1585" ht="15.75" customHeight="1">
      <c r="A1585" s="3"/>
      <c r="B1585" s="19"/>
      <c r="C1585" s="19"/>
      <c r="D1585" s="27"/>
      <c r="E1585" s="27"/>
      <c r="F1585" s="28"/>
      <c r="G1585" s="31" t="str">
        <f t="shared" si="2"/>
        <v/>
      </c>
      <c r="H1585" s="30"/>
      <c r="I1585" s="21" t="str">
        <f t="shared" si="1"/>
        <v/>
      </c>
      <c r="J1585" s="19"/>
    </row>
    <row r="1586" ht="15.75" customHeight="1">
      <c r="A1586" s="3"/>
      <c r="B1586" s="19"/>
      <c r="C1586" s="19"/>
      <c r="D1586" s="27"/>
      <c r="E1586" s="27"/>
      <c r="F1586" s="28"/>
      <c r="G1586" s="31" t="str">
        <f t="shared" si="2"/>
        <v/>
      </c>
      <c r="H1586" s="30"/>
      <c r="I1586" s="21" t="str">
        <f t="shared" si="1"/>
        <v/>
      </c>
      <c r="J1586" s="19"/>
    </row>
    <row r="1587" ht="15.75" customHeight="1">
      <c r="A1587" s="3"/>
      <c r="B1587" s="19"/>
      <c r="C1587" s="19"/>
      <c r="D1587" s="27"/>
      <c r="E1587" s="27"/>
      <c r="F1587" s="28"/>
      <c r="G1587" s="31" t="str">
        <f t="shared" si="2"/>
        <v/>
      </c>
      <c r="H1587" s="30"/>
      <c r="I1587" s="21" t="str">
        <f t="shared" si="1"/>
        <v/>
      </c>
      <c r="J1587" s="19"/>
    </row>
    <row r="1588" ht="15.75" customHeight="1">
      <c r="A1588" s="3"/>
      <c r="B1588" s="19"/>
      <c r="C1588" s="19"/>
      <c r="D1588" s="27"/>
      <c r="E1588" s="27"/>
      <c r="F1588" s="28"/>
      <c r="G1588" s="31" t="str">
        <f t="shared" si="2"/>
        <v/>
      </c>
      <c r="H1588" s="30"/>
      <c r="I1588" s="21" t="str">
        <f t="shared" si="1"/>
        <v/>
      </c>
      <c r="J1588" s="19"/>
    </row>
    <row r="1589" ht="15.75" customHeight="1">
      <c r="A1589" s="3"/>
      <c r="B1589" s="19"/>
      <c r="C1589" s="19"/>
      <c r="D1589" s="27"/>
      <c r="E1589" s="27"/>
      <c r="F1589" s="28"/>
      <c r="G1589" s="31" t="str">
        <f t="shared" si="2"/>
        <v/>
      </c>
      <c r="H1589" s="30"/>
      <c r="I1589" s="21" t="str">
        <f t="shared" si="1"/>
        <v/>
      </c>
      <c r="J1589" s="19"/>
    </row>
    <row r="1590" ht="15.75" customHeight="1">
      <c r="A1590" s="3"/>
      <c r="B1590" s="19"/>
      <c r="C1590" s="19"/>
      <c r="D1590" s="27"/>
      <c r="E1590" s="27"/>
      <c r="F1590" s="28"/>
      <c r="G1590" s="31" t="str">
        <f t="shared" si="2"/>
        <v/>
      </c>
      <c r="H1590" s="30"/>
      <c r="I1590" s="21" t="str">
        <f t="shared" si="1"/>
        <v/>
      </c>
      <c r="J1590" s="19"/>
    </row>
    <row r="1591" ht="15.75" customHeight="1">
      <c r="A1591" s="3"/>
      <c r="B1591" s="19"/>
      <c r="C1591" s="19"/>
      <c r="D1591" s="27"/>
      <c r="E1591" s="27"/>
      <c r="F1591" s="28"/>
      <c r="G1591" s="31" t="str">
        <f t="shared" si="2"/>
        <v/>
      </c>
      <c r="H1591" s="30"/>
      <c r="I1591" s="21" t="str">
        <f t="shared" si="1"/>
        <v/>
      </c>
      <c r="J1591" s="19"/>
    </row>
    <row r="1592" ht="15.75" customHeight="1">
      <c r="A1592" s="3"/>
      <c r="B1592" s="19"/>
      <c r="C1592" s="19"/>
      <c r="D1592" s="27"/>
      <c r="E1592" s="27"/>
      <c r="F1592" s="28"/>
      <c r="G1592" s="31" t="str">
        <f t="shared" si="2"/>
        <v/>
      </c>
      <c r="H1592" s="30"/>
      <c r="I1592" s="21" t="str">
        <f t="shared" si="1"/>
        <v/>
      </c>
      <c r="J1592" s="19"/>
    </row>
    <row r="1593" ht="15.75" customHeight="1">
      <c r="A1593" s="3"/>
      <c r="B1593" s="19"/>
      <c r="C1593" s="19"/>
      <c r="D1593" s="27"/>
      <c r="E1593" s="27"/>
      <c r="F1593" s="28"/>
      <c r="G1593" s="31" t="str">
        <f t="shared" si="2"/>
        <v/>
      </c>
      <c r="H1593" s="30"/>
      <c r="I1593" s="21" t="str">
        <f t="shared" si="1"/>
        <v/>
      </c>
      <c r="J1593" s="19"/>
    </row>
    <row r="1594" ht="15.75" customHeight="1">
      <c r="A1594" s="3"/>
      <c r="B1594" s="19"/>
      <c r="C1594" s="19"/>
      <c r="D1594" s="27"/>
      <c r="E1594" s="27"/>
      <c r="F1594" s="28"/>
      <c r="G1594" s="31" t="str">
        <f t="shared" si="2"/>
        <v/>
      </c>
      <c r="H1594" s="30"/>
      <c r="I1594" s="21" t="str">
        <f t="shared" si="1"/>
        <v/>
      </c>
      <c r="J1594" s="19"/>
    </row>
    <row r="1595" ht="15.75" customHeight="1">
      <c r="A1595" s="3"/>
      <c r="B1595" s="19"/>
      <c r="C1595" s="19"/>
      <c r="D1595" s="27"/>
      <c r="E1595" s="27"/>
      <c r="F1595" s="28"/>
      <c r="G1595" s="31" t="str">
        <f t="shared" si="2"/>
        <v/>
      </c>
      <c r="H1595" s="30"/>
      <c r="I1595" s="21" t="str">
        <f t="shared" si="1"/>
        <v/>
      </c>
      <c r="J1595" s="19"/>
    </row>
    <row r="1596" ht="15.75" customHeight="1">
      <c r="A1596" s="3"/>
      <c r="B1596" s="19"/>
      <c r="C1596" s="19"/>
      <c r="D1596" s="27"/>
      <c r="E1596" s="27"/>
      <c r="F1596" s="28"/>
      <c r="G1596" s="31" t="str">
        <f t="shared" si="2"/>
        <v/>
      </c>
      <c r="H1596" s="30"/>
      <c r="I1596" s="21" t="str">
        <f t="shared" si="1"/>
        <v/>
      </c>
      <c r="J1596" s="19"/>
    </row>
    <row r="1597" ht="15.75" customHeight="1">
      <c r="A1597" s="3"/>
      <c r="B1597" s="19"/>
      <c r="C1597" s="19"/>
      <c r="D1597" s="27"/>
      <c r="E1597" s="27"/>
      <c r="F1597" s="28"/>
      <c r="G1597" s="31" t="str">
        <f t="shared" si="2"/>
        <v/>
      </c>
      <c r="H1597" s="30"/>
      <c r="I1597" s="21" t="str">
        <f t="shared" si="1"/>
        <v/>
      </c>
      <c r="J1597" s="19"/>
    </row>
    <row r="1598" ht="15.75" customHeight="1">
      <c r="A1598" s="3"/>
      <c r="B1598" s="19"/>
      <c r="C1598" s="19"/>
      <c r="D1598" s="27"/>
      <c r="E1598" s="27"/>
      <c r="F1598" s="28"/>
      <c r="G1598" s="31" t="str">
        <f t="shared" si="2"/>
        <v/>
      </c>
      <c r="H1598" s="30"/>
      <c r="I1598" s="21" t="str">
        <f t="shared" si="1"/>
        <v/>
      </c>
      <c r="J1598" s="19"/>
    </row>
    <row r="1599" ht="15.75" customHeight="1">
      <c r="A1599" s="3"/>
      <c r="B1599" s="19"/>
      <c r="C1599" s="19"/>
      <c r="D1599" s="27"/>
      <c r="E1599" s="27"/>
      <c r="F1599" s="28"/>
      <c r="G1599" s="31" t="str">
        <f t="shared" si="2"/>
        <v/>
      </c>
      <c r="H1599" s="30"/>
      <c r="I1599" s="21" t="str">
        <f t="shared" si="1"/>
        <v/>
      </c>
      <c r="J1599" s="19"/>
    </row>
    <row r="1600" ht="15.75" customHeight="1">
      <c r="A1600" s="3"/>
      <c r="B1600" s="19"/>
      <c r="C1600" s="19"/>
      <c r="D1600" s="27"/>
      <c r="E1600" s="27"/>
      <c r="F1600" s="28"/>
      <c r="G1600" s="31" t="str">
        <f t="shared" si="2"/>
        <v/>
      </c>
      <c r="H1600" s="30"/>
      <c r="I1600" s="21" t="str">
        <f t="shared" si="1"/>
        <v/>
      </c>
      <c r="J1600" s="19"/>
    </row>
    <row r="1601" ht="15.75" customHeight="1">
      <c r="A1601" s="3"/>
      <c r="B1601" s="19"/>
      <c r="C1601" s="19"/>
      <c r="D1601" s="27"/>
      <c r="E1601" s="27"/>
      <c r="F1601" s="28"/>
      <c r="G1601" s="31" t="str">
        <f t="shared" si="2"/>
        <v/>
      </c>
      <c r="H1601" s="30"/>
      <c r="I1601" s="21" t="str">
        <f t="shared" si="1"/>
        <v/>
      </c>
      <c r="J1601" s="19"/>
    </row>
    <row r="1602" ht="15.75" customHeight="1">
      <c r="A1602" s="3"/>
      <c r="B1602" s="19"/>
      <c r="C1602" s="19"/>
      <c r="D1602" s="27"/>
      <c r="E1602" s="27"/>
      <c r="F1602" s="28"/>
      <c r="G1602" s="31" t="str">
        <f t="shared" si="2"/>
        <v/>
      </c>
      <c r="H1602" s="30"/>
      <c r="I1602" s="21" t="str">
        <f t="shared" si="1"/>
        <v/>
      </c>
      <c r="J1602" s="19"/>
    </row>
    <row r="1603" ht="15.75" customHeight="1">
      <c r="A1603" s="3"/>
      <c r="B1603" s="19"/>
      <c r="C1603" s="19"/>
      <c r="D1603" s="27"/>
      <c r="E1603" s="27"/>
      <c r="F1603" s="28"/>
      <c r="G1603" s="31" t="str">
        <f t="shared" si="2"/>
        <v/>
      </c>
      <c r="H1603" s="30"/>
      <c r="I1603" s="21" t="str">
        <f t="shared" si="1"/>
        <v/>
      </c>
      <c r="J1603" s="19"/>
    </row>
    <row r="1604" ht="15.75" customHeight="1">
      <c r="A1604" s="3"/>
      <c r="B1604" s="19"/>
      <c r="C1604" s="19"/>
      <c r="D1604" s="27"/>
      <c r="E1604" s="27"/>
      <c r="F1604" s="28"/>
      <c r="G1604" s="31" t="str">
        <f t="shared" si="2"/>
        <v/>
      </c>
      <c r="H1604" s="30"/>
      <c r="I1604" s="21" t="str">
        <f t="shared" si="1"/>
        <v/>
      </c>
      <c r="J1604" s="19"/>
    </row>
    <row r="1605" ht="15.75" customHeight="1">
      <c r="A1605" s="3"/>
      <c r="B1605" s="19"/>
      <c r="C1605" s="19"/>
      <c r="D1605" s="27"/>
      <c r="E1605" s="27"/>
      <c r="F1605" s="28"/>
      <c r="G1605" s="31" t="str">
        <f t="shared" si="2"/>
        <v/>
      </c>
      <c r="H1605" s="30"/>
      <c r="I1605" s="21" t="str">
        <f t="shared" si="1"/>
        <v/>
      </c>
      <c r="J1605" s="19"/>
    </row>
    <row r="1606" ht="15.75" customHeight="1">
      <c r="A1606" s="3"/>
      <c r="B1606" s="19"/>
      <c r="C1606" s="19"/>
      <c r="D1606" s="27"/>
      <c r="E1606" s="27"/>
      <c r="F1606" s="28"/>
      <c r="G1606" s="31" t="str">
        <f t="shared" si="2"/>
        <v/>
      </c>
      <c r="H1606" s="30"/>
      <c r="I1606" s="21" t="str">
        <f t="shared" si="1"/>
        <v/>
      </c>
      <c r="J1606" s="19"/>
    </row>
    <row r="1607" ht="15.75" customHeight="1">
      <c r="A1607" s="3"/>
      <c r="B1607" s="19"/>
      <c r="C1607" s="19"/>
      <c r="D1607" s="27"/>
      <c r="E1607" s="27"/>
      <c r="F1607" s="28"/>
      <c r="G1607" s="31" t="str">
        <f t="shared" si="2"/>
        <v/>
      </c>
      <c r="H1607" s="30"/>
      <c r="I1607" s="21" t="str">
        <f t="shared" si="1"/>
        <v/>
      </c>
      <c r="J1607" s="19"/>
    </row>
    <row r="1608" ht="15.75" customHeight="1">
      <c r="A1608" s="3"/>
      <c r="B1608" s="19"/>
      <c r="C1608" s="19"/>
      <c r="D1608" s="27"/>
      <c r="E1608" s="27"/>
      <c r="F1608" s="28"/>
      <c r="G1608" s="31" t="str">
        <f t="shared" si="2"/>
        <v/>
      </c>
      <c r="H1608" s="30"/>
      <c r="I1608" s="21" t="str">
        <f t="shared" si="1"/>
        <v/>
      </c>
      <c r="J1608" s="19"/>
    </row>
    <row r="1609" ht="15.75" customHeight="1">
      <c r="A1609" s="3"/>
      <c r="B1609" s="19"/>
      <c r="C1609" s="19"/>
      <c r="D1609" s="27"/>
      <c r="E1609" s="27"/>
      <c r="F1609" s="28"/>
      <c r="G1609" s="31" t="str">
        <f t="shared" si="2"/>
        <v/>
      </c>
      <c r="H1609" s="30"/>
      <c r="I1609" s="21" t="str">
        <f t="shared" si="1"/>
        <v/>
      </c>
      <c r="J1609" s="19"/>
    </row>
    <row r="1610" ht="15.75" customHeight="1">
      <c r="A1610" s="3"/>
      <c r="B1610" s="19"/>
      <c r="C1610" s="19"/>
      <c r="D1610" s="27"/>
      <c r="E1610" s="27"/>
      <c r="F1610" s="28"/>
      <c r="G1610" s="31" t="str">
        <f t="shared" si="2"/>
        <v/>
      </c>
      <c r="H1610" s="30"/>
      <c r="I1610" s="21" t="str">
        <f t="shared" si="1"/>
        <v/>
      </c>
      <c r="J1610" s="19"/>
    </row>
    <row r="1611" ht="15.75" customHeight="1">
      <c r="A1611" s="3"/>
      <c r="B1611" s="19"/>
      <c r="C1611" s="19"/>
      <c r="D1611" s="27"/>
      <c r="E1611" s="27"/>
      <c r="F1611" s="28"/>
      <c r="G1611" s="31" t="str">
        <f t="shared" si="2"/>
        <v/>
      </c>
      <c r="H1611" s="30"/>
      <c r="I1611" s="21" t="str">
        <f t="shared" si="1"/>
        <v/>
      </c>
      <c r="J1611" s="19"/>
    </row>
    <row r="1612" ht="15.75" customHeight="1">
      <c r="A1612" s="3"/>
      <c r="B1612" s="19"/>
      <c r="C1612" s="19"/>
      <c r="D1612" s="27"/>
      <c r="E1612" s="27"/>
      <c r="F1612" s="28"/>
      <c r="G1612" s="31" t="str">
        <f t="shared" si="2"/>
        <v/>
      </c>
      <c r="H1612" s="30"/>
      <c r="I1612" s="21" t="str">
        <f t="shared" si="1"/>
        <v/>
      </c>
      <c r="J1612" s="19"/>
    </row>
    <row r="1613" ht="15.75" customHeight="1">
      <c r="A1613" s="3"/>
      <c r="B1613" s="19"/>
      <c r="C1613" s="19"/>
      <c r="D1613" s="27"/>
      <c r="E1613" s="27"/>
      <c r="F1613" s="28"/>
      <c r="G1613" s="31" t="str">
        <f t="shared" si="2"/>
        <v/>
      </c>
      <c r="H1613" s="30"/>
      <c r="I1613" s="21" t="str">
        <f t="shared" si="1"/>
        <v/>
      </c>
      <c r="J1613" s="19"/>
    </row>
    <row r="1614" ht="15.75" customHeight="1">
      <c r="A1614" s="3"/>
      <c r="B1614" s="19"/>
      <c r="C1614" s="19"/>
      <c r="D1614" s="27"/>
      <c r="E1614" s="27"/>
      <c r="F1614" s="28"/>
      <c r="G1614" s="31" t="str">
        <f t="shared" si="2"/>
        <v/>
      </c>
      <c r="H1614" s="30"/>
      <c r="I1614" s="21" t="str">
        <f t="shared" si="1"/>
        <v/>
      </c>
      <c r="J1614" s="19"/>
    </row>
    <row r="1615" ht="15.75" customHeight="1">
      <c r="A1615" s="3"/>
      <c r="B1615" s="19"/>
      <c r="C1615" s="19"/>
      <c r="D1615" s="27"/>
      <c r="E1615" s="27"/>
      <c r="F1615" s="28"/>
      <c r="G1615" s="31" t="str">
        <f t="shared" si="2"/>
        <v/>
      </c>
      <c r="H1615" s="30"/>
      <c r="I1615" s="21" t="str">
        <f t="shared" si="1"/>
        <v/>
      </c>
      <c r="J1615" s="19"/>
    </row>
    <row r="1616" ht="15.75" customHeight="1">
      <c r="A1616" s="3"/>
      <c r="B1616" s="19"/>
      <c r="C1616" s="19"/>
      <c r="D1616" s="27"/>
      <c r="E1616" s="27"/>
      <c r="F1616" s="28"/>
      <c r="G1616" s="31" t="str">
        <f t="shared" si="2"/>
        <v/>
      </c>
      <c r="H1616" s="30"/>
      <c r="I1616" s="21" t="str">
        <f t="shared" si="1"/>
        <v/>
      </c>
      <c r="J1616" s="19"/>
    </row>
    <row r="1617" ht="15.75" customHeight="1">
      <c r="A1617" s="3"/>
      <c r="B1617" s="19"/>
      <c r="C1617" s="19"/>
      <c r="D1617" s="27"/>
      <c r="E1617" s="27"/>
      <c r="F1617" s="28"/>
      <c r="G1617" s="31" t="str">
        <f t="shared" si="2"/>
        <v/>
      </c>
      <c r="H1617" s="30"/>
      <c r="I1617" s="21" t="str">
        <f t="shared" si="1"/>
        <v/>
      </c>
      <c r="J1617" s="19"/>
    </row>
    <row r="1618" ht="15.75" customHeight="1">
      <c r="A1618" s="3"/>
      <c r="B1618" s="19"/>
      <c r="C1618" s="19"/>
      <c r="D1618" s="27"/>
      <c r="E1618" s="27"/>
      <c r="F1618" s="28"/>
      <c r="G1618" s="31" t="str">
        <f t="shared" si="2"/>
        <v/>
      </c>
      <c r="H1618" s="30"/>
      <c r="I1618" s="21" t="str">
        <f t="shared" si="1"/>
        <v/>
      </c>
      <c r="J1618" s="19"/>
    </row>
    <row r="1619" ht="15.75" customHeight="1">
      <c r="A1619" s="3"/>
      <c r="B1619" s="19"/>
      <c r="C1619" s="19"/>
      <c r="D1619" s="27"/>
      <c r="E1619" s="27"/>
      <c r="F1619" s="28"/>
      <c r="G1619" s="31" t="str">
        <f t="shared" si="2"/>
        <v/>
      </c>
      <c r="H1619" s="30"/>
      <c r="I1619" s="21" t="str">
        <f t="shared" si="1"/>
        <v/>
      </c>
      <c r="J1619" s="19"/>
    </row>
    <row r="1620" ht="15.75" customHeight="1">
      <c r="A1620" s="3"/>
      <c r="B1620" s="19"/>
      <c r="C1620" s="19"/>
      <c r="D1620" s="27"/>
      <c r="E1620" s="27"/>
      <c r="F1620" s="28"/>
      <c r="G1620" s="31" t="str">
        <f t="shared" si="2"/>
        <v/>
      </c>
      <c r="H1620" s="30"/>
      <c r="I1620" s="21" t="str">
        <f t="shared" si="1"/>
        <v/>
      </c>
      <c r="J1620" s="19"/>
    </row>
    <row r="1621" ht="15.75" customHeight="1">
      <c r="A1621" s="3"/>
      <c r="B1621" s="19"/>
      <c r="C1621" s="19"/>
      <c r="D1621" s="27"/>
      <c r="E1621" s="27"/>
      <c r="F1621" s="28"/>
      <c r="G1621" s="31" t="str">
        <f t="shared" si="2"/>
        <v/>
      </c>
      <c r="H1621" s="30"/>
      <c r="I1621" s="21" t="str">
        <f t="shared" si="1"/>
        <v/>
      </c>
      <c r="J1621" s="19"/>
    </row>
    <row r="1622" ht="15.75" customHeight="1">
      <c r="A1622" s="3"/>
      <c r="B1622" s="19"/>
      <c r="C1622" s="19"/>
      <c r="D1622" s="27"/>
      <c r="E1622" s="27"/>
      <c r="F1622" s="28"/>
      <c r="G1622" s="31" t="str">
        <f t="shared" si="2"/>
        <v/>
      </c>
      <c r="H1622" s="30"/>
      <c r="I1622" s="21" t="str">
        <f t="shared" si="1"/>
        <v/>
      </c>
      <c r="J1622" s="19"/>
    </row>
    <row r="1623" ht="15.75" customHeight="1">
      <c r="A1623" s="3"/>
      <c r="B1623" s="19"/>
      <c r="C1623" s="19"/>
      <c r="D1623" s="27"/>
      <c r="E1623" s="27"/>
      <c r="F1623" s="28"/>
      <c r="G1623" s="31" t="str">
        <f t="shared" si="2"/>
        <v/>
      </c>
      <c r="H1623" s="30"/>
      <c r="I1623" s="21" t="str">
        <f t="shared" si="1"/>
        <v/>
      </c>
      <c r="J1623" s="19"/>
    </row>
    <row r="1624" ht="15.75" customHeight="1">
      <c r="A1624" s="3"/>
      <c r="B1624" s="19"/>
      <c r="C1624" s="19"/>
      <c r="D1624" s="27"/>
      <c r="E1624" s="27"/>
      <c r="F1624" s="28"/>
      <c r="G1624" s="31" t="str">
        <f t="shared" si="2"/>
        <v/>
      </c>
      <c r="H1624" s="30"/>
      <c r="I1624" s="21" t="str">
        <f t="shared" si="1"/>
        <v/>
      </c>
      <c r="J1624" s="19"/>
    </row>
    <row r="1625" ht="15.75" customHeight="1">
      <c r="A1625" s="3"/>
      <c r="B1625" s="19"/>
      <c r="C1625" s="19"/>
      <c r="D1625" s="27"/>
      <c r="E1625" s="27"/>
      <c r="F1625" s="28"/>
      <c r="G1625" s="31" t="str">
        <f t="shared" si="2"/>
        <v/>
      </c>
      <c r="H1625" s="30"/>
      <c r="I1625" s="21" t="str">
        <f t="shared" si="1"/>
        <v/>
      </c>
      <c r="J1625" s="19"/>
    </row>
    <row r="1626" ht="15.75" customHeight="1">
      <c r="A1626" s="3"/>
      <c r="B1626" s="19"/>
      <c r="C1626" s="19"/>
      <c r="D1626" s="27"/>
      <c r="E1626" s="27"/>
      <c r="F1626" s="28"/>
      <c r="G1626" s="31" t="str">
        <f t="shared" si="2"/>
        <v/>
      </c>
      <c r="H1626" s="30"/>
      <c r="I1626" s="21" t="str">
        <f t="shared" si="1"/>
        <v/>
      </c>
      <c r="J1626" s="19"/>
    </row>
    <row r="1627" ht="15.75" customHeight="1">
      <c r="A1627" s="3"/>
      <c r="B1627" s="19"/>
      <c r="C1627" s="19"/>
      <c r="D1627" s="27"/>
      <c r="E1627" s="27"/>
      <c r="F1627" s="28"/>
      <c r="G1627" s="31" t="str">
        <f t="shared" si="2"/>
        <v/>
      </c>
      <c r="H1627" s="30"/>
      <c r="I1627" s="21" t="str">
        <f t="shared" si="1"/>
        <v/>
      </c>
      <c r="J1627" s="19"/>
    </row>
    <row r="1628" ht="15.75" customHeight="1">
      <c r="A1628" s="3"/>
      <c r="B1628" s="19"/>
      <c r="C1628" s="19"/>
      <c r="D1628" s="27"/>
      <c r="E1628" s="27"/>
      <c r="F1628" s="28"/>
      <c r="G1628" s="31" t="str">
        <f t="shared" si="2"/>
        <v/>
      </c>
      <c r="H1628" s="30"/>
      <c r="I1628" s="21" t="str">
        <f t="shared" si="1"/>
        <v/>
      </c>
      <c r="J1628" s="19"/>
    </row>
    <row r="1629" ht="15.75" customHeight="1">
      <c r="A1629" s="3"/>
      <c r="B1629" s="19"/>
      <c r="C1629" s="19"/>
      <c r="D1629" s="27"/>
      <c r="E1629" s="27"/>
      <c r="F1629" s="28"/>
      <c r="G1629" s="31" t="str">
        <f t="shared" si="2"/>
        <v/>
      </c>
      <c r="H1629" s="30"/>
      <c r="I1629" s="21" t="str">
        <f t="shared" si="1"/>
        <v/>
      </c>
      <c r="J1629" s="19"/>
    </row>
    <row r="1630" ht="15.75" customHeight="1">
      <c r="A1630" s="3"/>
      <c r="B1630" s="19"/>
      <c r="C1630" s="19"/>
      <c r="D1630" s="27"/>
      <c r="E1630" s="27"/>
      <c r="F1630" s="28"/>
      <c r="G1630" s="31" t="str">
        <f t="shared" si="2"/>
        <v/>
      </c>
      <c r="H1630" s="30"/>
      <c r="I1630" s="21" t="str">
        <f t="shared" si="1"/>
        <v/>
      </c>
      <c r="J1630" s="19"/>
    </row>
    <row r="1631" ht="15.75" customHeight="1">
      <c r="A1631" s="3"/>
      <c r="B1631" s="19"/>
      <c r="C1631" s="19"/>
      <c r="D1631" s="27"/>
      <c r="E1631" s="27"/>
      <c r="F1631" s="28"/>
      <c r="G1631" s="31" t="str">
        <f t="shared" si="2"/>
        <v/>
      </c>
      <c r="H1631" s="30"/>
      <c r="I1631" s="21" t="str">
        <f t="shared" si="1"/>
        <v/>
      </c>
      <c r="J1631" s="19"/>
    </row>
    <row r="1632" ht="15.75" customHeight="1">
      <c r="A1632" s="3"/>
      <c r="B1632" s="19"/>
      <c r="C1632" s="19"/>
      <c r="D1632" s="27"/>
      <c r="E1632" s="27"/>
      <c r="F1632" s="28"/>
      <c r="G1632" s="31" t="str">
        <f t="shared" si="2"/>
        <v/>
      </c>
      <c r="H1632" s="30"/>
      <c r="I1632" s="21" t="str">
        <f t="shared" si="1"/>
        <v/>
      </c>
      <c r="J1632" s="19"/>
    </row>
    <row r="1633" ht="15.75" customHeight="1">
      <c r="A1633" s="3"/>
      <c r="B1633" s="19"/>
      <c r="C1633" s="19"/>
      <c r="D1633" s="27"/>
      <c r="E1633" s="27"/>
      <c r="F1633" s="28"/>
      <c r="G1633" s="31" t="str">
        <f t="shared" si="2"/>
        <v/>
      </c>
      <c r="H1633" s="30"/>
      <c r="I1633" s="21" t="str">
        <f t="shared" si="1"/>
        <v/>
      </c>
      <c r="J1633" s="19"/>
    </row>
    <row r="1634" ht="15.75" customHeight="1">
      <c r="A1634" s="3"/>
      <c r="B1634" s="19"/>
      <c r="C1634" s="19"/>
      <c r="D1634" s="27"/>
      <c r="E1634" s="27"/>
      <c r="F1634" s="28"/>
      <c r="G1634" s="31" t="str">
        <f t="shared" si="2"/>
        <v/>
      </c>
      <c r="H1634" s="30"/>
      <c r="I1634" s="21" t="str">
        <f t="shared" si="1"/>
        <v/>
      </c>
      <c r="J1634" s="19"/>
    </row>
    <row r="1635" ht="15.75" customHeight="1">
      <c r="A1635" s="3"/>
      <c r="B1635" s="19"/>
      <c r="C1635" s="19"/>
      <c r="D1635" s="27"/>
      <c r="E1635" s="27"/>
      <c r="F1635" s="28"/>
      <c r="G1635" s="31" t="str">
        <f t="shared" si="2"/>
        <v/>
      </c>
      <c r="H1635" s="30"/>
      <c r="I1635" s="21" t="str">
        <f t="shared" si="1"/>
        <v/>
      </c>
      <c r="J1635" s="19"/>
    </row>
    <row r="1636" ht="15.75" customHeight="1">
      <c r="A1636" s="3"/>
      <c r="B1636" s="19"/>
      <c r="C1636" s="19"/>
      <c r="D1636" s="27"/>
      <c r="E1636" s="27"/>
      <c r="F1636" s="28"/>
      <c r="G1636" s="31" t="str">
        <f t="shared" si="2"/>
        <v/>
      </c>
      <c r="H1636" s="30"/>
      <c r="I1636" s="21" t="str">
        <f t="shared" si="1"/>
        <v/>
      </c>
      <c r="J1636" s="19"/>
    </row>
    <row r="1637" ht="15.75" customHeight="1">
      <c r="A1637" s="3"/>
      <c r="B1637" s="19"/>
      <c r="C1637" s="19"/>
      <c r="D1637" s="27"/>
      <c r="E1637" s="27"/>
      <c r="F1637" s="28"/>
      <c r="G1637" s="31" t="str">
        <f t="shared" si="2"/>
        <v/>
      </c>
      <c r="H1637" s="30"/>
      <c r="I1637" s="21" t="str">
        <f t="shared" si="1"/>
        <v/>
      </c>
      <c r="J1637" s="19"/>
    </row>
    <row r="1638" ht="15.75" customHeight="1">
      <c r="A1638" s="3"/>
      <c r="B1638" s="19"/>
      <c r="C1638" s="19"/>
      <c r="D1638" s="27"/>
      <c r="E1638" s="27"/>
      <c r="F1638" s="28"/>
      <c r="G1638" s="31" t="str">
        <f t="shared" si="2"/>
        <v/>
      </c>
      <c r="H1638" s="30"/>
      <c r="I1638" s="21" t="str">
        <f t="shared" si="1"/>
        <v/>
      </c>
      <c r="J1638" s="19"/>
    </row>
    <row r="1639" ht="15.75" customHeight="1">
      <c r="A1639" s="3"/>
      <c r="B1639" s="19"/>
      <c r="C1639" s="19"/>
      <c r="D1639" s="27"/>
      <c r="E1639" s="27"/>
      <c r="F1639" s="28"/>
      <c r="G1639" s="31" t="str">
        <f t="shared" si="2"/>
        <v/>
      </c>
      <c r="H1639" s="30"/>
      <c r="I1639" s="21" t="str">
        <f t="shared" si="1"/>
        <v/>
      </c>
      <c r="J1639" s="19"/>
    </row>
    <row r="1640" ht="15.75" customHeight="1">
      <c r="A1640" s="3"/>
      <c r="B1640" s="19"/>
      <c r="C1640" s="19"/>
      <c r="D1640" s="27"/>
      <c r="E1640" s="27"/>
      <c r="F1640" s="28"/>
      <c r="G1640" s="31" t="str">
        <f t="shared" si="2"/>
        <v/>
      </c>
      <c r="H1640" s="30"/>
      <c r="I1640" s="21" t="str">
        <f t="shared" si="1"/>
        <v/>
      </c>
      <c r="J1640" s="19"/>
    </row>
    <row r="1641" ht="15.75" customHeight="1">
      <c r="A1641" s="3"/>
      <c r="B1641" s="19"/>
      <c r="C1641" s="19"/>
      <c r="D1641" s="27"/>
      <c r="E1641" s="27"/>
      <c r="F1641" s="28"/>
      <c r="G1641" s="31" t="str">
        <f t="shared" si="2"/>
        <v/>
      </c>
      <c r="H1641" s="30"/>
      <c r="I1641" s="21" t="str">
        <f t="shared" si="1"/>
        <v/>
      </c>
      <c r="J1641" s="19"/>
    </row>
    <row r="1642" ht="15.75" customHeight="1">
      <c r="A1642" s="3"/>
      <c r="B1642" s="19"/>
      <c r="C1642" s="19"/>
      <c r="D1642" s="27"/>
      <c r="E1642" s="27"/>
      <c r="F1642" s="28"/>
      <c r="G1642" s="31" t="str">
        <f t="shared" si="2"/>
        <v/>
      </c>
      <c r="H1642" s="30"/>
      <c r="I1642" s="21" t="str">
        <f t="shared" si="1"/>
        <v/>
      </c>
      <c r="J1642" s="19"/>
    </row>
    <row r="1643" ht="15.75" customHeight="1">
      <c r="A1643" s="3"/>
      <c r="B1643" s="19"/>
      <c r="C1643" s="19"/>
      <c r="D1643" s="27"/>
      <c r="E1643" s="27"/>
      <c r="F1643" s="28"/>
      <c r="G1643" s="31" t="str">
        <f t="shared" si="2"/>
        <v/>
      </c>
      <c r="H1643" s="30"/>
      <c r="I1643" s="21" t="str">
        <f t="shared" si="1"/>
        <v/>
      </c>
      <c r="J1643" s="19"/>
    </row>
    <row r="1644" ht="15.75" customHeight="1">
      <c r="A1644" s="3"/>
      <c r="B1644" s="19"/>
      <c r="C1644" s="19"/>
      <c r="D1644" s="27"/>
      <c r="E1644" s="27"/>
      <c r="F1644" s="28"/>
      <c r="G1644" s="31" t="str">
        <f t="shared" si="2"/>
        <v/>
      </c>
      <c r="H1644" s="30"/>
      <c r="I1644" s="21" t="str">
        <f t="shared" si="1"/>
        <v/>
      </c>
      <c r="J1644" s="19"/>
    </row>
    <row r="1645" ht="15.75" customHeight="1">
      <c r="A1645" s="3"/>
      <c r="B1645" s="19"/>
      <c r="C1645" s="19"/>
      <c r="D1645" s="27"/>
      <c r="E1645" s="27"/>
      <c r="F1645" s="28"/>
      <c r="G1645" s="31" t="str">
        <f t="shared" si="2"/>
        <v/>
      </c>
      <c r="H1645" s="30"/>
      <c r="I1645" s="21" t="str">
        <f t="shared" si="1"/>
        <v/>
      </c>
      <c r="J1645" s="19"/>
    </row>
    <row r="1646" ht="15.75" customHeight="1">
      <c r="A1646" s="3"/>
      <c r="B1646" s="19"/>
      <c r="C1646" s="19"/>
      <c r="D1646" s="27"/>
      <c r="E1646" s="27"/>
      <c r="F1646" s="28"/>
      <c r="G1646" s="31" t="str">
        <f t="shared" si="2"/>
        <v/>
      </c>
      <c r="H1646" s="30"/>
      <c r="I1646" s="21" t="str">
        <f t="shared" si="1"/>
        <v/>
      </c>
      <c r="J1646" s="19"/>
    </row>
    <row r="1647" ht="15.75" customHeight="1">
      <c r="A1647" s="3"/>
      <c r="B1647" s="19"/>
      <c r="C1647" s="19"/>
      <c r="D1647" s="27"/>
      <c r="E1647" s="27"/>
      <c r="F1647" s="28"/>
      <c r="G1647" s="31" t="str">
        <f t="shared" si="2"/>
        <v/>
      </c>
      <c r="H1647" s="30"/>
      <c r="I1647" s="21" t="str">
        <f t="shared" si="1"/>
        <v/>
      </c>
      <c r="J1647" s="19"/>
    </row>
    <row r="1648" ht="15.75" customHeight="1">
      <c r="A1648" s="3"/>
      <c r="B1648" s="19"/>
      <c r="C1648" s="19"/>
      <c r="D1648" s="27"/>
      <c r="E1648" s="27"/>
      <c r="F1648" s="28"/>
      <c r="G1648" s="31" t="str">
        <f t="shared" si="2"/>
        <v/>
      </c>
      <c r="H1648" s="30"/>
      <c r="I1648" s="21" t="str">
        <f t="shared" si="1"/>
        <v/>
      </c>
      <c r="J1648" s="19"/>
    </row>
    <row r="1649" ht="15.75" customHeight="1">
      <c r="A1649" s="3"/>
      <c r="B1649" s="19"/>
      <c r="C1649" s="19"/>
      <c r="D1649" s="27"/>
      <c r="E1649" s="27"/>
      <c r="F1649" s="28"/>
      <c r="G1649" s="31" t="str">
        <f t="shared" si="2"/>
        <v/>
      </c>
      <c r="H1649" s="30"/>
      <c r="I1649" s="21" t="str">
        <f t="shared" si="1"/>
        <v/>
      </c>
      <c r="J1649" s="19"/>
    </row>
    <row r="1650" ht="15.75" customHeight="1">
      <c r="A1650" s="3"/>
      <c r="B1650" s="19"/>
      <c r="C1650" s="19"/>
      <c r="D1650" s="27"/>
      <c r="E1650" s="27"/>
      <c r="F1650" s="28"/>
      <c r="G1650" s="31" t="str">
        <f t="shared" si="2"/>
        <v/>
      </c>
      <c r="H1650" s="30"/>
      <c r="I1650" s="21" t="str">
        <f t="shared" si="1"/>
        <v/>
      </c>
      <c r="J1650" s="19"/>
    </row>
    <row r="1651" ht="15.75" customHeight="1">
      <c r="A1651" s="3"/>
      <c r="B1651" s="19"/>
      <c r="C1651" s="19"/>
      <c r="D1651" s="27"/>
      <c r="E1651" s="27"/>
      <c r="F1651" s="28"/>
      <c r="G1651" s="31" t="str">
        <f t="shared" si="2"/>
        <v/>
      </c>
      <c r="H1651" s="30"/>
      <c r="I1651" s="21" t="str">
        <f t="shared" si="1"/>
        <v/>
      </c>
      <c r="J1651" s="19"/>
    </row>
    <row r="1652" ht="15.75" customHeight="1">
      <c r="A1652" s="3"/>
      <c r="B1652" s="19"/>
      <c r="C1652" s="19"/>
      <c r="D1652" s="27"/>
      <c r="E1652" s="27"/>
      <c r="F1652" s="28"/>
      <c r="G1652" s="31" t="str">
        <f t="shared" si="2"/>
        <v/>
      </c>
      <c r="H1652" s="30"/>
      <c r="I1652" s="21" t="str">
        <f t="shared" si="1"/>
        <v/>
      </c>
      <c r="J1652" s="19"/>
    </row>
    <row r="1653" ht="15.75" customHeight="1">
      <c r="A1653" s="3"/>
      <c r="B1653" s="19"/>
      <c r="C1653" s="19"/>
      <c r="D1653" s="27"/>
      <c r="E1653" s="27"/>
      <c r="F1653" s="28"/>
      <c r="G1653" s="31" t="str">
        <f t="shared" si="2"/>
        <v/>
      </c>
      <c r="H1653" s="30"/>
      <c r="I1653" s="21" t="str">
        <f t="shared" si="1"/>
        <v/>
      </c>
      <c r="J1653" s="19"/>
    </row>
    <row r="1654" ht="15.75" customHeight="1">
      <c r="A1654" s="3"/>
      <c r="B1654" s="19"/>
      <c r="C1654" s="19"/>
      <c r="D1654" s="27"/>
      <c r="E1654" s="27"/>
      <c r="F1654" s="28"/>
      <c r="G1654" s="31" t="str">
        <f t="shared" si="2"/>
        <v/>
      </c>
      <c r="H1654" s="30"/>
      <c r="I1654" s="21" t="str">
        <f t="shared" si="1"/>
        <v/>
      </c>
      <c r="J1654" s="19"/>
    </row>
    <row r="1655" ht="15.75" customHeight="1">
      <c r="A1655" s="3"/>
      <c r="B1655" s="19"/>
      <c r="C1655" s="19"/>
      <c r="D1655" s="27"/>
      <c r="E1655" s="27"/>
      <c r="F1655" s="28"/>
      <c r="G1655" s="31" t="str">
        <f t="shared" si="2"/>
        <v/>
      </c>
      <c r="H1655" s="30"/>
      <c r="I1655" s="21" t="str">
        <f t="shared" si="1"/>
        <v/>
      </c>
      <c r="J1655" s="19"/>
    </row>
    <row r="1656" ht="15.75" customHeight="1">
      <c r="A1656" s="3"/>
      <c r="B1656" s="19"/>
      <c r="C1656" s="19"/>
      <c r="D1656" s="27"/>
      <c r="E1656" s="27"/>
      <c r="F1656" s="28"/>
      <c r="G1656" s="31" t="str">
        <f t="shared" si="2"/>
        <v/>
      </c>
      <c r="H1656" s="30"/>
      <c r="I1656" s="21" t="str">
        <f t="shared" si="1"/>
        <v/>
      </c>
      <c r="J1656" s="19"/>
    </row>
    <row r="1657" ht="15.75" customHeight="1">
      <c r="A1657" s="3"/>
      <c r="B1657" s="19"/>
      <c r="C1657" s="19"/>
      <c r="D1657" s="27"/>
      <c r="E1657" s="27"/>
      <c r="F1657" s="28"/>
      <c r="G1657" s="31" t="str">
        <f t="shared" si="2"/>
        <v/>
      </c>
      <c r="H1657" s="30"/>
      <c r="I1657" s="21" t="str">
        <f t="shared" si="1"/>
        <v/>
      </c>
      <c r="J1657" s="19"/>
    </row>
    <row r="1658" ht="15.75" customHeight="1">
      <c r="A1658" s="3"/>
      <c r="B1658" s="19"/>
      <c r="C1658" s="19"/>
      <c r="D1658" s="27"/>
      <c r="E1658" s="27"/>
      <c r="F1658" s="28"/>
      <c r="G1658" s="31" t="str">
        <f t="shared" si="2"/>
        <v/>
      </c>
      <c r="H1658" s="30"/>
      <c r="I1658" s="21" t="str">
        <f t="shared" si="1"/>
        <v/>
      </c>
      <c r="J1658" s="19"/>
    </row>
    <row r="1659" ht="15.75" customHeight="1">
      <c r="A1659" s="3"/>
      <c r="B1659" s="19"/>
      <c r="C1659" s="19"/>
      <c r="D1659" s="27"/>
      <c r="E1659" s="27"/>
      <c r="F1659" s="28"/>
      <c r="G1659" s="31" t="str">
        <f t="shared" si="2"/>
        <v/>
      </c>
      <c r="H1659" s="30"/>
      <c r="I1659" s="21" t="str">
        <f t="shared" si="1"/>
        <v/>
      </c>
      <c r="J1659" s="19"/>
    </row>
    <row r="1660" ht="15.75" customHeight="1">
      <c r="A1660" s="3"/>
      <c r="B1660" s="19"/>
      <c r="C1660" s="19"/>
      <c r="D1660" s="27"/>
      <c r="E1660" s="27"/>
      <c r="F1660" s="28"/>
      <c r="G1660" s="31" t="str">
        <f t="shared" si="2"/>
        <v/>
      </c>
      <c r="H1660" s="30"/>
      <c r="I1660" s="21" t="str">
        <f t="shared" si="1"/>
        <v/>
      </c>
      <c r="J1660" s="19"/>
    </row>
    <row r="1661" ht="15.75" customHeight="1">
      <c r="A1661" s="3"/>
      <c r="B1661" s="19"/>
      <c r="C1661" s="19"/>
      <c r="D1661" s="27"/>
      <c r="E1661" s="27"/>
      <c r="F1661" s="28"/>
      <c r="G1661" s="31" t="str">
        <f t="shared" si="2"/>
        <v/>
      </c>
      <c r="H1661" s="30"/>
      <c r="I1661" s="21" t="str">
        <f t="shared" si="1"/>
        <v/>
      </c>
      <c r="J1661" s="19"/>
    </row>
    <row r="1662" ht="15.75" customHeight="1">
      <c r="A1662" s="3"/>
      <c r="B1662" s="19"/>
      <c r="C1662" s="19"/>
      <c r="D1662" s="27"/>
      <c r="E1662" s="27"/>
      <c r="F1662" s="28"/>
      <c r="G1662" s="31" t="str">
        <f t="shared" si="2"/>
        <v/>
      </c>
      <c r="H1662" s="30"/>
      <c r="I1662" s="21" t="str">
        <f t="shared" si="1"/>
        <v/>
      </c>
      <c r="J1662" s="19"/>
    </row>
    <row r="1663" ht="15.75" customHeight="1">
      <c r="A1663" s="3"/>
      <c r="B1663" s="19"/>
      <c r="C1663" s="19"/>
      <c r="D1663" s="27"/>
      <c r="E1663" s="27"/>
      <c r="F1663" s="28"/>
      <c r="G1663" s="31" t="str">
        <f t="shared" si="2"/>
        <v/>
      </c>
      <c r="H1663" s="30"/>
      <c r="I1663" s="21" t="str">
        <f t="shared" si="1"/>
        <v/>
      </c>
      <c r="J1663" s="19"/>
    </row>
    <row r="1664" ht="15.75" customHeight="1">
      <c r="A1664" s="3"/>
      <c r="B1664" s="19"/>
      <c r="C1664" s="19"/>
      <c r="D1664" s="27"/>
      <c r="E1664" s="27"/>
      <c r="F1664" s="28"/>
      <c r="G1664" s="31" t="str">
        <f t="shared" si="2"/>
        <v/>
      </c>
      <c r="H1664" s="30"/>
      <c r="I1664" s="21" t="str">
        <f t="shared" si="1"/>
        <v/>
      </c>
      <c r="J1664" s="19"/>
    </row>
    <row r="1665" ht="15.75" customHeight="1">
      <c r="A1665" s="3"/>
      <c r="B1665" s="19"/>
      <c r="C1665" s="19"/>
      <c r="D1665" s="27"/>
      <c r="E1665" s="27"/>
      <c r="F1665" s="28"/>
      <c r="G1665" s="31" t="str">
        <f t="shared" si="2"/>
        <v/>
      </c>
      <c r="H1665" s="30"/>
      <c r="I1665" s="21" t="str">
        <f t="shared" si="1"/>
        <v/>
      </c>
      <c r="J1665" s="19"/>
    </row>
    <row r="1666" ht="15.75" customHeight="1">
      <c r="A1666" s="3"/>
      <c r="B1666" s="19"/>
      <c r="C1666" s="19"/>
      <c r="D1666" s="27"/>
      <c r="E1666" s="27"/>
      <c r="F1666" s="28"/>
      <c r="G1666" s="31" t="str">
        <f t="shared" si="2"/>
        <v/>
      </c>
      <c r="H1666" s="30"/>
      <c r="I1666" s="21" t="str">
        <f t="shared" si="1"/>
        <v/>
      </c>
      <c r="J1666" s="19"/>
    </row>
    <row r="1667" ht="15.75" customHeight="1">
      <c r="A1667" s="3"/>
      <c r="B1667" s="19"/>
      <c r="C1667" s="19"/>
      <c r="D1667" s="27"/>
      <c r="E1667" s="27"/>
      <c r="F1667" s="28"/>
      <c r="G1667" s="31" t="str">
        <f t="shared" si="2"/>
        <v/>
      </c>
      <c r="H1667" s="30"/>
      <c r="I1667" s="21" t="str">
        <f t="shared" si="1"/>
        <v/>
      </c>
      <c r="J1667" s="19"/>
    </row>
    <row r="1668" ht="15.75" customHeight="1">
      <c r="A1668" s="3"/>
      <c r="B1668" s="19"/>
      <c r="C1668" s="19"/>
      <c r="D1668" s="27"/>
      <c r="E1668" s="27"/>
      <c r="F1668" s="28"/>
      <c r="G1668" s="31" t="str">
        <f t="shared" si="2"/>
        <v/>
      </c>
      <c r="H1668" s="30"/>
      <c r="I1668" s="21" t="str">
        <f t="shared" si="1"/>
        <v/>
      </c>
      <c r="J1668" s="19"/>
    </row>
    <row r="1669" ht="15.75" customHeight="1">
      <c r="A1669" s="3"/>
      <c r="B1669" s="19"/>
      <c r="C1669" s="19"/>
      <c r="D1669" s="27"/>
      <c r="E1669" s="27"/>
      <c r="F1669" s="28"/>
      <c r="G1669" s="31" t="str">
        <f t="shared" si="2"/>
        <v/>
      </c>
      <c r="H1669" s="30"/>
      <c r="I1669" s="21" t="str">
        <f t="shared" si="1"/>
        <v/>
      </c>
      <c r="J1669" s="19"/>
    </row>
    <row r="1670" ht="15.75" customHeight="1">
      <c r="A1670" s="3"/>
      <c r="B1670" s="19"/>
      <c r="C1670" s="19"/>
      <c r="D1670" s="27"/>
      <c r="E1670" s="27"/>
      <c r="F1670" s="28"/>
      <c r="G1670" s="31" t="str">
        <f t="shared" si="2"/>
        <v/>
      </c>
      <c r="H1670" s="30"/>
      <c r="I1670" s="21" t="str">
        <f t="shared" si="1"/>
        <v/>
      </c>
      <c r="J1670" s="19"/>
    </row>
    <row r="1671" ht="15.75" customHeight="1">
      <c r="A1671" s="3"/>
      <c r="B1671" s="19"/>
      <c r="C1671" s="19"/>
      <c r="D1671" s="27"/>
      <c r="E1671" s="27"/>
      <c r="F1671" s="28"/>
      <c r="G1671" s="31" t="str">
        <f t="shared" si="2"/>
        <v/>
      </c>
      <c r="H1671" s="30"/>
      <c r="I1671" s="21" t="str">
        <f t="shared" si="1"/>
        <v/>
      </c>
      <c r="J1671" s="19"/>
    </row>
    <row r="1672" ht="15.75" customHeight="1">
      <c r="A1672" s="3"/>
      <c r="B1672" s="19"/>
      <c r="C1672" s="19"/>
      <c r="D1672" s="27"/>
      <c r="E1672" s="27"/>
      <c r="F1672" s="28"/>
      <c r="G1672" s="31" t="str">
        <f t="shared" si="2"/>
        <v/>
      </c>
      <c r="H1672" s="30"/>
      <c r="I1672" s="21" t="str">
        <f t="shared" si="1"/>
        <v/>
      </c>
      <c r="J1672" s="19"/>
    </row>
    <row r="1673" ht="15.75" customHeight="1">
      <c r="A1673" s="3"/>
      <c r="B1673" s="19"/>
      <c r="C1673" s="19"/>
      <c r="D1673" s="27"/>
      <c r="E1673" s="27"/>
      <c r="F1673" s="28"/>
      <c r="G1673" s="31" t="str">
        <f t="shared" si="2"/>
        <v/>
      </c>
      <c r="H1673" s="30"/>
      <c r="I1673" s="21" t="str">
        <f t="shared" si="1"/>
        <v/>
      </c>
      <c r="J1673" s="19"/>
    </row>
    <row r="1674" ht="15.75" customHeight="1">
      <c r="A1674" s="3"/>
      <c r="B1674" s="19"/>
      <c r="C1674" s="19"/>
      <c r="D1674" s="27"/>
      <c r="E1674" s="27"/>
      <c r="F1674" s="28"/>
      <c r="G1674" s="31" t="str">
        <f t="shared" si="2"/>
        <v/>
      </c>
      <c r="H1674" s="30"/>
      <c r="I1674" s="21" t="str">
        <f t="shared" si="1"/>
        <v/>
      </c>
      <c r="J1674" s="19"/>
    </row>
    <row r="1675" ht="15.75" customHeight="1">
      <c r="A1675" s="3"/>
      <c r="B1675" s="19"/>
      <c r="C1675" s="19"/>
      <c r="D1675" s="27"/>
      <c r="E1675" s="27"/>
      <c r="F1675" s="28"/>
      <c r="G1675" s="31" t="str">
        <f t="shared" si="2"/>
        <v/>
      </c>
      <c r="H1675" s="30"/>
      <c r="I1675" s="21" t="str">
        <f t="shared" si="1"/>
        <v/>
      </c>
      <c r="J1675" s="19"/>
    </row>
    <row r="1676" ht="15.75" customHeight="1">
      <c r="A1676" s="3"/>
      <c r="B1676" s="19"/>
      <c r="C1676" s="19"/>
      <c r="D1676" s="27"/>
      <c r="E1676" s="27"/>
      <c r="F1676" s="28"/>
      <c r="G1676" s="31" t="str">
        <f t="shared" si="2"/>
        <v/>
      </c>
      <c r="H1676" s="30"/>
      <c r="I1676" s="21" t="str">
        <f t="shared" si="1"/>
        <v/>
      </c>
      <c r="J1676" s="19"/>
    </row>
    <row r="1677" ht="15.75" customHeight="1">
      <c r="A1677" s="3"/>
      <c r="B1677" s="19"/>
      <c r="C1677" s="19"/>
      <c r="D1677" s="27"/>
      <c r="E1677" s="27"/>
      <c r="F1677" s="28"/>
      <c r="G1677" s="31" t="str">
        <f t="shared" si="2"/>
        <v/>
      </c>
      <c r="H1677" s="30"/>
      <c r="I1677" s="21" t="str">
        <f t="shared" si="1"/>
        <v/>
      </c>
      <c r="J1677" s="19"/>
    </row>
    <row r="1678" ht="15.75" customHeight="1">
      <c r="A1678" s="3"/>
      <c r="B1678" s="19"/>
      <c r="C1678" s="19"/>
      <c r="D1678" s="27"/>
      <c r="E1678" s="27"/>
      <c r="F1678" s="28"/>
      <c r="G1678" s="31" t="str">
        <f t="shared" si="2"/>
        <v/>
      </c>
      <c r="H1678" s="30"/>
      <c r="I1678" s="21" t="str">
        <f t="shared" si="1"/>
        <v/>
      </c>
      <c r="J1678" s="19"/>
    </row>
    <row r="1679" ht="15.75" customHeight="1">
      <c r="A1679" s="3"/>
      <c r="B1679" s="19"/>
      <c r="C1679" s="19"/>
      <c r="D1679" s="27"/>
      <c r="E1679" s="27"/>
      <c r="F1679" s="28"/>
      <c r="G1679" s="31" t="str">
        <f t="shared" si="2"/>
        <v/>
      </c>
      <c r="H1679" s="30"/>
      <c r="I1679" s="21" t="str">
        <f t="shared" si="1"/>
        <v/>
      </c>
      <c r="J1679" s="19"/>
    </row>
    <row r="1680" ht="15.75" customHeight="1">
      <c r="A1680" s="3"/>
      <c r="B1680" s="19"/>
      <c r="C1680" s="19"/>
      <c r="D1680" s="27"/>
      <c r="E1680" s="27"/>
      <c r="F1680" s="28"/>
      <c r="G1680" s="31" t="str">
        <f t="shared" si="2"/>
        <v/>
      </c>
      <c r="H1680" s="30"/>
      <c r="I1680" s="21" t="str">
        <f t="shared" si="1"/>
        <v/>
      </c>
      <c r="J1680" s="19"/>
    </row>
    <row r="1681" ht="15.75" customHeight="1">
      <c r="A1681" s="3"/>
      <c r="B1681" s="19"/>
      <c r="C1681" s="19"/>
      <c r="D1681" s="27"/>
      <c r="E1681" s="27"/>
      <c r="F1681" s="28"/>
      <c r="G1681" s="31" t="str">
        <f t="shared" si="2"/>
        <v/>
      </c>
      <c r="H1681" s="30"/>
      <c r="I1681" s="21" t="str">
        <f t="shared" si="1"/>
        <v/>
      </c>
      <c r="J1681" s="19"/>
    </row>
    <row r="1682" ht="15.75" customHeight="1">
      <c r="A1682" s="3"/>
      <c r="B1682" s="19"/>
      <c r="C1682" s="19"/>
      <c r="D1682" s="27"/>
      <c r="E1682" s="27"/>
      <c r="F1682" s="28"/>
      <c r="G1682" s="31" t="str">
        <f t="shared" si="2"/>
        <v/>
      </c>
      <c r="H1682" s="30"/>
      <c r="I1682" s="21" t="str">
        <f t="shared" si="1"/>
        <v/>
      </c>
      <c r="J1682" s="19"/>
    </row>
    <row r="1683" ht="15.75" customHeight="1">
      <c r="A1683" s="3"/>
      <c r="B1683" s="19"/>
      <c r="C1683" s="19"/>
      <c r="D1683" s="27"/>
      <c r="E1683" s="27"/>
      <c r="F1683" s="28"/>
      <c r="G1683" s="31" t="str">
        <f t="shared" si="2"/>
        <v/>
      </c>
      <c r="H1683" s="30"/>
      <c r="I1683" s="21" t="str">
        <f t="shared" si="1"/>
        <v/>
      </c>
      <c r="J1683" s="19"/>
    </row>
    <row r="1684" ht="15.75" customHeight="1">
      <c r="A1684" s="3"/>
      <c r="B1684" s="19"/>
      <c r="C1684" s="19"/>
      <c r="D1684" s="27"/>
      <c r="E1684" s="27"/>
      <c r="F1684" s="28"/>
      <c r="G1684" s="31" t="str">
        <f t="shared" si="2"/>
        <v/>
      </c>
      <c r="H1684" s="30"/>
      <c r="I1684" s="21" t="str">
        <f t="shared" si="1"/>
        <v/>
      </c>
      <c r="J1684" s="19"/>
    </row>
    <row r="1685" ht="15.75" customHeight="1">
      <c r="A1685" s="3"/>
      <c r="B1685" s="19"/>
      <c r="C1685" s="19"/>
      <c r="D1685" s="27"/>
      <c r="E1685" s="27"/>
      <c r="F1685" s="28"/>
      <c r="G1685" s="31" t="str">
        <f t="shared" si="2"/>
        <v/>
      </c>
      <c r="H1685" s="30"/>
      <c r="I1685" s="21" t="str">
        <f t="shared" si="1"/>
        <v/>
      </c>
      <c r="J1685" s="19"/>
    </row>
    <row r="1686" ht="15.75" customHeight="1">
      <c r="A1686" s="3"/>
      <c r="B1686" s="19"/>
      <c r="C1686" s="19"/>
      <c r="D1686" s="27"/>
      <c r="E1686" s="27"/>
      <c r="F1686" s="28"/>
      <c r="G1686" s="31" t="str">
        <f t="shared" si="2"/>
        <v/>
      </c>
      <c r="H1686" s="30"/>
      <c r="I1686" s="21" t="str">
        <f t="shared" si="1"/>
        <v/>
      </c>
      <c r="J1686" s="19"/>
    </row>
    <row r="1687" ht="15.75" customHeight="1">
      <c r="A1687" s="3"/>
      <c r="B1687" s="19"/>
      <c r="C1687" s="19"/>
      <c r="D1687" s="27"/>
      <c r="E1687" s="27"/>
      <c r="F1687" s="28"/>
      <c r="G1687" s="31" t="str">
        <f t="shared" si="2"/>
        <v/>
      </c>
      <c r="H1687" s="30"/>
      <c r="I1687" s="21" t="str">
        <f t="shared" si="1"/>
        <v/>
      </c>
      <c r="J1687" s="19"/>
    </row>
    <row r="1688" ht="15.75" customHeight="1">
      <c r="A1688" s="3"/>
      <c r="B1688" s="19"/>
      <c r="C1688" s="19"/>
      <c r="D1688" s="27"/>
      <c r="E1688" s="27"/>
      <c r="F1688" s="28"/>
      <c r="G1688" s="31" t="str">
        <f t="shared" si="2"/>
        <v/>
      </c>
      <c r="H1688" s="30"/>
      <c r="I1688" s="21" t="str">
        <f t="shared" si="1"/>
        <v/>
      </c>
      <c r="J1688" s="19"/>
    </row>
    <row r="1689" ht="15.75" customHeight="1">
      <c r="A1689" s="3"/>
      <c r="B1689" s="19"/>
      <c r="C1689" s="19"/>
      <c r="D1689" s="27"/>
      <c r="E1689" s="27"/>
      <c r="F1689" s="28"/>
      <c r="G1689" s="31" t="str">
        <f t="shared" si="2"/>
        <v/>
      </c>
      <c r="H1689" s="30"/>
      <c r="I1689" s="21" t="str">
        <f t="shared" si="1"/>
        <v/>
      </c>
      <c r="J1689" s="19"/>
    </row>
    <row r="1690" ht="15.75" customHeight="1">
      <c r="A1690" s="3"/>
      <c r="B1690" s="19"/>
      <c r="C1690" s="19"/>
      <c r="D1690" s="27"/>
      <c r="E1690" s="27"/>
      <c r="F1690" s="28"/>
      <c r="G1690" s="31" t="str">
        <f t="shared" si="2"/>
        <v/>
      </c>
      <c r="H1690" s="30"/>
      <c r="I1690" s="21" t="str">
        <f t="shared" si="1"/>
        <v/>
      </c>
      <c r="J1690" s="19"/>
    </row>
    <row r="1691" ht="15.75" customHeight="1">
      <c r="A1691" s="3"/>
      <c r="B1691" s="19"/>
      <c r="C1691" s="19"/>
      <c r="D1691" s="27"/>
      <c r="E1691" s="27"/>
      <c r="F1691" s="28"/>
      <c r="G1691" s="31" t="str">
        <f t="shared" si="2"/>
        <v/>
      </c>
      <c r="H1691" s="30"/>
      <c r="I1691" s="21" t="str">
        <f t="shared" si="1"/>
        <v/>
      </c>
      <c r="J1691" s="19"/>
    </row>
    <row r="1692" ht="15.75" customHeight="1">
      <c r="A1692" s="3"/>
      <c r="B1692" s="19"/>
      <c r="C1692" s="19"/>
      <c r="D1692" s="27"/>
      <c r="E1692" s="27"/>
      <c r="F1692" s="28"/>
      <c r="G1692" s="31" t="str">
        <f t="shared" si="2"/>
        <v/>
      </c>
      <c r="H1692" s="30"/>
      <c r="I1692" s="21" t="str">
        <f t="shared" si="1"/>
        <v/>
      </c>
      <c r="J1692" s="19"/>
    </row>
    <row r="1693" ht="15.75" customHeight="1">
      <c r="A1693" s="3"/>
      <c r="B1693" s="19"/>
      <c r="C1693" s="19"/>
      <c r="D1693" s="27"/>
      <c r="E1693" s="27"/>
      <c r="F1693" s="28"/>
      <c r="G1693" s="31" t="str">
        <f t="shared" si="2"/>
        <v/>
      </c>
      <c r="H1693" s="30"/>
      <c r="I1693" s="21" t="str">
        <f t="shared" si="1"/>
        <v/>
      </c>
      <c r="J1693" s="19"/>
    </row>
    <row r="1694" ht="15.75" customHeight="1">
      <c r="A1694" s="3"/>
      <c r="B1694" s="19"/>
      <c r="C1694" s="19"/>
      <c r="D1694" s="27"/>
      <c r="E1694" s="27"/>
      <c r="F1694" s="28"/>
      <c r="G1694" s="31" t="str">
        <f t="shared" si="2"/>
        <v/>
      </c>
      <c r="H1694" s="30"/>
      <c r="I1694" s="21" t="str">
        <f t="shared" si="1"/>
        <v/>
      </c>
      <c r="J1694" s="19"/>
    </row>
    <row r="1695" ht="15.75" customHeight="1">
      <c r="A1695" s="3"/>
      <c r="B1695" s="19"/>
      <c r="C1695" s="19"/>
      <c r="D1695" s="27"/>
      <c r="E1695" s="27"/>
      <c r="F1695" s="28"/>
      <c r="G1695" s="31" t="str">
        <f t="shared" si="2"/>
        <v/>
      </c>
      <c r="H1695" s="30"/>
      <c r="I1695" s="21" t="str">
        <f t="shared" si="1"/>
        <v/>
      </c>
      <c r="J1695" s="19"/>
    </row>
    <row r="1696" ht="15.75" customHeight="1">
      <c r="A1696" s="3"/>
      <c r="B1696" s="19"/>
      <c r="C1696" s="19"/>
      <c r="D1696" s="27"/>
      <c r="E1696" s="27"/>
      <c r="F1696" s="28"/>
      <c r="G1696" s="31" t="str">
        <f t="shared" si="2"/>
        <v/>
      </c>
      <c r="H1696" s="30"/>
      <c r="I1696" s="21" t="str">
        <f t="shared" si="1"/>
        <v/>
      </c>
      <c r="J1696" s="19"/>
    </row>
    <row r="1697" ht="15.75" customHeight="1">
      <c r="A1697" s="3"/>
      <c r="B1697" s="19"/>
      <c r="C1697" s="19"/>
      <c r="D1697" s="27"/>
      <c r="E1697" s="27"/>
      <c r="F1697" s="28"/>
      <c r="G1697" s="31" t="str">
        <f t="shared" si="2"/>
        <v/>
      </c>
      <c r="H1697" s="30"/>
      <c r="I1697" s="21" t="str">
        <f t="shared" si="1"/>
        <v/>
      </c>
      <c r="J1697" s="19"/>
    </row>
    <row r="1698" ht="15.75" customHeight="1">
      <c r="A1698" s="3"/>
      <c r="B1698" s="19"/>
      <c r="C1698" s="19"/>
      <c r="D1698" s="27"/>
      <c r="E1698" s="27"/>
      <c r="F1698" s="28"/>
      <c r="G1698" s="31" t="str">
        <f t="shared" si="2"/>
        <v/>
      </c>
      <c r="H1698" s="30"/>
      <c r="I1698" s="21" t="str">
        <f t="shared" si="1"/>
        <v/>
      </c>
      <c r="J1698" s="19"/>
    </row>
    <row r="1699" ht="15.75" customHeight="1">
      <c r="A1699" s="3"/>
      <c r="B1699" s="19"/>
      <c r="C1699" s="19"/>
      <c r="D1699" s="27"/>
      <c r="E1699" s="27"/>
      <c r="F1699" s="28"/>
      <c r="G1699" s="31" t="str">
        <f t="shared" si="2"/>
        <v/>
      </c>
      <c r="H1699" s="30"/>
      <c r="I1699" s="21" t="str">
        <f t="shared" si="1"/>
        <v/>
      </c>
      <c r="J1699" s="19"/>
    </row>
    <row r="1700" ht="15.75" customHeight="1">
      <c r="A1700" s="3"/>
      <c r="B1700" s="19"/>
      <c r="C1700" s="19"/>
      <c r="D1700" s="27"/>
      <c r="E1700" s="27"/>
      <c r="F1700" s="28"/>
      <c r="G1700" s="31" t="str">
        <f t="shared" si="2"/>
        <v/>
      </c>
      <c r="H1700" s="30"/>
      <c r="I1700" s="21" t="str">
        <f t="shared" si="1"/>
        <v/>
      </c>
      <c r="J1700" s="19"/>
    </row>
    <row r="1701" ht="15.75" customHeight="1">
      <c r="A1701" s="3"/>
      <c r="B1701" s="19"/>
      <c r="C1701" s="19"/>
      <c r="D1701" s="27"/>
      <c r="E1701" s="27"/>
      <c r="F1701" s="28"/>
      <c r="G1701" s="31" t="str">
        <f t="shared" si="2"/>
        <v/>
      </c>
      <c r="H1701" s="30"/>
      <c r="I1701" s="21" t="str">
        <f t="shared" si="1"/>
        <v/>
      </c>
      <c r="J1701" s="19"/>
    </row>
    <row r="1702" ht="15.75" customHeight="1">
      <c r="A1702" s="3"/>
      <c r="B1702" s="19"/>
      <c r="C1702" s="19"/>
      <c r="D1702" s="27"/>
      <c r="E1702" s="27"/>
      <c r="F1702" s="28"/>
      <c r="G1702" s="31" t="str">
        <f t="shared" si="2"/>
        <v/>
      </c>
      <c r="H1702" s="30"/>
      <c r="I1702" s="21" t="str">
        <f t="shared" si="1"/>
        <v/>
      </c>
      <c r="J1702" s="19"/>
    </row>
    <row r="1703" ht="15.75" customHeight="1">
      <c r="A1703" s="3"/>
      <c r="B1703" s="19"/>
      <c r="C1703" s="19"/>
      <c r="D1703" s="27"/>
      <c r="E1703" s="27"/>
      <c r="F1703" s="28"/>
      <c r="G1703" s="31" t="str">
        <f t="shared" si="2"/>
        <v/>
      </c>
      <c r="H1703" s="30"/>
      <c r="I1703" s="21" t="str">
        <f t="shared" si="1"/>
        <v/>
      </c>
      <c r="J1703" s="19"/>
    </row>
    <row r="1704" ht="15.75" customHeight="1">
      <c r="A1704" s="3"/>
      <c r="B1704" s="19"/>
      <c r="C1704" s="19"/>
      <c r="D1704" s="27"/>
      <c r="E1704" s="27"/>
      <c r="F1704" s="28"/>
      <c r="G1704" s="31" t="str">
        <f t="shared" si="2"/>
        <v/>
      </c>
      <c r="H1704" s="30"/>
      <c r="I1704" s="21" t="str">
        <f t="shared" si="1"/>
        <v/>
      </c>
      <c r="J1704" s="19"/>
    </row>
    <row r="1705" ht="15.75" customHeight="1">
      <c r="A1705" s="3"/>
      <c r="B1705" s="19"/>
      <c r="C1705" s="19"/>
      <c r="D1705" s="27"/>
      <c r="E1705" s="27"/>
      <c r="F1705" s="28"/>
      <c r="G1705" s="31" t="str">
        <f t="shared" si="2"/>
        <v/>
      </c>
      <c r="H1705" s="30"/>
      <c r="I1705" s="21" t="str">
        <f t="shared" si="1"/>
        <v/>
      </c>
      <c r="J1705" s="19"/>
    </row>
    <row r="1706" ht="15.75" customHeight="1">
      <c r="A1706" s="3"/>
      <c r="B1706" s="19"/>
      <c r="C1706" s="19"/>
      <c r="D1706" s="27"/>
      <c r="E1706" s="27"/>
      <c r="F1706" s="28"/>
      <c r="G1706" s="31" t="str">
        <f t="shared" si="2"/>
        <v/>
      </c>
      <c r="H1706" s="30"/>
      <c r="I1706" s="21" t="str">
        <f t="shared" si="1"/>
        <v/>
      </c>
      <c r="J1706" s="19"/>
    </row>
    <row r="1707" ht="15.75" customHeight="1">
      <c r="A1707" s="3"/>
      <c r="B1707" s="19"/>
      <c r="C1707" s="19"/>
      <c r="D1707" s="27"/>
      <c r="E1707" s="27"/>
      <c r="F1707" s="28"/>
      <c r="G1707" s="31" t="str">
        <f t="shared" si="2"/>
        <v/>
      </c>
      <c r="H1707" s="30"/>
      <c r="I1707" s="21" t="str">
        <f t="shared" si="1"/>
        <v/>
      </c>
      <c r="J1707" s="19"/>
    </row>
    <row r="1708" ht="15.75" customHeight="1">
      <c r="A1708" s="3"/>
      <c r="B1708" s="19"/>
      <c r="C1708" s="19"/>
      <c r="D1708" s="27"/>
      <c r="E1708" s="27"/>
      <c r="F1708" s="28"/>
      <c r="G1708" s="31" t="str">
        <f t="shared" si="2"/>
        <v/>
      </c>
      <c r="H1708" s="30"/>
      <c r="I1708" s="21" t="str">
        <f t="shared" si="1"/>
        <v/>
      </c>
      <c r="J1708" s="19"/>
    </row>
    <row r="1709" ht="15.75" customHeight="1">
      <c r="A1709" s="3"/>
      <c r="B1709" s="19"/>
      <c r="C1709" s="19"/>
      <c r="D1709" s="27"/>
      <c r="E1709" s="27"/>
      <c r="F1709" s="28"/>
      <c r="G1709" s="31" t="str">
        <f t="shared" si="2"/>
        <v/>
      </c>
      <c r="H1709" s="30"/>
      <c r="I1709" s="21" t="str">
        <f t="shared" si="1"/>
        <v/>
      </c>
      <c r="J1709" s="19"/>
    </row>
    <row r="1710" ht="15.75" customHeight="1">
      <c r="A1710" s="3"/>
      <c r="B1710" s="19"/>
      <c r="C1710" s="19"/>
      <c r="D1710" s="27"/>
      <c r="E1710" s="27"/>
      <c r="F1710" s="28"/>
      <c r="G1710" s="31" t="str">
        <f t="shared" si="2"/>
        <v/>
      </c>
      <c r="H1710" s="30"/>
      <c r="I1710" s="21" t="str">
        <f t="shared" si="1"/>
        <v/>
      </c>
      <c r="J1710" s="19"/>
    </row>
    <row r="1711" ht="15.75" customHeight="1">
      <c r="A1711" s="3"/>
      <c r="B1711" s="19"/>
      <c r="C1711" s="19"/>
      <c r="D1711" s="27"/>
      <c r="E1711" s="27"/>
      <c r="F1711" s="28"/>
      <c r="G1711" s="31" t="str">
        <f t="shared" si="2"/>
        <v/>
      </c>
      <c r="H1711" s="30"/>
      <c r="I1711" s="21" t="str">
        <f t="shared" si="1"/>
        <v/>
      </c>
      <c r="J1711" s="19"/>
    </row>
    <row r="1712" ht="15.75" customHeight="1">
      <c r="A1712" s="3"/>
      <c r="B1712" s="19"/>
      <c r="C1712" s="19"/>
      <c r="D1712" s="27"/>
      <c r="E1712" s="27"/>
      <c r="F1712" s="28"/>
      <c r="G1712" s="31" t="str">
        <f t="shared" si="2"/>
        <v/>
      </c>
      <c r="H1712" s="30"/>
      <c r="I1712" s="21" t="str">
        <f t="shared" si="1"/>
        <v/>
      </c>
      <c r="J1712" s="19"/>
    </row>
    <row r="1713" ht="15.75" customHeight="1">
      <c r="A1713" s="3"/>
      <c r="B1713" s="19"/>
      <c r="C1713" s="19"/>
      <c r="D1713" s="27"/>
      <c r="E1713" s="27"/>
      <c r="F1713" s="28"/>
      <c r="G1713" s="31" t="str">
        <f t="shared" si="2"/>
        <v/>
      </c>
      <c r="H1713" s="30"/>
      <c r="I1713" s="21" t="str">
        <f t="shared" si="1"/>
        <v/>
      </c>
      <c r="J1713" s="19"/>
    </row>
    <row r="1714" ht="15.75" customHeight="1">
      <c r="A1714" s="3"/>
      <c r="B1714" s="19"/>
      <c r="C1714" s="19"/>
      <c r="D1714" s="27"/>
      <c r="E1714" s="27"/>
      <c r="F1714" s="28"/>
      <c r="G1714" s="31" t="str">
        <f t="shared" si="2"/>
        <v/>
      </c>
      <c r="H1714" s="30"/>
      <c r="I1714" s="21" t="str">
        <f t="shared" si="1"/>
        <v/>
      </c>
      <c r="J1714" s="19"/>
    </row>
    <row r="1715" ht="15.75" customHeight="1">
      <c r="A1715" s="3"/>
      <c r="B1715" s="19"/>
      <c r="C1715" s="19"/>
      <c r="D1715" s="27"/>
      <c r="E1715" s="27"/>
      <c r="F1715" s="28"/>
      <c r="G1715" s="31" t="str">
        <f t="shared" si="2"/>
        <v/>
      </c>
      <c r="H1715" s="30"/>
      <c r="I1715" s="21" t="str">
        <f t="shared" si="1"/>
        <v/>
      </c>
      <c r="J1715" s="19"/>
    </row>
    <row r="1716" ht="15.75" customHeight="1">
      <c r="A1716" s="3"/>
      <c r="B1716" s="19"/>
      <c r="C1716" s="19"/>
      <c r="D1716" s="27"/>
      <c r="E1716" s="27"/>
      <c r="F1716" s="28"/>
      <c r="G1716" s="31" t="str">
        <f t="shared" si="2"/>
        <v/>
      </c>
      <c r="H1716" s="30"/>
      <c r="I1716" s="21" t="str">
        <f t="shared" si="1"/>
        <v/>
      </c>
      <c r="J1716" s="19"/>
    </row>
    <row r="1717" ht="15.75" customHeight="1">
      <c r="A1717" s="3"/>
      <c r="B1717" s="19"/>
      <c r="C1717" s="19"/>
      <c r="D1717" s="27"/>
      <c r="E1717" s="27"/>
      <c r="F1717" s="28"/>
      <c r="G1717" s="31" t="str">
        <f t="shared" si="2"/>
        <v/>
      </c>
      <c r="H1717" s="30"/>
      <c r="I1717" s="21" t="str">
        <f t="shared" si="1"/>
        <v/>
      </c>
      <c r="J1717" s="19"/>
    </row>
    <row r="1718" ht="15.75" customHeight="1">
      <c r="A1718" s="3"/>
      <c r="B1718" s="19"/>
      <c r="C1718" s="19"/>
      <c r="D1718" s="27"/>
      <c r="E1718" s="27"/>
      <c r="F1718" s="28"/>
      <c r="G1718" s="31" t="str">
        <f t="shared" si="2"/>
        <v/>
      </c>
      <c r="H1718" s="30"/>
      <c r="I1718" s="21" t="str">
        <f t="shared" si="1"/>
        <v/>
      </c>
      <c r="J1718" s="19"/>
    </row>
    <row r="1719" ht="15.75" customHeight="1">
      <c r="A1719" s="3"/>
      <c r="B1719" s="19"/>
      <c r="C1719" s="19"/>
      <c r="D1719" s="27"/>
      <c r="E1719" s="27"/>
      <c r="F1719" s="28"/>
      <c r="G1719" s="31" t="str">
        <f t="shared" si="2"/>
        <v/>
      </c>
      <c r="H1719" s="30"/>
      <c r="I1719" s="21" t="str">
        <f t="shared" si="1"/>
        <v/>
      </c>
      <c r="J1719" s="19"/>
    </row>
    <row r="1720" ht="15.75" customHeight="1">
      <c r="A1720" s="3"/>
      <c r="B1720" s="19"/>
      <c r="C1720" s="19"/>
      <c r="D1720" s="27"/>
      <c r="E1720" s="27"/>
      <c r="F1720" s="28"/>
      <c r="G1720" s="31" t="str">
        <f t="shared" si="2"/>
        <v/>
      </c>
      <c r="H1720" s="30"/>
      <c r="I1720" s="21" t="str">
        <f t="shared" si="1"/>
        <v/>
      </c>
      <c r="J1720" s="19"/>
    </row>
    <row r="1721" ht="15.75" customHeight="1">
      <c r="A1721" s="3"/>
      <c r="B1721" s="19"/>
      <c r="C1721" s="19"/>
      <c r="D1721" s="27"/>
      <c r="E1721" s="27"/>
      <c r="F1721" s="28"/>
      <c r="G1721" s="31" t="str">
        <f t="shared" si="2"/>
        <v/>
      </c>
      <c r="H1721" s="30"/>
      <c r="I1721" s="21" t="str">
        <f t="shared" si="1"/>
        <v/>
      </c>
      <c r="J1721" s="19"/>
    </row>
    <row r="1722" ht="15.75" customHeight="1">
      <c r="A1722" s="3"/>
      <c r="B1722" s="19"/>
      <c r="C1722" s="19"/>
      <c r="D1722" s="27"/>
      <c r="E1722" s="27"/>
      <c r="F1722" s="28"/>
      <c r="G1722" s="31" t="str">
        <f t="shared" si="2"/>
        <v/>
      </c>
      <c r="H1722" s="30"/>
      <c r="I1722" s="21" t="str">
        <f t="shared" si="1"/>
        <v/>
      </c>
      <c r="J1722" s="19"/>
    </row>
    <row r="1723" ht="15.75" customHeight="1">
      <c r="A1723" s="3"/>
      <c r="B1723" s="19"/>
      <c r="C1723" s="19"/>
      <c r="D1723" s="27"/>
      <c r="E1723" s="27"/>
      <c r="F1723" s="28"/>
      <c r="G1723" s="31" t="str">
        <f t="shared" si="2"/>
        <v/>
      </c>
      <c r="H1723" s="30"/>
      <c r="I1723" s="21" t="str">
        <f t="shared" si="1"/>
        <v/>
      </c>
      <c r="J1723" s="19"/>
    </row>
    <row r="1724" ht="15.75" customHeight="1">
      <c r="A1724" s="3"/>
      <c r="B1724" s="19"/>
      <c r="C1724" s="19"/>
      <c r="D1724" s="27"/>
      <c r="E1724" s="27"/>
      <c r="F1724" s="28"/>
      <c r="G1724" s="31" t="str">
        <f t="shared" si="2"/>
        <v/>
      </c>
      <c r="H1724" s="30"/>
      <c r="I1724" s="21" t="str">
        <f t="shared" si="1"/>
        <v/>
      </c>
      <c r="J1724" s="19"/>
    </row>
    <row r="1725" ht="15.75" customHeight="1">
      <c r="A1725" s="3"/>
      <c r="B1725" s="19"/>
      <c r="C1725" s="19"/>
      <c r="D1725" s="27"/>
      <c r="E1725" s="27"/>
      <c r="F1725" s="28"/>
      <c r="G1725" s="31" t="str">
        <f t="shared" si="2"/>
        <v/>
      </c>
      <c r="H1725" s="30"/>
      <c r="I1725" s="21" t="str">
        <f t="shared" si="1"/>
        <v/>
      </c>
      <c r="J1725" s="19"/>
    </row>
    <row r="1726" ht="15.75" customHeight="1">
      <c r="A1726" s="3"/>
      <c r="B1726" s="19"/>
      <c r="C1726" s="19"/>
      <c r="D1726" s="27"/>
      <c r="E1726" s="27"/>
      <c r="F1726" s="28"/>
      <c r="G1726" s="31" t="str">
        <f t="shared" si="2"/>
        <v/>
      </c>
      <c r="H1726" s="30"/>
      <c r="I1726" s="21" t="str">
        <f t="shared" si="1"/>
        <v/>
      </c>
      <c r="J1726" s="19"/>
    </row>
    <row r="1727" ht="15.75" customHeight="1">
      <c r="A1727" s="3"/>
      <c r="B1727" s="19"/>
      <c r="C1727" s="19"/>
      <c r="D1727" s="27"/>
      <c r="E1727" s="27"/>
      <c r="F1727" s="28"/>
      <c r="G1727" s="31" t="str">
        <f t="shared" si="2"/>
        <v/>
      </c>
      <c r="H1727" s="30"/>
      <c r="I1727" s="21" t="str">
        <f t="shared" si="1"/>
        <v/>
      </c>
      <c r="J1727" s="19"/>
    </row>
    <row r="1728" ht="15.75" customHeight="1">
      <c r="A1728" s="3"/>
      <c r="B1728" s="19"/>
      <c r="C1728" s="19"/>
      <c r="D1728" s="27"/>
      <c r="E1728" s="27"/>
      <c r="F1728" s="28"/>
      <c r="G1728" s="31" t="str">
        <f t="shared" si="2"/>
        <v/>
      </c>
      <c r="H1728" s="30"/>
      <c r="I1728" s="21" t="str">
        <f t="shared" si="1"/>
        <v/>
      </c>
      <c r="J1728" s="19"/>
    </row>
    <row r="1729" ht="15.75" customHeight="1">
      <c r="A1729" s="3"/>
      <c r="B1729" s="19"/>
      <c r="C1729" s="19"/>
      <c r="D1729" s="27"/>
      <c r="E1729" s="27"/>
      <c r="F1729" s="28"/>
      <c r="G1729" s="31" t="str">
        <f t="shared" si="2"/>
        <v/>
      </c>
      <c r="H1729" s="30"/>
      <c r="I1729" s="21" t="str">
        <f t="shared" si="1"/>
        <v/>
      </c>
      <c r="J1729" s="19"/>
    </row>
    <row r="1730" ht="15.75" customHeight="1">
      <c r="A1730" s="3"/>
      <c r="B1730" s="19"/>
      <c r="C1730" s="19"/>
      <c r="D1730" s="27"/>
      <c r="E1730" s="27"/>
      <c r="F1730" s="28"/>
      <c r="G1730" s="31" t="str">
        <f t="shared" si="2"/>
        <v/>
      </c>
      <c r="H1730" s="30"/>
      <c r="I1730" s="21" t="str">
        <f t="shared" si="1"/>
        <v/>
      </c>
      <c r="J1730" s="19"/>
    </row>
    <row r="1731" ht="15.75" customHeight="1">
      <c r="A1731" s="3"/>
      <c r="B1731" s="19"/>
      <c r="C1731" s="19"/>
      <c r="D1731" s="27"/>
      <c r="E1731" s="27"/>
      <c r="F1731" s="28"/>
      <c r="G1731" s="31" t="str">
        <f t="shared" si="2"/>
        <v/>
      </c>
      <c r="H1731" s="30"/>
      <c r="I1731" s="21" t="str">
        <f t="shared" si="1"/>
        <v/>
      </c>
      <c r="J1731" s="19"/>
    </row>
    <row r="1732" ht="15.75" customHeight="1">
      <c r="A1732" s="3"/>
      <c r="B1732" s="19"/>
      <c r="C1732" s="19"/>
      <c r="D1732" s="27"/>
      <c r="E1732" s="27"/>
      <c r="F1732" s="28"/>
      <c r="G1732" s="31" t="str">
        <f t="shared" si="2"/>
        <v/>
      </c>
      <c r="H1732" s="30"/>
      <c r="I1732" s="21" t="str">
        <f t="shared" si="1"/>
        <v/>
      </c>
      <c r="J1732" s="19"/>
    </row>
    <row r="1733" ht="15.75" customHeight="1">
      <c r="A1733" s="3"/>
      <c r="B1733" s="19"/>
      <c r="C1733" s="19"/>
      <c r="D1733" s="27"/>
      <c r="E1733" s="27"/>
      <c r="F1733" s="28"/>
      <c r="G1733" s="31" t="str">
        <f t="shared" si="2"/>
        <v/>
      </c>
      <c r="H1733" s="30"/>
      <c r="I1733" s="21" t="str">
        <f t="shared" si="1"/>
        <v/>
      </c>
      <c r="J1733" s="19"/>
    </row>
    <row r="1734" ht="15.75" customHeight="1">
      <c r="A1734" s="3"/>
      <c r="B1734" s="19"/>
      <c r="C1734" s="19"/>
      <c r="D1734" s="27"/>
      <c r="E1734" s="27"/>
      <c r="F1734" s="28"/>
      <c r="G1734" s="31" t="str">
        <f t="shared" si="2"/>
        <v/>
      </c>
      <c r="H1734" s="30"/>
      <c r="I1734" s="21" t="str">
        <f t="shared" si="1"/>
        <v/>
      </c>
      <c r="J1734" s="19"/>
    </row>
    <row r="1735" ht="15.75" customHeight="1">
      <c r="A1735" s="3"/>
      <c r="B1735" s="19"/>
      <c r="C1735" s="19"/>
      <c r="D1735" s="27"/>
      <c r="E1735" s="27"/>
      <c r="F1735" s="28"/>
      <c r="G1735" s="31" t="str">
        <f t="shared" si="2"/>
        <v/>
      </c>
      <c r="H1735" s="30"/>
      <c r="I1735" s="21" t="str">
        <f t="shared" si="1"/>
        <v/>
      </c>
      <c r="J1735" s="19"/>
    </row>
    <row r="1736" ht="15.75" customHeight="1">
      <c r="A1736" s="3"/>
      <c r="B1736" s="19"/>
      <c r="C1736" s="19"/>
      <c r="D1736" s="27"/>
      <c r="E1736" s="27"/>
      <c r="F1736" s="28"/>
      <c r="G1736" s="31" t="str">
        <f t="shared" si="2"/>
        <v/>
      </c>
      <c r="H1736" s="30"/>
      <c r="I1736" s="21" t="str">
        <f t="shared" si="1"/>
        <v/>
      </c>
      <c r="J1736" s="19"/>
    </row>
    <row r="1737" ht="15.75" customHeight="1">
      <c r="A1737" s="3"/>
      <c r="B1737" s="19"/>
      <c r="C1737" s="19"/>
      <c r="D1737" s="27"/>
      <c r="E1737" s="27"/>
      <c r="F1737" s="28"/>
      <c r="G1737" s="31" t="str">
        <f t="shared" si="2"/>
        <v/>
      </c>
      <c r="H1737" s="30"/>
      <c r="I1737" s="21" t="str">
        <f t="shared" si="1"/>
        <v/>
      </c>
      <c r="J1737" s="19"/>
    </row>
    <row r="1738" ht="15.75" customHeight="1">
      <c r="A1738" s="3"/>
      <c r="B1738" s="19"/>
      <c r="C1738" s="19"/>
      <c r="D1738" s="27"/>
      <c r="E1738" s="27"/>
      <c r="F1738" s="28"/>
      <c r="G1738" s="31" t="str">
        <f t="shared" si="2"/>
        <v/>
      </c>
      <c r="H1738" s="30"/>
      <c r="I1738" s="21" t="str">
        <f t="shared" si="1"/>
        <v/>
      </c>
      <c r="J1738" s="19"/>
    </row>
    <row r="1739" ht="15.75" customHeight="1">
      <c r="A1739" s="3"/>
      <c r="B1739" s="19"/>
      <c r="C1739" s="19"/>
      <c r="D1739" s="27"/>
      <c r="E1739" s="27"/>
      <c r="F1739" s="28"/>
      <c r="G1739" s="31" t="str">
        <f t="shared" si="2"/>
        <v/>
      </c>
      <c r="H1739" s="30"/>
      <c r="I1739" s="21" t="str">
        <f t="shared" si="1"/>
        <v/>
      </c>
      <c r="J1739" s="19"/>
    </row>
    <row r="1740" ht="15.75" customHeight="1">
      <c r="A1740" s="3"/>
      <c r="B1740" s="19"/>
      <c r="C1740" s="19"/>
      <c r="D1740" s="27"/>
      <c r="E1740" s="27"/>
      <c r="F1740" s="28"/>
      <c r="G1740" s="31" t="str">
        <f t="shared" si="2"/>
        <v/>
      </c>
      <c r="H1740" s="30"/>
      <c r="I1740" s="21" t="str">
        <f t="shared" si="1"/>
        <v/>
      </c>
      <c r="J1740" s="19"/>
    </row>
    <row r="1741" ht="15.75" customHeight="1">
      <c r="A1741" s="3"/>
      <c r="B1741" s="19"/>
      <c r="C1741" s="19"/>
      <c r="D1741" s="27"/>
      <c r="E1741" s="27"/>
      <c r="F1741" s="28"/>
      <c r="G1741" s="31" t="str">
        <f t="shared" si="2"/>
        <v/>
      </c>
      <c r="H1741" s="30"/>
      <c r="I1741" s="21" t="str">
        <f t="shared" si="1"/>
        <v/>
      </c>
      <c r="J1741" s="19"/>
    </row>
    <row r="1742" ht="15.75" customHeight="1">
      <c r="A1742" s="3"/>
      <c r="B1742" s="19"/>
      <c r="C1742" s="19"/>
      <c r="D1742" s="27"/>
      <c r="E1742" s="27"/>
      <c r="F1742" s="28"/>
      <c r="G1742" s="31" t="str">
        <f t="shared" si="2"/>
        <v/>
      </c>
      <c r="H1742" s="30"/>
      <c r="I1742" s="21" t="str">
        <f t="shared" si="1"/>
        <v/>
      </c>
      <c r="J1742" s="19"/>
    </row>
    <row r="1743" ht="15.75" customHeight="1">
      <c r="A1743" s="3"/>
      <c r="B1743" s="19"/>
      <c r="C1743" s="19"/>
      <c r="D1743" s="27"/>
      <c r="E1743" s="27"/>
      <c r="F1743" s="28"/>
      <c r="G1743" s="31" t="str">
        <f t="shared" si="2"/>
        <v/>
      </c>
      <c r="H1743" s="30"/>
      <c r="I1743" s="21" t="str">
        <f t="shared" si="1"/>
        <v/>
      </c>
      <c r="J1743" s="19"/>
    </row>
    <row r="1744" ht="15.75" customHeight="1">
      <c r="A1744" s="3"/>
      <c r="B1744" s="19"/>
      <c r="C1744" s="19"/>
      <c r="D1744" s="27"/>
      <c r="E1744" s="27"/>
      <c r="F1744" s="28"/>
      <c r="G1744" s="31" t="str">
        <f t="shared" si="2"/>
        <v/>
      </c>
      <c r="H1744" s="30"/>
      <c r="I1744" s="21" t="str">
        <f t="shared" si="1"/>
        <v/>
      </c>
      <c r="J1744" s="19"/>
    </row>
    <row r="1745" ht="15.75" customHeight="1">
      <c r="A1745" s="3"/>
      <c r="B1745" s="19"/>
      <c r="C1745" s="19"/>
      <c r="D1745" s="27"/>
      <c r="E1745" s="27"/>
      <c r="F1745" s="28"/>
      <c r="G1745" s="31" t="str">
        <f t="shared" si="2"/>
        <v/>
      </c>
      <c r="H1745" s="30"/>
      <c r="I1745" s="21" t="str">
        <f t="shared" si="1"/>
        <v/>
      </c>
      <c r="J1745" s="19"/>
    </row>
    <row r="1746" ht="15.75" customHeight="1">
      <c r="A1746" s="3"/>
      <c r="B1746" s="19"/>
      <c r="C1746" s="19"/>
      <c r="D1746" s="27"/>
      <c r="E1746" s="27"/>
      <c r="F1746" s="28"/>
      <c r="G1746" s="31" t="str">
        <f t="shared" si="2"/>
        <v/>
      </c>
      <c r="H1746" s="30"/>
      <c r="I1746" s="21" t="str">
        <f t="shared" si="1"/>
        <v/>
      </c>
      <c r="J1746" s="19"/>
    </row>
    <row r="1747" ht="15.75" customHeight="1">
      <c r="A1747" s="3"/>
      <c r="B1747" s="19"/>
      <c r="C1747" s="19"/>
      <c r="D1747" s="27"/>
      <c r="E1747" s="27"/>
      <c r="F1747" s="28"/>
      <c r="G1747" s="31" t="str">
        <f t="shared" si="2"/>
        <v/>
      </c>
      <c r="H1747" s="30"/>
      <c r="I1747" s="21" t="str">
        <f t="shared" si="1"/>
        <v/>
      </c>
      <c r="J1747" s="19"/>
    </row>
    <row r="1748" ht="15.75" customHeight="1">
      <c r="A1748" s="3"/>
      <c r="B1748" s="19"/>
      <c r="C1748" s="19"/>
      <c r="D1748" s="27"/>
      <c r="E1748" s="27"/>
      <c r="F1748" s="28"/>
      <c r="G1748" s="31" t="str">
        <f t="shared" si="2"/>
        <v/>
      </c>
      <c r="H1748" s="30"/>
      <c r="I1748" s="21" t="str">
        <f t="shared" si="1"/>
        <v/>
      </c>
      <c r="J1748" s="19"/>
    </row>
    <row r="1749" ht="15.75" customHeight="1">
      <c r="A1749" s="3"/>
      <c r="B1749" s="19"/>
      <c r="C1749" s="19"/>
      <c r="D1749" s="27"/>
      <c r="E1749" s="27"/>
      <c r="F1749" s="28"/>
      <c r="G1749" s="31" t="str">
        <f t="shared" si="2"/>
        <v/>
      </c>
      <c r="H1749" s="30"/>
      <c r="I1749" s="21" t="str">
        <f t="shared" si="1"/>
        <v/>
      </c>
      <c r="J1749" s="19"/>
    </row>
    <row r="1750" ht="15.75" customHeight="1">
      <c r="A1750" s="3"/>
      <c r="B1750" s="19"/>
      <c r="C1750" s="19"/>
      <c r="D1750" s="27"/>
      <c r="E1750" s="27"/>
      <c r="F1750" s="28"/>
      <c r="G1750" s="31" t="str">
        <f t="shared" si="2"/>
        <v/>
      </c>
      <c r="H1750" s="30"/>
      <c r="I1750" s="21" t="str">
        <f t="shared" si="1"/>
        <v/>
      </c>
      <c r="J1750" s="19"/>
    </row>
    <row r="1751" ht="15.75" customHeight="1">
      <c r="A1751" s="3"/>
      <c r="B1751" s="19"/>
      <c r="C1751" s="19"/>
      <c r="D1751" s="27"/>
      <c r="E1751" s="27"/>
      <c r="F1751" s="28"/>
      <c r="G1751" s="31" t="str">
        <f t="shared" si="2"/>
        <v/>
      </c>
      <c r="H1751" s="30"/>
      <c r="I1751" s="21" t="str">
        <f t="shared" si="1"/>
        <v/>
      </c>
      <c r="J1751" s="19"/>
    </row>
    <row r="1752" ht="15.75" customHeight="1">
      <c r="A1752" s="3"/>
      <c r="B1752" s="19"/>
      <c r="C1752" s="19"/>
      <c r="D1752" s="27"/>
      <c r="E1752" s="27"/>
      <c r="F1752" s="28"/>
      <c r="G1752" s="31" t="str">
        <f t="shared" si="2"/>
        <v/>
      </c>
      <c r="H1752" s="30"/>
      <c r="I1752" s="21" t="str">
        <f t="shared" si="1"/>
        <v/>
      </c>
      <c r="J1752" s="19"/>
    </row>
    <row r="1753" ht="15.75" customHeight="1">
      <c r="A1753" s="3"/>
      <c r="B1753" s="19"/>
      <c r="C1753" s="19"/>
      <c r="D1753" s="27"/>
      <c r="E1753" s="27"/>
      <c r="F1753" s="28"/>
      <c r="G1753" s="31" t="str">
        <f t="shared" si="2"/>
        <v/>
      </c>
      <c r="H1753" s="30"/>
      <c r="I1753" s="21" t="str">
        <f t="shared" si="1"/>
        <v/>
      </c>
      <c r="J1753" s="19"/>
    </row>
    <row r="1754" ht="15.75" customHeight="1">
      <c r="A1754" s="3"/>
      <c r="B1754" s="19"/>
      <c r="C1754" s="19"/>
      <c r="D1754" s="27"/>
      <c r="E1754" s="27"/>
      <c r="F1754" s="28"/>
      <c r="G1754" s="31" t="str">
        <f t="shared" si="2"/>
        <v/>
      </c>
      <c r="H1754" s="30"/>
      <c r="I1754" s="21" t="str">
        <f t="shared" si="1"/>
        <v/>
      </c>
      <c r="J1754" s="19"/>
    </row>
    <row r="1755" ht="15.75" customHeight="1">
      <c r="A1755" s="3"/>
      <c r="B1755" s="19"/>
      <c r="C1755" s="19"/>
      <c r="D1755" s="27"/>
      <c r="E1755" s="27"/>
      <c r="F1755" s="28"/>
      <c r="G1755" s="31" t="str">
        <f t="shared" si="2"/>
        <v/>
      </c>
      <c r="H1755" s="30"/>
      <c r="I1755" s="21" t="str">
        <f t="shared" si="1"/>
        <v/>
      </c>
      <c r="J1755" s="19"/>
    </row>
    <row r="1756" ht="15.75" customHeight="1">
      <c r="A1756" s="3"/>
      <c r="B1756" s="19"/>
      <c r="C1756" s="19"/>
      <c r="D1756" s="27"/>
      <c r="E1756" s="27"/>
      <c r="F1756" s="28"/>
      <c r="G1756" s="31" t="str">
        <f t="shared" si="2"/>
        <v/>
      </c>
      <c r="H1756" s="30"/>
      <c r="I1756" s="21" t="str">
        <f t="shared" si="1"/>
        <v/>
      </c>
      <c r="J1756" s="19"/>
    </row>
    <row r="1757" ht="15.75" customHeight="1">
      <c r="A1757" s="3"/>
      <c r="B1757" s="19"/>
      <c r="C1757" s="19"/>
      <c r="D1757" s="27"/>
      <c r="E1757" s="27"/>
      <c r="F1757" s="28"/>
      <c r="G1757" s="31" t="str">
        <f t="shared" si="2"/>
        <v/>
      </c>
      <c r="H1757" s="30"/>
      <c r="I1757" s="21" t="str">
        <f t="shared" si="1"/>
        <v/>
      </c>
      <c r="J1757" s="19"/>
    </row>
    <row r="1758" ht="15.75" customHeight="1">
      <c r="A1758" s="3"/>
      <c r="B1758" s="19"/>
      <c r="C1758" s="19"/>
      <c r="D1758" s="27"/>
      <c r="E1758" s="27"/>
      <c r="F1758" s="28"/>
      <c r="G1758" s="31" t="str">
        <f t="shared" si="2"/>
        <v/>
      </c>
      <c r="H1758" s="30"/>
      <c r="I1758" s="21" t="str">
        <f t="shared" si="1"/>
        <v/>
      </c>
      <c r="J1758" s="19"/>
    </row>
    <row r="1759" ht="15.75" customHeight="1">
      <c r="A1759" s="3"/>
      <c r="B1759" s="19"/>
      <c r="C1759" s="19"/>
      <c r="D1759" s="27"/>
      <c r="E1759" s="27"/>
      <c r="F1759" s="28"/>
      <c r="G1759" s="31" t="str">
        <f t="shared" si="2"/>
        <v/>
      </c>
      <c r="H1759" s="30"/>
      <c r="I1759" s="21" t="str">
        <f t="shared" si="1"/>
        <v/>
      </c>
      <c r="J1759" s="19"/>
    </row>
    <row r="1760" ht="15.75" customHeight="1">
      <c r="A1760" s="3"/>
      <c r="B1760" s="19"/>
      <c r="C1760" s="19"/>
      <c r="D1760" s="27"/>
      <c r="E1760" s="27"/>
      <c r="F1760" s="28"/>
      <c r="G1760" s="31" t="str">
        <f t="shared" si="2"/>
        <v/>
      </c>
      <c r="H1760" s="30"/>
      <c r="I1760" s="21" t="str">
        <f t="shared" si="1"/>
        <v/>
      </c>
      <c r="J1760" s="19"/>
    </row>
    <row r="1761" ht="15.75" customHeight="1">
      <c r="A1761" s="3"/>
      <c r="B1761" s="19"/>
      <c r="C1761" s="19"/>
      <c r="D1761" s="27"/>
      <c r="E1761" s="27"/>
      <c r="F1761" s="28"/>
      <c r="G1761" s="31" t="str">
        <f t="shared" si="2"/>
        <v/>
      </c>
      <c r="H1761" s="30"/>
      <c r="I1761" s="21" t="str">
        <f t="shared" si="1"/>
        <v/>
      </c>
      <c r="J1761" s="19"/>
    </row>
    <row r="1762" ht="15.75" customHeight="1">
      <c r="A1762" s="3"/>
      <c r="B1762" s="19"/>
      <c r="C1762" s="19"/>
      <c r="D1762" s="27"/>
      <c r="E1762" s="27"/>
      <c r="F1762" s="28"/>
      <c r="G1762" s="31" t="str">
        <f t="shared" si="2"/>
        <v/>
      </c>
      <c r="H1762" s="30"/>
      <c r="I1762" s="21" t="str">
        <f t="shared" si="1"/>
        <v/>
      </c>
      <c r="J1762" s="19"/>
    </row>
    <row r="1763" ht="15.75" customHeight="1">
      <c r="A1763" s="3"/>
      <c r="B1763" s="19"/>
      <c r="C1763" s="19"/>
      <c r="D1763" s="27"/>
      <c r="E1763" s="27"/>
      <c r="F1763" s="28"/>
      <c r="G1763" s="31" t="str">
        <f t="shared" si="2"/>
        <v/>
      </c>
      <c r="H1763" s="30"/>
      <c r="I1763" s="21" t="str">
        <f t="shared" si="1"/>
        <v/>
      </c>
      <c r="J1763" s="19"/>
    </row>
    <row r="1764" ht="15.75" customHeight="1">
      <c r="A1764" s="3"/>
      <c r="B1764" s="19"/>
      <c r="C1764" s="19"/>
      <c r="D1764" s="27"/>
      <c r="E1764" s="27"/>
      <c r="F1764" s="28"/>
      <c r="G1764" s="31" t="str">
        <f t="shared" si="2"/>
        <v/>
      </c>
      <c r="H1764" s="30"/>
      <c r="I1764" s="21" t="str">
        <f t="shared" si="1"/>
        <v/>
      </c>
      <c r="J1764" s="19"/>
    </row>
    <row r="1765" ht="15.75" customHeight="1">
      <c r="A1765" s="3"/>
      <c r="B1765" s="19"/>
      <c r="C1765" s="19"/>
      <c r="D1765" s="27"/>
      <c r="E1765" s="27"/>
      <c r="F1765" s="28"/>
      <c r="G1765" s="31" t="str">
        <f t="shared" si="2"/>
        <v/>
      </c>
      <c r="H1765" s="30"/>
      <c r="I1765" s="21" t="str">
        <f t="shared" si="1"/>
        <v/>
      </c>
      <c r="J1765" s="19"/>
    </row>
    <row r="1766" ht="15.75" customHeight="1">
      <c r="A1766" s="3"/>
      <c r="B1766" s="19"/>
      <c r="C1766" s="19"/>
      <c r="D1766" s="27"/>
      <c r="E1766" s="27"/>
      <c r="F1766" s="28"/>
      <c r="G1766" s="31" t="str">
        <f t="shared" si="2"/>
        <v/>
      </c>
      <c r="H1766" s="30"/>
      <c r="I1766" s="21" t="str">
        <f t="shared" si="1"/>
        <v/>
      </c>
      <c r="J1766" s="19"/>
    </row>
    <row r="1767" ht="15.75" customHeight="1">
      <c r="A1767" s="3"/>
      <c r="B1767" s="19"/>
      <c r="C1767" s="19"/>
      <c r="D1767" s="27"/>
      <c r="E1767" s="27"/>
      <c r="F1767" s="28"/>
      <c r="G1767" s="31" t="str">
        <f t="shared" si="2"/>
        <v/>
      </c>
      <c r="H1767" s="30"/>
      <c r="I1767" s="21" t="str">
        <f t="shared" si="1"/>
        <v/>
      </c>
      <c r="J1767" s="19"/>
    </row>
    <row r="1768" ht="15.75" customHeight="1">
      <c r="A1768" s="3"/>
      <c r="B1768" s="19"/>
      <c r="C1768" s="19"/>
      <c r="D1768" s="27"/>
      <c r="E1768" s="27"/>
      <c r="F1768" s="28"/>
      <c r="G1768" s="31" t="str">
        <f t="shared" si="2"/>
        <v/>
      </c>
      <c r="H1768" s="30"/>
      <c r="I1768" s="21" t="str">
        <f t="shared" si="1"/>
        <v/>
      </c>
      <c r="J1768" s="19"/>
    </row>
    <row r="1769" ht="15.75" customHeight="1">
      <c r="A1769" s="3"/>
      <c r="B1769" s="19"/>
      <c r="C1769" s="19"/>
      <c r="D1769" s="27"/>
      <c r="E1769" s="27"/>
      <c r="F1769" s="28"/>
      <c r="G1769" s="31" t="str">
        <f t="shared" si="2"/>
        <v/>
      </c>
      <c r="H1769" s="30"/>
      <c r="I1769" s="21" t="str">
        <f t="shared" si="1"/>
        <v/>
      </c>
      <c r="J1769" s="19"/>
    </row>
    <row r="1770" ht="15.75" customHeight="1">
      <c r="A1770" s="3"/>
      <c r="B1770" s="19"/>
      <c r="C1770" s="19"/>
      <c r="D1770" s="27"/>
      <c r="E1770" s="27"/>
      <c r="F1770" s="28"/>
      <c r="G1770" s="31" t="str">
        <f t="shared" si="2"/>
        <v/>
      </c>
      <c r="H1770" s="30"/>
      <c r="I1770" s="21" t="str">
        <f t="shared" si="1"/>
        <v/>
      </c>
      <c r="J1770" s="19"/>
    </row>
    <row r="1771" ht="15.75" customHeight="1">
      <c r="A1771" s="3"/>
      <c r="B1771" s="19"/>
      <c r="C1771" s="19"/>
      <c r="D1771" s="27"/>
      <c r="E1771" s="27"/>
      <c r="F1771" s="28"/>
      <c r="G1771" s="31" t="str">
        <f t="shared" si="2"/>
        <v/>
      </c>
      <c r="H1771" s="30"/>
      <c r="I1771" s="21" t="str">
        <f t="shared" si="1"/>
        <v/>
      </c>
      <c r="J1771" s="19"/>
    </row>
    <row r="1772" ht="15.75" customHeight="1">
      <c r="A1772" s="3"/>
      <c r="B1772" s="19"/>
      <c r="C1772" s="19"/>
      <c r="D1772" s="27"/>
      <c r="E1772" s="27"/>
      <c r="F1772" s="28"/>
      <c r="G1772" s="31" t="str">
        <f t="shared" si="2"/>
        <v/>
      </c>
      <c r="H1772" s="30"/>
      <c r="I1772" s="21" t="str">
        <f t="shared" si="1"/>
        <v/>
      </c>
      <c r="J1772" s="19"/>
    </row>
    <row r="1773" ht="15.75" customHeight="1">
      <c r="A1773" s="3"/>
      <c r="B1773" s="19"/>
      <c r="C1773" s="19"/>
      <c r="D1773" s="27"/>
      <c r="E1773" s="27"/>
      <c r="F1773" s="28"/>
      <c r="G1773" s="31" t="str">
        <f t="shared" si="2"/>
        <v/>
      </c>
      <c r="H1773" s="30"/>
      <c r="I1773" s="21" t="str">
        <f t="shared" si="1"/>
        <v/>
      </c>
      <c r="J1773" s="19"/>
    </row>
    <row r="1774" ht="15.75" customHeight="1">
      <c r="A1774" s="3"/>
      <c r="B1774" s="19"/>
      <c r="C1774" s="19"/>
      <c r="D1774" s="27"/>
      <c r="E1774" s="27"/>
      <c r="F1774" s="28"/>
      <c r="G1774" s="31" t="str">
        <f t="shared" si="2"/>
        <v/>
      </c>
      <c r="H1774" s="30"/>
      <c r="I1774" s="21" t="str">
        <f t="shared" si="1"/>
        <v/>
      </c>
      <c r="J1774" s="19"/>
    </row>
    <row r="1775" ht="15.75" customHeight="1">
      <c r="A1775" s="3"/>
      <c r="B1775" s="19"/>
      <c r="C1775" s="19"/>
      <c r="D1775" s="27"/>
      <c r="E1775" s="27"/>
      <c r="F1775" s="28"/>
      <c r="G1775" s="31" t="str">
        <f t="shared" si="2"/>
        <v/>
      </c>
      <c r="H1775" s="30"/>
      <c r="I1775" s="21" t="str">
        <f t="shared" si="1"/>
        <v/>
      </c>
      <c r="J1775" s="19"/>
    </row>
    <row r="1776" ht="15.75" customHeight="1">
      <c r="A1776" s="3"/>
      <c r="B1776" s="19"/>
      <c r="C1776" s="19"/>
      <c r="D1776" s="27"/>
      <c r="E1776" s="27"/>
      <c r="F1776" s="28"/>
      <c r="G1776" s="31" t="str">
        <f t="shared" si="2"/>
        <v/>
      </c>
      <c r="H1776" s="30"/>
      <c r="I1776" s="21" t="str">
        <f t="shared" si="1"/>
        <v/>
      </c>
      <c r="J1776" s="19"/>
    </row>
    <row r="1777" ht="15.75" customHeight="1">
      <c r="A1777" s="3"/>
      <c r="B1777" s="19"/>
      <c r="C1777" s="19"/>
      <c r="D1777" s="27"/>
      <c r="E1777" s="27"/>
      <c r="F1777" s="28"/>
      <c r="G1777" s="31" t="str">
        <f t="shared" si="2"/>
        <v/>
      </c>
      <c r="H1777" s="30"/>
      <c r="I1777" s="21" t="str">
        <f t="shared" si="1"/>
        <v/>
      </c>
      <c r="J1777" s="19"/>
    </row>
    <row r="1778" ht="15.75" customHeight="1">
      <c r="A1778" s="3"/>
      <c r="B1778" s="19"/>
      <c r="C1778" s="19"/>
      <c r="D1778" s="27"/>
      <c r="E1778" s="27"/>
      <c r="F1778" s="28"/>
      <c r="G1778" s="31" t="str">
        <f t="shared" si="2"/>
        <v/>
      </c>
      <c r="H1778" s="30"/>
      <c r="I1778" s="21" t="str">
        <f t="shared" si="1"/>
        <v/>
      </c>
      <c r="J1778" s="19"/>
    </row>
    <row r="1779" ht="15.75" customHeight="1">
      <c r="A1779" s="3"/>
      <c r="B1779" s="19"/>
      <c r="C1779" s="19"/>
      <c r="D1779" s="27"/>
      <c r="E1779" s="27"/>
      <c r="F1779" s="28"/>
      <c r="G1779" s="31" t="str">
        <f t="shared" si="2"/>
        <v/>
      </c>
      <c r="H1779" s="30"/>
      <c r="I1779" s="21" t="str">
        <f t="shared" si="1"/>
        <v/>
      </c>
      <c r="J1779" s="19"/>
    </row>
    <row r="1780" ht="15.75" customHeight="1">
      <c r="A1780" s="3"/>
      <c r="B1780" s="19"/>
      <c r="C1780" s="19"/>
      <c r="D1780" s="27"/>
      <c r="E1780" s="27"/>
      <c r="F1780" s="28"/>
      <c r="G1780" s="31" t="str">
        <f t="shared" si="2"/>
        <v/>
      </c>
      <c r="H1780" s="30"/>
      <c r="I1780" s="21" t="str">
        <f t="shared" si="1"/>
        <v/>
      </c>
      <c r="J1780" s="19"/>
    </row>
    <row r="1781" ht="15.75" customHeight="1">
      <c r="A1781" s="3"/>
      <c r="B1781" s="19"/>
      <c r="C1781" s="19"/>
      <c r="D1781" s="27"/>
      <c r="E1781" s="27"/>
      <c r="F1781" s="28"/>
      <c r="G1781" s="31" t="str">
        <f t="shared" si="2"/>
        <v/>
      </c>
      <c r="H1781" s="30"/>
      <c r="I1781" s="21" t="str">
        <f t="shared" si="1"/>
        <v/>
      </c>
      <c r="J1781" s="19"/>
    </row>
    <row r="1782" ht="15.75" customHeight="1">
      <c r="A1782" s="3"/>
      <c r="B1782" s="19"/>
      <c r="C1782" s="19"/>
      <c r="D1782" s="27"/>
      <c r="E1782" s="27"/>
      <c r="F1782" s="28"/>
      <c r="G1782" s="31" t="str">
        <f t="shared" si="2"/>
        <v/>
      </c>
      <c r="H1782" s="30"/>
      <c r="I1782" s="21" t="str">
        <f t="shared" si="1"/>
        <v/>
      </c>
      <c r="J1782" s="19"/>
    </row>
    <row r="1783" ht="15.75" customHeight="1">
      <c r="A1783" s="3"/>
      <c r="B1783" s="19"/>
      <c r="C1783" s="19"/>
      <c r="D1783" s="27"/>
      <c r="E1783" s="27"/>
      <c r="F1783" s="28"/>
      <c r="G1783" s="31" t="str">
        <f t="shared" si="2"/>
        <v/>
      </c>
      <c r="H1783" s="30"/>
      <c r="I1783" s="21" t="str">
        <f t="shared" si="1"/>
        <v/>
      </c>
      <c r="J1783" s="19"/>
    </row>
    <row r="1784" ht="15.75" customHeight="1">
      <c r="A1784" s="3"/>
      <c r="B1784" s="19"/>
      <c r="C1784" s="19"/>
      <c r="D1784" s="27"/>
      <c r="E1784" s="27"/>
      <c r="F1784" s="28"/>
      <c r="G1784" s="31" t="str">
        <f t="shared" si="2"/>
        <v/>
      </c>
      <c r="H1784" s="30"/>
      <c r="I1784" s="21" t="str">
        <f t="shared" si="1"/>
        <v/>
      </c>
      <c r="J1784" s="19"/>
    </row>
    <row r="1785" ht="15.75" customHeight="1">
      <c r="A1785" s="3"/>
      <c r="B1785" s="19"/>
      <c r="C1785" s="19"/>
      <c r="D1785" s="27"/>
      <c r="E1785" s="27"/>
      <c r="F1785" s="28"/>
      <c r="G1785" s="31" t="str">
        <f t="shared" si="2"/>
        <v/>
      </c>
      <c r="H1785" s="30"/>
      <c r="I1785" s="21" t="str">
        <f t="shared" si="1"/>
        <v/>
      </c>
      <c r="J1785" s="19"/>
    </row>
    <row r="1786" ht="15.75" customHeight="1">
      <c r="A1786" s="3"/>
      <c r="B1786" s="19"/>
      <c r="C1786" s="19"/>
      <c r="D1786" s="27"/>
      <c r="E1786" s="27"/>
      <c r="F1786" s="28"/>
      <c r="G1786" s="31" t="str">
        <f t="shared" si="2"/>
        <v/>
      </c>
      <c r="H1786" s="30"/>
      <c r="I1786" s="21" t="str">
        <f t="shared" si="1"/>
        <v/>
      </c>
      <c r="J1786" s="19"/>
    </row>
    <row r="1787" ht="15.75" customHeight="1">
      <c r="A1787" s="3"/>
      <c r="B1787" s="19"/>
      <c r="C1787" s="19"/>
      <c r="D1787" s="27"/>
      <c r="E1787" s="27"/>
      <c r="F1787" s="28"/>
      <c r="G1787" s="31" t="str">
        <f t="shared" si="2"/>
        <v/>
      </c>
      <c r="H1787" s="30"/>
      <c r="I1787" s="21" t="str">
        <f t="shared" si="1"/>
        <v/>
      </c>
      <c r="J1787" s="19"/>
    </row>
    <row r="1788" ht="15.75" customHeight="1">
      <c r="A1788" s="3"/>
      <c r="B1788" s="19"/>
      <c r="C1788" s="19"/>
      <c r="D1788" s="27"/>
      <c r="E1788" s="27"/>
      <c r="F1788" s="28"/>
      <c r="G1788" s="31" t="str">
        <f t="shared" si="2"/>
        <v/>
      </c>
      <c r="H1788" s="30"/>
      <c r="I1788" s="21" t="str">
        <f t="shared" si="1"/>
        <v/>
      </c>
      <c r="J1788" s="19"/>
    </row>
    <row r="1789" ht="15.75" customHeight="1">
      <c r="A1789" s="3"/>
      <c r="B1789" s="19"/>
      <c r="C1789" s="19"/>
      <c r="D1789" s="27"/>
      <c r="E1789" s="27"/>
      <c r="F1789" s="28"/>
      <c r="G1789" s="31" t="str">
        <f t="shared" si="2"/>
        <v/>
      </c>
      <c r="H1789" s="30"/>
      <c r="I1789" s="21" t="str">
        <f t="shared" si="1"/>
        <v/>
      </c>
      <c r="J1789" s="19"/>
    </row>
    <row r="1790" ht="15.75" customHeight="1">
      <c r="A1790" s="3"/>
      <c r="B1790" s="19"/>
      <c r="C1790" s="19"/>
      <c r="D1790" s="27"/>
      <c r="E1790" s="27"/>
      <c r="F1790" s="28"/>
      <c r="G1790" s="31" t="str">
        <f t="shared" si="2"/>
        <v/>
      </c>
      <c r="H1790" s="30"/>
      <c r="I1790" s="21" t="str">
        <f t="shared" si="1"/>
        <v/>
      </c>
      <c r="J1790" s="19"/>
    </row>
    <row r="1791" ht="15.75" customHeight="1">
      <c r="A1791" s="3"/>
      <c r="B1791" s="19"/>
      <c r="C1791" s="19"/>
      <c r="D1791" s="27"/>
      <c r="E1791" s="27"/>
      <c r="F1791" s="28"/>
      <c r="G1791" s="31" t="str">
        <f t="shared" si="2"/>
        <v/>
      </c>
      <c r="H1791" s="30"/>
      <c r="I1791" s="21" t="str">
        <f t="shared" si="1"/>
        <v/>
      </c>
      <c r="J1791" s="19"/>
    </row>
    <row r="1792" ht="15.75" customHeight="1">
      <c r="A1792" s="3"/>
      <c r="B1792" s="19"/>
      <c r="C1792" s="19"/>
      <c r="D1792" s="27"/>
      <c r="E1792" s="27"/>
      <c r="F1792" s="28"/>
      <c r="G1792" s="31" t="str">
        <f t="shared" si="2"/>
        <v/>
      </c>
      <c r="H1792" s="30"/>
      <c r="I1792" s="21" t="str">
        <f t="shared" si="1"/>
        <v/>
      </c>
      <c r="J1792" s="19"/>
    </row>
    <row r="1793" ht="15.75" customHeight="1">
      <c r="A1793" s="3"/>
      <c r="B1793" s="19"/>
      <c r="C1793" s="19"/>
      <c r="D1793" s="27"/>
      <c r="E1793" s="27"/>
      <c r="F1793" s="28"/>
      <c r="G1793" s="31" t="str">
        <f t="shared" si="2"/>
        <v/>
      </c>
      <c r="H1793" s="30"/>
      <c r="I1793" s="21" t="str">
        <f t="shared" si="1"/>
        <v/>
      </c>
      <c r="J1793" s="19"/>
    </row>
    <row r="1794" ht="15.75" customHeight="1">
      <c r="A1794" s="3"/>
      <c r="B1794" s="19"/>
      <c r="C1794" s="19"/>
      <c r="D1794" s="27"/>
      <c r="E1794" s="27"/>
      <c r="F1794" s="28"/>
      <c r="G1794" s="31" t="str">
        <f t="shared" si="2"/>
        <v/>
      </c>
      <c r="H1794" s="30"/>
      <c r="I1794" s="21" t="str">
        <f t="shared" si="1"/>
        <v/>
      </c>
      <c r="J1794" s="19"/>
    </row>
    <row r="1795" ht="15.75" customHeight="1">
      <c r="A1795" s="3"/>
      <c r="B1795" s="19"/>
      <c r="C1795" s="19"/>
      <c r="D1795" s="27"/>
      <c r="E1795" s="27"/>
      <c r="F1795" s="28"/>
      <c r="G1795" s="31" t="str">
        <f t="shared" si="2"/>
        <v/>
      </c>
      <c r="H1795" s="30"/>
      <c r="I1795" s="21" t="str">
        <f t="shared" si="1"/>
        <v/>
      </c>
      <c r="J1795" s="19"/>
    </row>
    <row r="1796" ht="15.75" customHeight="1">
      <c r="A1796" s="3"/>
      <c r="B1796" s="19"/>
      <c r="C1796" s="19"/>
      <c r="D1796" s="27"/>
      <c r="E1796" s="27"/>
      <c r="F1796" s="28"/>
      <c r="G1796" s="31" t="str">
        <f t="shared" si="2"/>
        <v/>
      </c>
      <c r="H1796" s="30"/>
      <c r="I1796" s="21" t="str">
        <f t="shared" si="1"/>
        <v/>
      </c>
      <c r="J1796" s="19"/>
    </row>
    <row r="1797" ht="15.75" customHeight="1">
      <c r="A1797" s="3"/>
      <c r="B1797" s="19"/>
      <c r="C1797" s="19"/>
      <c r="D1797" s="27"/>
      <c r="E1797" s="27"/>
      <c r="F1797" s="28"/>
      <c r="G1797" s="31" t="str">
        <f t="shared" si="2"/>
        <v/>
      </c>
      <c r="H1797" s="30"/>
      <c r="I1797" s="21" t="str">
        <f t="shared" si="1"/>
        <v/>
      </c>
      <c r="J1797" s="19"/>
    </row>
    <row r="1798" ht="15.75" customHeight="1">
      <c r="A1798" s="3"/>
      <c r="B1798" s="19"/>
      <c r="C1798" s="19"/>
      <c r="D1798" s="27"/>
      <c r="E1798" s="27"/>
      <c r="F1798" s="28"/>
      <c r="G1798" s="31" t="str">
        <f t="shared" si="2"/>
        <v/>
      </c>
      <c r="H1798" s="30"/>
      <c r="I1798" s="21" t="str">
        <f t="shared" si="1"/>
        <v/>
      </c>
      <c r="J1798" s="19"/>
    </row>
    <row r="1799" ht="15.75" customHeight="1">
      <c r="A1799" s="3"/>
      <c r="B1799" s="19"/>
      <c r="C1799" s="19"/>
      <c r="D1799" s="27"/>
      <c r="E1799" s="27"/>
      <c r="F1799" s="28"/>
      <c r="G1799" s="31" t="str">
        <f t="shared" si="2"/>
        <v/>
      </c>
      <c r="H1799" s="30"/>
      <c r="I1799" s="21" t="str">
        <f t="shared" si="1"/>
        <v/>
      </c>
      <c r="J1799" s="19"/>
    </row>
    <row r="1800" ht="15.75" customHeight="1">
      <c r="A1800" s="3"/>
      <c r="B1800" s="19"/>
      <c r="C1800" s="19"/>
      <c r="D1800" s="27"/>
      <c r="E1800" s="27"/>
      <c r="F1800" s="28"/>
      <c r="G1800" s="31" t="str">
        <f t="shared" si="2"/>
        <v/>
      </c>
      <c r="H1800" s="30"/>
      <c r="I1800" s="21" t="str">
        <f t="shared" si="1"/>
        <v/>
      </c>
      <c r="J1800" s="19"/>
    </row>
    <row r="1801" ht="15.75" customHeight="1">
      <c r="A1801" s="3"/>
      <c r="B1801" s="19"/>
      <c r="C1801" s="19"/>
      <c r="D1801" s="27"/>
      <c r="E1801" s="27"/>
      <c r="F1801" s="28"/>
      <c r="G1801" s="31" t="str">
        <f t="shared" si="2"/>
        <v/>
      </c>
      <c r="H1801" s="30"/>
      <c r="I1801" s="21" t="str">
        <f t="shared" si="1"/>
        <v/>
      </c>
      <c r="J1801" s="19"/>
    </row>
    <row r="1802" ht="15.75" customHeight="1">
      <c r="A1802" s="3"/>
      <c r="B1802" s="19"/>
      <c r="C1802" s="19"/>
      <c r="D1802" s="27"/>
      <c r="E1802" s="27"/>
      <c r="F1802" s="28"/>
      <c r="G1802" s="31" t="str">
        <f t="shared" si="2"/>
        <v/>
      </c>
      <c r="H1802" s="30"/>
      <c r="I1802" s="21" t="str">
        <f t="shared" si="1"/>
        <v/>
      </c>
      <c r="J1802" s="19"/>
    </row>
    <row r="1803" ht="15.75" customHeight="1">
      <c r="A1803" s="3"/>
      <c r="B1803" s="19"/>
      <c r="C1803" s="19"/>
      <c r="D1803" s="27"/>
      <c r="E1803" s="27"/>
      <c r="F1803" s="28"/>
      <c r="G1803" s="31" t="str">
        <f t="shared" si="2"/>
        <v/>
      </c>
      <c r="H1803" s="30"/>
      <c r="I1803" s="21" t="str">
        <f t="shared" si="1"/>
        <v/>
      </c>
      <c r="J1803" s="19"/>
    </row>
    <row r="1804" ht="15.75" customHeight="1">
      <c r="A1804" s="3"/>
      <c r="B1804" s="19"/>
      <c r="C1804" s="19"/>
      <c r="D1804" s="27"/>
      <c r="E1804" s="27"/>
      <c r="F1804" s="28"/>
      <c r="G1804" s="31" t="str">
        <f t="shared" si="2"/>
        <v/>
      </c>
      <c r="H1804" s="30"/>
      <c r="I1804" s="21" t="str">
        <f t="shared" si="1"/>
        <v/>
      </c>
      <c r="J1804" s="19"/>
    </row>
    <row r="1805" ht="15.75" customHeight="1">
      <c r="A1805" s="3"/>
      <c r="B1805" s="19"/>
      <c r="C1805" s="19"/>
      <c r="D1805" s="27"/>
      <c r="E1805" s="27"/>
      <c r="F1805" s="28"/>
      <c r="G1805" s="31" t="str">
        <f t="shared" si="2"/>
        <v/>
      </c>
      <c r="H1805" s="30"/>
      <c r="I1805" s="21" t="str">
        <f t="shared" si="1"/>
        <v/>
      </c>
      <c r="J1805" s="19"/>
    </row>
    <row r="1806" ht="15.75" customHeight="1">
      <c r="A1806" s="3"/>
      <c r="B1806" s="19"/>
      <c r="C1806" s="19"/>
      <c r="D1806" s="27"/>
      <c r="E1806" s="27"/>
      <c r="F1806" s="28"/>
      <c r="G1806" s="31" t="str">
        <f t="shared" si="2"/>
        <v/>
      </c>
      <c r="H1806" s="30"/>
      <c r="I1806" s="21" t="str">
        <f t="shared" si="1"/>
        <v/>
      </c>
      <c r="J1806" s="19"/>
    </row>
    <row r="1807" ht="15.75" customHeight="1">
      <c r="A1807" s="3"/>
      <c r="B1807" s="19"/>
      <c r="C1807" s="19"/>
      <c r="D1807" s="27"/>
      <c r="E1807" s="27"/>
      <c r="F1807" s="28"/>
      <c r="G1807" s="31" t="str">
        <f t="shared" si="2"/>
        <v/>
      </c>
      <c r="H1807" s="30"/>
      <c r="I1807" s="21" t="str">
        <f t="shared" si="1"/>
        <v/>
      </c>
      <c r="J1807" s="19"/>
    </row>
    <row r="1808" ht="15.75" customHeight="1">
      <c r="A1808" s="3"/>
      <c r="B1808" s="19"/>
      <c r="C1808" s="19"/>
      <c r="D1808" s="27"/>
      <c r="E1808" s="27"/>
      <c r="F1808" s="28"/>
      <c r="G1808" s="31" t="str">
        <f t="shared" si="2"/>
        <v/>
      </c>
      <c r="H1808" s="30"/>
      <c r="I1808" s="21" t="str">
        <f t="shared" si="1"/>
        <v/>
      </c>
      <c r="J1808" s="19"/>
    </row>
    <row r="1809" ht="15.75" customHeight="1">
      <c r="A1809" s="3"/>
      <c r="B1809" s="19"/>
      <c r="C1809" s="19"/>
      <c r="D1809" s="27"/>
      <c r="E1809" s="27"/>
      <c r="F1809" s="28"/>
      <c r="G1809" s="31" t="str">
        <f t="shared" si="2"/>
        <v/>
      </c>
      <c r="H1809" s="30"/>
      <c r="I1809" s="21" t="str">
        <f t="shared" si="1"/>
        <v/>
      </c>
      <c r="J1809" s="19"/>
    </row>
    <row r="1810" ht="15.75" customHeight="1">
      <c r="A1810" s="3"/>
      <c r="B1810" s="19"/>
      <c r="C1810" s="19"/>
      <c r="D1810" s="27"/>
      <c r="E1810" s="27"/>
      <c r="F1810" s="28"/>
      <c r="G1810" s="31" t="str">
        <f t="shared" si="2"/>
        <v/>
      </c>
      <c r="H1810" s="30"/>
      <c r="I1810" s="21" t="str">
        <f t="shared" si="1"/>
        <v/>
      </c>
      <c r="J1810" s="19"/>
    </row>
    <row r="1811" ht="15.75" customHeight="1">
      <c r="A1811" s="3"/>
      <c r="B1811" s="19"/>
      <c r="C1811" s="19"/>
      <c r="D1811" s="27"/>
      <c r="E1811" s="27"/>
      <c r="F1811" s="28"/>
      <c r="G1811" s="31" t="str">
        <f t="shared" si="2"/>
        <v/>
      </c>
      <c r="H1811" s="30"/>
      <c r="I1811" s="21" t="str">
        <f t="shared" si="1"/>
        <v/>
      </c>
      <c r="J1811" s="19"/>
    </row>
    <row r="1812" ht="15.75" customHeight="1">
      <c r="A1812" s="3"/>
      <c r="B1812" s="19"/>
      <c r="C1812" s="19"/>
      <c r="D1812" s="27"/>
      <c r="E1812" s="27"/>
      <c r="F1812" s="28"/>
      <c r="G1812" s="31" t="str">
        <f t="shared" si="2"/>
        <v/>
      </c>
      <c r="H1812" s="30"/>
      <c r="I1812" s="21" t="str">
        <f t="shared" si="1"/>
        <v/>
      </c>
      <c r="J1812" s="19"/>
    </row>
    <row r="1813" ht="15.75" customHeight="1">
      <c r="A1813" s="3"/>
      <c r="B1813" s="19"/>
      <c r="C1813" s="19"/>
      <c r="D1813" s="27"/>
      <c r="E1813" s="27"/>
      <c r="F1813" s="28"/>
      <c r="G1813" s="31" t="str">
        <f t="shared" si="2"/>
        <v/>
      </c>
      <c r="H1813" s="30"/>
      <c r="I1813" s="21" t="str">
        <f t="shared" si="1"/>
        <v/>
      </c>
      <c r="J1813" s="19"/>
    </row>
    <row r="1814" ht="15.75" customHeight="1">
      <c r="A1814" s="3"/>
      <c r="B1814" s="19"/>
      <c r="C1814" s="19"/>
      <c r="D1814" s="27"/>
      <c r="E1814" s="27"/>
      <c r="F1814" s="28"/>
      <c r="G1814" s="31" t="str">
        <f t="shared" si="2"/>
        <v/>
      </c>
      <c r="H1814" s="30"/>
      <c r="I1814" s="21" t="str">
        <f t="shared" si="1"/>
        <v/>
      </c>
      <c r="J1814" s="19"/>
    </row>
    <row r="1815" ht="15.75" customHeight="1">
      <c r="A1815" s="3"/>
      <c r="B1815" s="19"/>
      <c r="C1815" s="19"/>
      <c r="D1815" s="27"/>
      <c r="E1815" s="27"/>
      <c r="F1815" s="28"/>
      <c r="G1815" s="31" t="str">
        <f t="shared" si="2"/>
        <v/>
      </c>
      <c r="H1815" s="30"/>
      <c r="I1815" s="21" t="str">
        <f t="shared" si="1"/>
        <v/>
      </c>
      <c r="J1815" s="19"/>
    </row>
    <row r="1816" ht="15.75" customHeight="1">
      <c r="A1816" s="3"/>
      <c r="B1816" s="19"/>
      <c r="C1816" s="19"/>
      <c r="D1816" s="27"/>
      <c r="E1816" s="27"/>
      <c r="F1816" s="28"/>
      <c r="G1816" s="31" t="str">
        <f t="shared" si="2"/>
        <v/>
      </c>
      <c r="H1816" s="30"/>
      <c r="I1816" s="21" t="str">
        <f t="shared" si="1"/>
        <v/>
      </c>
      <c r="J1816" s="19"/>
    </row>
    <row r="1817" ht="15.75" customHeight="1">
      <c r="A1817" s="3"/>
      <c r="B1817" s="19"/>
      <c r="C1817" s="19"/>
      <c r="D1817" s="27"/>
      <c r="E1817" s="27"/>
      <c r="F1817" s="28"/>
      <c r="G1817" s="31" t="str">
        <f t="shared" si="2"/>
        <v/>
      </c>
      <c r="H1817" s="30"/>
      <c r="I1817" s="21" t="str">
        <f t="shared" si="1"/>
        <v/>
      </c>
      <c r="J1817" s="19"/>
    </row>
    <row r="1818" ht="15.75" customHeight="1">
      <c r="A1818" s="3"/>
      <c r="B1818" s="19"/>
      <c r="C1818" s="19"/>
      <c r="D1818" s="27"/>
      <c r="E1818" s="27"/>
      <c r="F1818" s="28"/>
      <c r="G1818" s="31" t="str">
        <f t="shared" si="2"/>
        <v/>
      </c>
      <c r="H1818" s="30"/>
      <c r="I1818" s="21" t="str">
        <f t="shared" si="1"/>
        <v/>
      </c>
      <c r="J1818" s="19"/>
    </row>
    <row r="1819" ht="15.75" customHeight="1">
      <c r="A1819" s="3"/>
      <c r="B1819" s="19"/>
      <c r="C1819" s="19"/>
      <c r="D1819" s="27"/>
      <c r="E1819" s="27"/>
      <c r="F1819" s="28"/>
      <c r="G1819" s="31" t="str">
        <f t="shared" si="2"/>
        <v/>
      </c>
      <c r="H1819" s="30"/>
      <c r="I1819" s="21" t="str">
        <f t="shared" si="1"/>
        <v/>
      </c>
      <c r="J1819" s="19"/>
    </row>
    <row r="1820" ht="15.75" customHeight="1">
      <c r="A1820" s="3"/>
      <c r="B1820" s="19"/>
      <c r="C1820" s="19"/>
      <c r="D1820" s="27"/>
      <c r="E1820" s="27"/>
      <c r="F1820" s="28"/>
      <c r="G1820" s="31" t="str">
        <f t="shared" si="2"/>
        <v/>
      </c>
      <c r="H1820" s="30"/>
      <c r="I1820" s="21" t="str">
        <f t="shared" si="1"/>
        <v/>
      </c>
      <c r="J1820" s="19"/>
    </row>
    <row r="1821" ht="15.75" customHeight="1">
      <c r="A1821" s="3"/>
      <c r="B1821" s="19"/>
      <c r="C1821" s="19"/>
      <c r="D1821" s="27"/>
      <c r="E1821" s="27"/>
      <c r="F1821" s="28"/>
      <c r="G1821" s="31" t="str">
        <f t="shared" si="2"/>
        <v/>
      </c>
      <c r="H1821" s="30"/>
      <c r="I1821" s="21" t="str">
        <f t="shared" si="1"/>
        <v/>
      </c>
      <c r="J1821" s="19"/>
    </row>
    <row r="1822" ht="15.75" customHeight="1">
      <c r="A1822" s="3"/>
      <c r="B1822" s="19"/>
      <c r="C1822" s="19"/>
      <c r="D1822" s="27"/>
      <c r="E1822" s="27"/>
      <c r="F1822" s="28"/>
      <c r="G1822" s="31" t="str">
        <f t="shared" si="2"/>
        <v/>
      </c>
      <c r="H1822" s="30"/>
      <c r="I1822" s="21" t="str">
        <f t="shared" si="1"/>
        <v/>
      </c>
      <c r="J1822" s="19"/>
    </row>
    <row r="1823" ht="15.75" customHeight="1">
      <c r="A1823" s="3"/>
      <c r="B1823" s="19"/>
      <c r="C1823" s="19"/>
      <c r="D1823" s="27"/>
      <c r="E1823" s="27"/>
      <c r="F1823" s="28"/>
      <c r="G1823" s="31" t="str">
        <f t="shared" si="2"/>
        <v/>
      </c>
      <c r="H1823" s="30"/>
      <c r="I1823" s="21" t="str">
        <f t="shared" si="1"/>
        <v/>
      </c>
      <c r="J1823" s="19"/>
    </row>
    <row r="1824" ht="15.75" customHeight="1">
      <c r="A1824" s="3"/>
      <c r="B1824" s="19"/>
      <c r="C1824" s="19"/>
      <c r="D1824" s="27"/>
      <c r="E1824" s="27"/>
      <c r="F1824" s="28"/>
      <c r="G1824" s="31" t="str">
        <f t="shared" si="2"/>
        <v/>
      </c>
      <c r="H1824" s="30"/>
      <c r="I1824" s="21" t="str">
        <f t="shared" si="1"/>
        <v/>
      </c>
      <c r="J1824" s="19"/>
    </row>
    <row r="1825" ht="15.75" customHeight="1">
      <c r="A1825" s="3"/>
      <c r="B1825" s="19"/>
      <c r="C1825" s="19"/>
      <c r="D1825" s="27"/>
      <c r="E1825" s="27"/>
      <c r="F1825" s="28"/>
      <c r="G1825" s="31" t="str">
        <f t="shared" si="2"/>
        <v/>
      </c>
      <c r="H1825" s="30"/>
      <c r="I1825" s="21" t="str">
        <f t="shared" si="1"/>
        <v/>
      </c>
      <c r="J1825" s="19"/>
    </row>
    <row r="1826" ht="15.75" customHeight="1">
      <c r="A1826" s="3"/>
      <c r="B1826" s="19"/>
      <c r="C1826" s="19"/>
      <c r="D1826" s="27"/>
      <c r="E1826" s="27"/>
      <c r="F1826" s="28"/>
      <c r="G1826" s="31" t="str">
        <f t="shared" si="2"/>
        <v/>
      </c>
      <c r="H1826" s="30"/>
      <c r="I1826" s="21" t="str">
        <f t="shared" si="1"/>
        <v/>
      </c>
      <c r="J1826" s="19"/>
    </row>
    <row r="1827" ht="15.75" customHeight="1">
      <c r="A1827" s="3"/>
      <c r="B1827" s="19"/>
      <c r="C1827" s="19"/>
      <c r="D1827" s="27"/>
      <c r="E1827" s="27"/>
      <c r="F1827" s="28"/>
      <c r="G1827" s="31" t="str">
        <f t="shared" si="2"/>
        <v/>
      </c>
      <c r="H1827" s="30"/>
      <c r="I1827" s="21" t="str">
        <f t="shared" si="1"/>
        <v/>
      </c>
      <c r="J1827" s="19"/>
    </row>
    <row r="1828" ht="15.75" customHeight="1">
      <c r="A1828" s="3"/>
      <c r="B1828" s="19"/>
      <c r="C1828" s="19"/>
      <c r="D1828" s="27"/>
      <c r="E1828" s="27"/>
      <c r="F1828" s="28"/>
      <c r="G1828" s="31" t="str">
        <f t="shared" si="2"/>
        <v/>
      </c>
      <c r="H1828" s="30"/>
      <c r="I1828" s="21" t="str">
        <f t="shared" si="1"/>
        <v/>
      </c>
      <c r="J1828" s="19"/>
    </row>
    <row r="1829" ht="15.75" customHeight="1">
      <c r="A1829" s="3"/>
      <c r="B1829" s="19"/>
      <c r="C1829" s="19"/>
      <c r="D1829" s="27"/>
      <c r="E1829" s="27"/>
      <c r="F1829" s="28"/>
      <c r="G1829" s="31" t="str">
        <f t="shared" si="2"/>
        <v/>
      </c>
      <c r="H1829" s="30"/>
      <c r="I1829" s="21" t="str">
        <f t="shared" si="1"/>
        <v/>
      </c>
      <c r="J1829" s="19"/>
    </row>
    <row r="1830" ht="15.75" customHeight="1">
      <c r="A1830" s="3"/>
      <c r="B1830" s="19"/>
      <c r="C1830" s="19"/>
      <c r="D1830" s="27"/>
      <c r="E1830" s="27"/>
      <c r="F1830" s="28"/>
      <c r="G1830" s="31" t="str">
        <f t="shared" si="2"/>
        <v/>
      </c>
      <c r="H1830" s="30"/>
      <c r="I1830" s="21" t="str">
        <f t="shared" si="1"/>
        <v/>
      </c>
      <c r="J1830" s="19"/>
    </row>
    <row r="1831" ht="15.75" customHeight="1">
      <c r="A1831" s="3"/>
      <c r="B1831" s="19"/>
      <c r="C1831" s="19"/>
      <c r="D1831" s="27"/>
      <c r="E1831" s="27"/>
      <c r="F1831" s="28"/>
      <c r="G1831" s="31" t="str">
        <f t="shared" si="2"/>
        <v/>
      </c>
      <c r="H1831" s="30"/>
      <c r="I1831" s="21" t="str">
        <f t="shared" si="1"/>
        <v/>
      </c>
      <c r="J1831" s="19"/>
    </row>
    <row r="1832" ht="15.75" customHeight="1">
      <c r="A1832" s="3"/>
      <c r="B1832" s="19"/>
      <c r="C1832" s="19"/>
      <c r="D1832" s="27"/>
      <c r="E1832" s="27"/>
      <c r="F1832" s="28"/>
      <c r="G1832" s="31" t="str">
        <f t="shared" si="2"/>
        <v/>
      </c>
      <c r="H1832" s="30"/>
      <c r="I1832" s="21" t="str">
        <f t="shared" si="1"/>
        <v/>
      </c>
      <c r="J1832" s="19"/>
    </row>
    <row r="1833" ht="15.75" customHeight="1">
      <c r="A1833" s="3"/>
      <c r="B1833" s="19"/>
      <c r="C1833" s="19"/>
      <c r="D1833" s="27"/>
      <c r="E1833" s="27"/>
      <c r="F1833" s="28"/>
      <c r="G1833" s="31" t="str">
        <f t="shared" si="2"/>
        <v/>
      </c>
      <c r="H1833" s="30"/>
      <c r="I1833" s="21" t="str">
        <f t="shared" si="1"/>
        <v/>
      </c>
      <c r="J1833" s="19"/>
    </row>
    <row r="1834" ht="15.75" customHeight="1">
      <c r="A1834" s="3"/>
      <c r="B1834" s="19"/>
      <c r="C1834" s="19"/>
      <c r="D1834" s="27"/>
      <c r="E1834" s="27"/>
      <c r="F1834" s="28"/>
      <c r="G1834" s="31" t="str">
        <f t="shared" si="2"/>
        <v/>
      </c>
      <c r="H1834" s="30"/>
      <c r="I1834" s="21" t="str">
        <f t="shared" si="1"/>
        <v/>
      </c>
      <c r="J1834" s="19"/>
    </row>
    <row r="1835" ht="15.75" customHeight="1">
      <c r="A1835" s="3"/>
      <c r="B1835" s="19"/>
      <c r="C1835" s="19"/>
      <c r="D1835" s="27"/>
      <c r="E1835" s="27"/>
      <c r="F1835" s="28"/>
      <c r="G1835" s="31" t="str">
        <f t="shared" si="2"/>
        <v/>
      </c>
      <c r="H1835" s="30"/>
      <c r="I1835" s="21" t="str">
        <f t="shared" si="1"/>
        <v/>
      </c>
      <c r="J1835" s="19"/>
    </row>
    <row r="1836" ht="15.75" customHeight="1">
      <c r="A1836" s="3"/>
      <c r="B1836" s="19"/>
      <c r="C1836" s="19"/>
      <c r="D1836" s="27"/>
      <c r="E1836" s="27"/>
      <c r="F1836" s="28"/>
      <c r="G1836" s="31" t="str">
        <f t="shared" si="2"/>
        <v/>
      </c>
      <c r="H1836" s="30"/>
      <c r="I1836" s="21" t="str">
        <f t="shared" si="1"/>
        <v/>
      </c>
      <c r="J1836" s="19"/>
    </row>
    <row r="1837" ht="15.75" customHeight="1">
      <c r="A1837" s="3"/>
      <c r="B1837" s="19"/>
      <c r="C1837" s="19"/>
      <c r="D1837" s="27"/>
      <c r="E1837" s="27"/>
      <c r="F1837" s="28"/>
      <c r="G1837" s="31" t="str">
        <f t="shared" si="2"/>
        <v/>
      </c>
      <c r="H1837" s="30"/>
      <c r="I1837" s="21" t="str">
        <f t="shared" si="1"/>
        <v/>
      </c>
      <c r="J1837" s="19"/>
    </row>
    <row r="1838" ht="15.75" customHeight="1">
      <c r="A1838" s="3"/>
      <c r="B1838" s="19"/>
      <c r="C1838" s="19"/>
      <c r="D1838" s="27"/>
      <c r="E1838" s="27"/>
      <c r="F1838" s="28"/>
      <c r="G1838" s="31" t="str">
        <f t="shared" si="2"/>
        <v/>
      </c>
      <c r="H1838" s="30"/>
      <c r="I1838" s="21" t="str">
        <f t="shared" si="1"/>
        <v/>
      </c>
      <c r="J1838" s="19"/>
    </row>
    <row r="1839" ht="15.75" customHeight="1">
      <c r="A1839" s="3"/>
      <c r="B1839" s="19"/>
      <c r="C1839" s="19"/>
      <c r="D1839" s="27"/>
      <c r="E1839" s="27"/>
      <c r="F1839" s="28"/>
      <c r="G1839" s="31" t="str">
        <f t="shared" si="2"/>
        <v/>
      </c>
      <c r="H1839" s="30"/>
      <c r="I1839" s="21" t="str">
        <f t="shared" si="1"/>
        <v/>
      </c>
      <c r="J1839" s="19"/>
    </row>
    <row r="1840" ht="15.75" customHeight="1">
      <c r="A1840" s="3"/>
      <c r="B1840" s="19"/>
      <c r="C1840" s="19"/>
      <c r="D1840" s="27"/>
      <c r="E1840" s="27"/>
      <c r="F1840" s="28"/>
      <c r="G1840" s="31" t="str">
        <f t="shared" si="2"/>
        <v/>
      </c>
      <c r="H1840" s="30"/>
      <c r="I1840" s="21" t="str">
        <f t="shared" si="1"/>
        <v/>
      </c>
      <c r="J1840" s="19"/>
    </row>
    <row r="1841" ht="15.75" customHeight="1">
      <c r="A1841" s="3"/>
      <c r="B1841" s="19"/>
      <c r="C1841" s="19"/>
      <c r="D1841" s="27"/>
      <c r="E1841" s="27"/>
      <c r="F1841" s="28"/>
      <c r="G1841" s="31" t="str">
        <f t="shared" si="2"/>
        <v/>
      </c>
      <c r="H1841" s="30"/>
      <c r="I1841" s="21" t="str">
        <f t="shared" si="1"/>
        <v/>
      </c>
      <c r="J1841" s="19"/>
    </row>
    <row r="1842" ht="15.75" customHeight="1">
      <c r="A1842" s="3"/>
      <c r="B1842" s="19"/>
      <c r="C1842" s="19"/>
      <c r="D1842" s="27"/>
      <c r="E1842" s="27"/>
      <c r="F1842" s="28"/>
      <c r="G1842" s="31" t="str">
        <f t="shared" si="2"/>
        <v/>
      </c>
      <c r="H1842" s="30"/>
      <c r="I1842" s="21" t="str">
        <f t="shared" si="1"/>
        <v/>
      </c>
      <c r="J1842" s="19"/>
    </row>
    <row r="1843" ht="15.75" customHeight="1">
      <c r="A1843" s="3"/>
      <c r="B1843" s="19"/>
      <c r="C1843" s="19"/>
      <c r="D1843" s="27"/>
      <c r="E1843" s="27"/>
      <c r="F1843" s="28"/>
      <c r="G1843" s="31" t="str">
        <f t="shared" si="2"/>
        <v/>
      </c>
      <c r="H1843" s="30"/>
      <c r="I1843" s="21" t="str">
        <f t="shared" si="1"/>
        <v/>
      </c>
      <c r="J1843" s="19"/>
    </row>
    <row r="1844" ht="15.75" customHeight="1">
      <c r="A1844" s="3"/>
      <c r="B1844" s="19"/>
      <c r="C1844" s="19"/>
      <c r="D1844" s="27"/>
      <c r="E1844" s="27"/>
      <c r="F1844" s="28"/>
      <c r="G1844" s="31" t="str">
        <f t="shared" si="2"/>
        <v/>
      </c>
      <c r="H1844" s="30"/>
      <c r="I1844" s="21" t="str">
        <f t="shared" si="1"/>
        <v/>
      </c>
      <c r="J1844" s="19"/>
    </row>
    <row r="1845" ht="15.75" customHeight="1">
      <c r="A1845" s="3"/>
      <c r="B1845" s="19"/>
      <c r="C1845" s="19"/>
      <c r="D1845" s="27"/>
      <c r="E1845" s="27"/>
      <c r="F1845" s="28"/>
      <c r="G1845" s="31" t="str">
        <f t="shared" si="2"/>
        <v/>
      </c>
      <c r="H1845" s="30"/>
      <c r="I1845" s="21" t="str">
        <f t="shared" si="1"/>
        <v/>
      </c>
      <c r="J1845" s="19"/>
    </row>
    <row r="1846" ht="15.75" customHeight="1">
      <c r="A1846" s="3"/>
      <c r="B1846" s="19"/>
      <c r="C1846" s="19"/>
      <c r="D1846" s="27"/>
      <c r="E1846" s="27"/>
      <c r="F1846" s="28"/>
      <c r="G1846" s="31" t="str">
        <f t="shared" si="2"/>
        <v/>
      </c>
      <c r="H1846" s="30"/>
      <c r="I1846" s="21" t="str">
        <f t="shared" si="1"/>
        <v/>
      </c>
      <c r="J1846" s="19"/>
    </row>
    <row r="1847" ht="15.75" customHeight="1">
      <c r="A1847" s="3"/>
      <c r="B1847" s="19"/>
      <c r="C1847" s="19"/>
      <c r="D1847" s="27"/>
      <c r="E1847" s="27"/>
      <c r="F1847" s="28"/>
      <c r="G1847" s="31" t="str">
        <f t="shared" si="2"/>
        <v/>
      </c>
      <c r="H1847" s="30"/>
      <c r="I1847" s="21" t="str">
        <f t="shared" si="1"/>
        <v/>
      </c>
      <c r="J1847" s="19"/>
    </row>
    <row r="1848" ht="15.75" customHeight="1">
      <c r="A1848" s="3"/>
      <c r="B1848" s="19"/>
      <c r="C1848" s="19"/>
      <c r="D1848" s="27"/>
      <c r="E1848" s="27"/>
      <c r="F1848" s="28"/>
      <c r="G1848" s="31" t="str">
        <f t="shared" si="2"/>
        <v/>
      </c>
      <c r="H1848" s="30"/>
      <c r="I1848" s="21" t="str">
        <f t="shared" si="1"/>
        <v/>
      </c>
      <c r="J1848" s="19"/>
    </row>
    <row r="1849" ht="15.75" customHeight="1">
      <c r="A1849" s="3"/>
      <c r="B1849" s="19"/>
      <c r="C1849" s="19"/>
      <c r="D1849" s="27"/>
      <c r="E1849" s="27"/>
      <c r="F1849" s="28"/>
      <c r="G1849" s="31" t="str">
        <f t="shared" si="2"/>
        <v/>
      </c>
      <c r="H1849" s="30"/>
      <c r="I1849" s="21" t="str">
        <f t="shared" si="1"/>
        <v/>
      </c>
      <c r="J1849" s="19"/>
    </row>
    <row r="1850" ht="15.75" customHeight="1">
      <c r="A1850" s="3"/>
      <c r="B1850" s="19"/>
      <c r="C1850" s="19"/>
      <c r="D1850" s="27"/>
      <c r="E1850" s="27"/>
      <c r="F1850" s="28"/>
      <c r="G1850" s="31" t="str">
        <f t="shared" si="2"/>
        <v/>
      </c>
      <c r="H1850" s="30"/>
      <c r="I1850" s="21" t="str">
        <f t="shared" si="1"/>
        <v/>
      </c>
      <c r="J1850" s="19"/>
    </row>
    <row r="1851" ht="15.75" customHeight="1">
      <c r="A1851" s="3"/>
      <c r="B1851" s="19"/>
      <c r="C1851" s="19"/>
      <c r="D1851" s="27"/>
      <c r="E1851" s="27"/>
      <c r="F1851" s="28"/>
      <c r="G1851" s="31" t="str">
        <f t="shared" si="2"/>
        <v/>
      </c>
      <c r="H1851" s="30"/>
      <c r="I1851" s="21" t="str">
        <f t="shared" si="1"/>
        <v/>
      </c>
      <c r="J1851" s="19"/>
    </row>
    <row r="1852" ht="15.75" customHeight="1">
      <c r="A1852" s="3"/>
      <c r="B1852" s="19"/>
      <c r="C1852" s="19"/>
      <c r="D1852" s="27"/>
      <c r="E1852" s="27"/>
      <c r="F1852" s="28"/>
      <c r="G1852" s="31" t="str">
        <f t="shared" si="2"/>
        <v/>
      </c>
      <c r="H1852" s="30"/>
      <c r="I1852" s="21" t="str">
        <f t="shared" si="1"/>
        <v/>
      </c>
      <c r="J1852" s="19"/>
    </row>
    <row r="1853" ht="15.75" customHeight="1">
      <c r="A1853" s="3"/>
      <c r="B1853" s="19"/>
      <c r="C1853" s="19"/>
      <c r="D1853" s="27"/>
      <c r="E1853" s="27"/>
      <c r="F1853" s="28"/>
      <c r="G1853" s="31" t="str">
        <f t="shared" si="2"/>
        <v/>
      </c>
      <c r="H1853" s="30"/>
      <c r="I1853" s="21" t="str">
        <f t="shared" si="1"/>
        <v/>
      </c>
      <c r="J1853" s="19"/>
    </row>
    <row r="1854" ht="15.75" customHeight="1">
      <c r="A1854" s="3"/>
      <c r="B1854" s="19"/>
      <c r="C1854" s="19"/>
      <c r="D1854" s="27"/>
      <c r="E1854" s="27"/>
      <c r="F1854" s="28"/>
      <c r="G1854" s="31" t="str">
        <f t="shared" si="2"/>
        <v/>
      </c>
      <c r="H1854" s="30"/>
      <c r="I1854" s="21" t="str">
        <f t="shared" si="1"/>
        <v/>
      </c>
      <c r="J1854" s="19"/>
    </row>
    <row r="1855" ht="15.75" customHeight="1">
      <c r="A1855" s="3"/>
      <c r="B1855" s="19"/>
      <c r="C1855" s="19"/>
      <c r="D1855" s="27"/>
      <c r="E1855" s="27"/>
      <c r="F1855" s="28"/>
      <c r="G1855" s="31" t="str">
        <f t="shared" si="2"/>
        <v/>
      </c>
      <c r="H1855" s="30"/>
      <c r="I1855" s="21" t="str">
        <f t="shared" si="1"/>
        <v/>
      </c>
      <c r="J1855" s="19"/>
    </row>
    <row r="1856" ht="15.75" customHeight="1">
      <c r="A1856" s="3"/>
      <c r="B1856" s="19"/>
      <c r="C1856" s="19"/>
      <c r="D1856" s="27"/>
      <c r="E1856" s="27"/>
      <c r="F1856" s="28"/>
      <c r="G1856" s="31" t="str">
        <f t="shared" si="2"/>
        <v/>
      </c>
      <c r="H1856" s="30"/>
      <c r="I1856" s="21" t="str">
        <f t="shared" si="1"/>
        <v/>
      </c>
      <c r="J1856" s="19"/>
    </row>
    <row r="1857" ht="15.75" customHeight="1">
      <c r="A1857" s="3"/>
      <c r="B1857" s="19"/>
      <c r="C1857" s="19"/>
      <c r="D1857" s="27"/>
      <c r="E1857" s="27"/>
      <c r="F1857" s="28"/>
      <c r="G1857" s="31" t="str">
        <f t="shared" si="2"/>
        <v/>
      </c>
      <c r="H1857" s="30"/>
      <c r="I1857" s="21" t="str">
        <f t="shared" si="1"/>
        <v/>
      </c>
      <c r="J1857" s="19"/>
    </row>
    <row r="1858" ht="15.75" customHeight="1">
      <c r="A1858" s="3"/>
      <c r="B1858" s="19"/>
      <c r="C1858" s="19"/>
      <c r="D1858" s="27"/>
      <c r="E1858" s="27"/>
      <c r="F1858" s="28"/>
      <c r="G1858" s="31" t="str">
        <f t="shared" si="2"/>
        <v/>
      </c>
      <c r="H1858" s="30"/>
      <c r="I1858" s="21" t="str">
        <f t="shared" si="1"/>
        <v/>
      </c>
      <c r="J1858" s="19"/>
    </row>
    <row r="1859" ht="15.75" customHeight="1">
      <c r="A1859" s="3"/>
      <c r="B1859" s="19"/>
      <c r="C1859" s="19"/>
      <c r="D1859" s="27"/>
      <c r="E1859" s="27"/>
      <c r="F1859" s="28"/>
      <c r="G1859" s="31" t="str">
        <f t="shared" si="2"/>
        <v/>
      </c>
      <c r="H1859" s="30"/>
      <c r="I1859" s="21" t="str">
        <f t="shared" si="1"/>
        <v/>
      </c>
      <c r="J1859" s="19"/>
    </row>
    <row r="1860" ht="15.75" customHeight="1">
      <c r="A1860" s="3"/>
      <c r="B1860" s="19"/>
      <c r="C1860" s="19"/>
      <c r="D1860" s="27"/>
      <c r="E1860" s="27"/>
      <c r="F1860" s="28"/>
      <c r="G1860" s="31" t="str">
        <f t="shared" si="2"/>
        <v/>
      </c>
      <c r="H1860" s="30"/>
      <c r="I1860" s="21" t="str">
        <f t="shared" si="1"/>
        <v/>
      </c>
      <c r="J1860" s="19"/>
    </row>
    <row r="1861" ht="15.75" customHeight="1">
      <c r="A1861" s="3"/>
      <c r="B1861" s="19"/>
      <c r="C1861" s="19"/>
      <c r="D1861" s="27"/>
      <c r="E1861" s="27"/>
      <c r="F1861" s="28"/>
      <c r="G1861" s="31" t="str">
        <f t="shared" si="2"/>
        <v/>
      </c>
      <c r="H1861" s="30"/>
      <c r="I1861" s="21" t="str">
        <f t="shared" si="1"/>
        <v/>
      </c>
      <c r="J1861" s="19"/>
    </row>
    <row r="1862" ht="15.75" customHeight="1">
      <c r="A1862" s="3"/>
      <c r="B1862" s="19"/>
      <c r="C1862" s="19"/>
      <c r="D1862" s="27"/>
      <c r="E1862" s="27"/>
      <c r="F1862" s="28"/>
      <c r="G1862" s="31" t="str">
        <f t="shared" si="2"/>
        <v/>
      </c>
      <c r="H1862" s="30"/>
      <c r="I1862" s="21" t="str">
        <f t="shared" si="1"/>
        <v/>
      </c>
      <c r="J1862" s="19"/>
    </row>
    <row r="1863" ht="15.75" customHeight="1">
      <c r="A1863" s="3"/>
      <c r="B1863" s="19"/>
      <c r="C1863" s="19"/>
      <c r="D1863" s="27"/>
      <c r="E1863" s="27"/>
      <c r="F1863" s="28"/>
      <c r="G1863" s="31" t="str">
        <f t="shared" si="2"/>
        <v/>
      </c>
      <c r="H1863" s="30"/>
      <c r="I1863" s="21" t="str">
        <f t="shared" si="1"/>
        <v/>
      </c>
      <c r="J1863" s="19"/>
    </row>
    <row r="1864" ht="15.75" customHeight="1">
      <c r="A1864" s="3"/>
      <c r="B1864" s="19"/>
      <c r="C1864" s="19"/>
      <c r="D1864" s="27"/>
      <c r="E1864" s="27"/>
      <c r="F1864" s="28"/>
      <c r="G1864" s="31" t="str">
        <f t="shared" si="2"/>
        <v/>
      </c>
      <c r="H1864" s="30"/>
      <c r="I1864" s="21" t="str">
        <f t="shared" si="1"/>
        <v/>
      </c>
      <c r="J1864" s="19"/>
    </row>
    <row r="1865" ht="15.75" customHeight="1">
      <c r="A1865" s="3"/>
      <c r="B1865" s="19"/>
      <c r="C1865" s="19"/>
      <c r="D1865" s="27"/>
      <c r="E1865" s="27"/>
      <c r="F1865" s="28"/>
      <c r="G1865" s="31" t="str">
        <f t="shared" si="2"/>
        <v/>
      </c>
      <c r="H1865" s="30"/>
      <c r="I1865" s="21" t="str">
        <f t="shared" si="1"/>
        <v/>
      </c>
      <c r="J1865" s="19"/>
    </row>
    <row r="1866" ht="15.75" customHeight="1">
      <c r="A1866" s="3"/>
      <c r="B1866" s="19"/>
      <c r="C1866" s="19"/>
      <c r="D1866" s="27"/>
      <c r="E1866" s="27"/>
      <c r="F1866" s="28"/>
      <c r="G1866" s="31" t="str">
        <f t="shared" si="2"/>
        <v/>
      </c>
      <c r="H1866" s="30"/>
      <c r="I1866" s="21" t="str">
        <f t="shared" si="1"/>
        <v/>
      </c>
      <c r="J1866" s="19"/>
    </row>
    <row r="1867" ht="15.75" customHeight="1">
      <c r="A1867" s="3"/>
      <c r="B1867" s="19"/>
      <c r="C1867" s="19"/>
      <c r="D1867" s="27"/>
      <c r="E1867" s="27"/>
      <c r="F1867" s="28"/>
      <c r="G1867" s="31" t="str">
        <f t="shared" si="2"/>
        <v/>
      </c>
      <c r="H1867" s="30"/>
      <c r="I1867" s="21" t="str">
        <f t="shared" si="1"/>
        <v/>
      </c>
      <c r="J1867" s="19"/>
    </row>
    <row r="1868" ht="15.75" customHeight="1">
      <c r="A1868" s="3"/>
      <c r="B1868" s="19"/>
      <c r="C1868" s="19"/>
      <c r="D1868" s="27"/>
      <c r="E1868" s="27"/>
      <c r="F1868" s="28"/>
      <c r="G1868" s="31" t="str">
        <f t="shared" si="2"/>
        <v/>
      </c>
      <c r="H1868" s="30"/>
      <c r="I1868" s="21" t="str">
        <f t="shared" si="1"/>
        <v/>
      </c>
      <c r="J1868" s="19"/>
    </row>
    <row r="1869" ht="15.75" customHeight="1">
      <c r="A1869" s="3"/>
      <c r="B1869" s="19"/>
      <c r="C1869" s="19"/>
      <c r="D1869" s="27"/>
      <c r="E1869" s="27"/>
      <c r="F1869" s="28"/>
      <c r="G1869" s="31" t="str">
        <f t="shared" si="2"/>
        <v/>
      </c>
      <c r="H1869" s="30"/>
      <c r="I1869" s="21" t="str">
        <f t="shared" si="1"/>
        <v/>
      </c>
      <c r="J1869" s="19"/>
    </row>
    <row r="1870" ht="15.75" customHeight="1">
      <c r="A1870" s="3"/>
      <c r="B1870" s="19"/>
      <c r="C1870" s="19"/>
      <c r="D1870" s="27"/>
      <c r="E1870" s="27"/>
      <c r="F1870" s="28"/>
      <c r="G1870" s="31" t="str">
        <f t="shared" si="2"/>
        <v/>
      </c>
      <c r="H1870" s="30"/>
      <c r="I1870" s="21" t="str">
        <f t="shared" si="1"/>
        <v/>
      </c>
      <c r="J1870" s="19"/>
    </row>
    <row r="1871" ht="15.75" customHeight="1">
      <c r="A1871" s="3"/>
      <c r="B1871" s="19"/>
      <c r="C1871" s="19"/>
      <c r="D1871" s="27"/>
      <c r="E1871" s="27"/>
      <c r="F1871" s="28"/>
      <c r="G1871" s="31" t="str">
        <f t="shared" si="2"/>
        <v/>
      </c>
      <c r="H1871" s="30"/>
      <c r="I1871" s="21" t="str">
        <f t="shared" si="1"/>
        <v/>
      </c>
      <c r="J1871" s="19"/>
    </row>
    <row r="1872" ht="15.75" customHeight="1">
      <c r="A1872" s="3"/>
      <c r="B1872" s="19"/>
      <c r="C1872" s="19"/>
      <c r="D1872" s="27"/>
      <c r="E1872" s="27"/>
      <c r="F1872" s="28"/>
      <c r="G1872" s="31" t="str">
        <f t="shared" si="2"/>
        <v/>
      </c>
      <c r="H1872" s="30"/>
      <c r="I1872" s="21" t="str">
        <f t="shared" si="1"/>
        <v/>
      </c>
      <c r="J1872" s="19"/>
    </row>
    <row r="1873" ht="15.75" customHeight="1">
      <c r="A1873" s="3"/>
      <c r="B1873" s="19"/>
      <c r="C1873" s="19"/>
      <c r="D1873" s="27"/>
      <c r="E1873" s="27"/>
      <c r="F1873" s="28"/>
      <c r="G1873" s="31" t="str">
        <f t="shared" si="2"/>
        <v/>
      </c>
      <c r="H1873" s="30"/>
      <c r="I1873" s="21" t="str">
        <f t="shared" si="1"/>
        <v/>
      </c>
      <c r="J1873" s="19"/>
    </row>
    <row r="1874" ht="15.75" customHeight="1">
      <c r="A1874" s="3"/>
      <c r="B1874" s="19"/>
      <c r="C1874" s="19"/>
      <c r="D1874" s="27"/>
      <c r="E1874" s="27"/>
      <c r="F1874" s="28"/>
      <c r="G1874" s="31" t="str">
        <f t="shared" si="2"/>
        <v/>
      </c>
      <c r="H1874" s="30"/>
      <c r="I1874" s="21" t="str">
        <f t="shared" si="1"/>
        <v/>
      </c>
      <c r="J1874" s="19"/>
    </row>
    <row r="1875" ht="15.75" customHeight="1">
      <c r="A1875" s="3"/>
      <c r="B1875" s="19"/>
      <c r="C1875" s="19"/>
      <c r="D1875" s="27"/>
      <c r="E1875" s="27"/>
      <c r="F1875" s="28"/>
      <c r="G1875" s="31" t="str">
        <f t="shared" si="2"/>
        <v/>
      </c>
      <c r="H1875" s="30"/>
      <c r="I1875" s="21" t="str">
        <f t="shared" si="1"/>
        <v/>
      </c>
      <c r="J1875" s="19"/>
    </row>
    <row r="1876" ht="15.75" customHeight="1">
      <c r="A1876" s="3"/>
      <c r="B1876" s="19"/>
      <c r="C1876" s="19"/>
      <c r="D1876" s="27"/>
      <c r="E1876" s="27"/>
      <c r="F1876" s="28"/>
      <c r="G1876" s="31" t="str">
        <f t="shared" si="2"/>
        <v/>
      </c>
      <c r="H1876" s="30"/>
      <c r="I1876" s="21" t="str">
        <f t="shared" si="1"/>
        <v/>
      </c>
      <c r="J1876" s="19"/>
    </row>
    <row r="1877" ht="15.75" customHeight="1">
      <c r="A1877" s="3"/>
      <c r="B1877" s="19"/>
      <c r="C1877" s="19"/>
      <c r="D1877" s="27"/>
      <c r="E1877" s="27"/>
      <c r="F1877" s="28"/>
      <c r="G1877" s="31" t="str">
        <f t="shared" si="2"/>
        <v/>
      </c>
      <c r="H1877" s="30"/>
      <c r="I1877" s="21" t="str">
        <f t="shared" si="1"/>
        <v/>
      </c>
      <c r="J1877" s="19"/>
    </row>
    <row r="1878" ht="15.75" customHeight="1">
      <c r="A1878" s="3"/>
      <c r="B1878" s="19"/>
      <c r="C1878" s="19"/>
      <c r="D1878" s="27"/>
      <c r="E1878" s="27"/>
      <c r="F1878" s="28"/>
      <c r="G1878" s="31" t="str">
        <f t="shared" si="2"/>
        <v/>
      </c>
      <c r="H1878" s="30"/>
      <c r="I1878" s="21" t="str">
        <f t="shared" si="1"/>
        <v/>
      </c>
      <c r="J1878" s="19"/>
    </row>
    <row r="1879" ht="15.75" customHeight="1">
      <c r="A1879" s="3"/>
      <c r="B1879" s="19"/>
      <c r="C1879" s="19"/>
      <c r="D1879" s="27"/>
      <c r="E1879" s="27"/>
      <c r="F1879" s="28"/>
      <c r="G1879" s="31" t="str">
        <f t="shared" si="2"/>
        <v/>
      </c>
      <c r="H1879" s="30"/>
      <c r="I1879" s="21" t="str">
        <f t="shared" si="1"/>
        <v/>
      </c>
      <c r="J1879" s="19"/>
    </row>
    <row r="1880" ht="15.75" customHeight="1">
      <c r="A1880" s="3"/>
      <c r="B1880" s="19"/>
      <c r="C1880" s="19"/>
      <c r="D1880" s="27"/>
      <c r="E1880" s="27"/>
      <c r="F1880" s="28"/>
      <c r="G1880" s="31" t="str">
        <f t="shared" si="2"/>
        <v/>
      </c>
      <c r="H1880" s="30"/>
      <c r="I1880" s="21" t="str">
        <f t="shared" si="1"/>
        <v/>
      </c>
      <c r="J1880" s="19"/>
    </row>
    <row r="1881" ht="15.75" customHeight="1">
      <c r="A1881" s="3"/>
      <c r="B1881" s="19"/>
      <c r="C1881" s="19"/>
      <c r="D1881" s="27"/>
      <c r="E1881" s="27"/>
      <c r="F1881" s="28"/>
      <c r="G1881" s="31" t="str">
        <f t="shared" si="2"/>
        <v/>
      </c>
      <c r="H1881" s="30"/>
      <c r="I1881" s="21" t="str">
        <f t="shared" si="1"/>
        <v/>
      </c>
      <c r="J1881" s="19"/>
    </row>
    <row r="1882" ht="15.75" customHeight="1">
      <c r="A1882" s="3"/>
      <c r="B1882" s="19"/>
      <c r="C1882" s="19"/>
      <c r="D1882" s="27"/>
      <c r="E1882" s="27"/>
      <c r="F1882" s="28"/>
      <c r="G1882" s="31" t="str">
        <f t="shared" si="2"/>
        <v/>
      </c>
      <c r="H1882" s="30"/>
      <c r="I1882" s="21" t="str">
        <f t="shared" si="1"/>
        <v/>
      </c>
      <c r="J1882" s="19"/>
    </row>
    <row r="1883" ht="15.75" customHeight="1">
      <c r="A1883" s="3"/>
      <c r="B1883" s="19"/>
      <c r="C1883" s="19"/>
      <c r="D1883" s="27"/>
      <c r="E1883" s="27"/>
      <c r="F1883" s="28"/>
      <c r="G1883" s="31" t="str">
        <f t="shared" si="2"/>
        <v/>
      </c>
      <c r="H1883" s="30"/>
      <c r="I1883" s="21" t="str">
        <f t="shared" si="1"/>
        <v/>
      </c>
      <c r="J1883" s="19"/>
    </row>
    <row r="1884" ht="15.75" customHeight="1">
      <c r="A1884" s="3"/>
      <c r="B1884" s="19"/>
      <c r="C1884" s="19"/>
      <c r="D1884" s="27"/>
      <c r="E1884" s="27"/>
      <c r="F1884" s="28"/>
      <c r="G1884" s="31" t="str">
        <f t="shared" si="2"/>
        <v/>
      </c>
      <c r="H1884" s="30"/>
      <c r="I1884" s="21" t="str">
        <f t="shared" si="1"/>
        <v/>
      </c>
      <c r="J1884" s="19"/>
    </row>
    <row r="1885" ht="15.75" customHeight="1">
      <c r="A1885" s="3"/>
      <c r="B1885" s="19"/>
      <c r="C1885" s="19"/>
      <c r="D1885" s="27"/>
      <c r="E1885" s="27"/>
      <c r="F1885" s="28"/>
      <c r="G1885" s="31" t="str">
        <f t="shared" si="2"/>
        <v/>
      </c>
      <c r="H1885" s="30"/>
      <c r="I1885" s="21" t="str">
        <f t="shared" si="1"/>
        <v/>
      </c>
      <c r="J1885" s="19"/>
    </row>
    <row r="1886" ht="15.75" customHeight="1">
      <c r="A1886" s="3"/>
      <c r="B1886" s="19"/>
      <c r="C1886" s="19"/>
      <c r="D1886" s="27"/>
      <c r="E1886" s="27"/>
      <c r="F1886" s="28"/>
      <c r="G1886" s="31" t="str">
        <f t="shared" si="2"/>
        <v/>
      </c>
      <c r="H1886" s="30"/>
      <c r="I1886" s="21" t="str">
        <f t="shared" si="1"/>
        <v/>
      </c>
      <c r="J1886" s="19"/>
    </row>
    <row r="1887" ht="15.75" customHeight="1">
      <c r="A1887" s="3"/>
      <c r="B1887" s="19"/>
      <c r="C1887" s="19"/>
      <c r="D1887" s="27"/>
      <c r="E1887" s="27"/>
      <c r="F1887" s="28"/>
      <c r="G1887" s="31" t="str">
        <f t="shared" si="2"/>
        <v/>
      </c>
      <c r="H1887" s="30"/>
      <c r="I1887" s="21" t="str">
        <f t="shared" si="1"/>
        <v/>
      </c>
      <c r="J1887" s="19"/>
    </row>
    <row r="1888" ht="15.75" customHeight="1">
      <c r="A1888" s="3"/>
      <c r="B1888" s="19"/>
      <c r="C1888" s="19"/>
      <c r="D1888" s="27"/>
      <c r="E1888" s="27"/>
      <c r="F1888" s="28"/>
      <c r="G1888" s="31" t="str">
        <f t="shared" si="2"/>
        <v/>
      </c>
      <c r="H1888" s="30"/>
      <c r="I1888" s="21" t="str">
        <f t="shared" si="1"/>
        <v/>
      </c>
      <c r="J1888" s="19"/>
    </row>
    <row r="1889" ht="15.75" customHeight="1">
      <c r="A1889" s="3"/>
      <c r="B1889" s="19"/>
      <c r="C1889" s="19"/>
      <c r="D1889" s="27"/>
      <c r="E1889" s="27"/>
      <c r="F1889" s="28"/>
      <c r="G1889" s="31" t="str">
        <f t="shared" si="2"/>
        <v/>
      </c>
      <c r="H1889" s="30"/>
      <c r="I1889" s="21" t="str">
        <f t="shared" si="1"/>
        <v/>
      </c>
      <c r="J1889" s="19"/>
    </row>
    <row r="1890" ht="15.75" customHeight="1">
      <c r="A1890" s="3"/>
      <c r="B1890" s="19"/>
      <c r="C1890" s="19"/>
      <c r="D1890" s="27"/>
      <c r="E1890" s="27"/>
      <c r="F1890" s="28"/>
      <c r="G1890" s="31" t="str">
        <f t="shared" si="2"/>
        <v/>
      </c>
      <c r="H1890" s="30"/>
      <c r="I1890" s="21" t="str">
        <f t="shared" si="1"/>
        <v/>
      </c>
      <c r="J1890" s="19"/>
    </row>
    <row r="1891" ht="15.75" customHeight="1">
      <c r="A1891" s="3"/>
      <c r="B1891" s="19"/>
      <c r="C1891" s="19"/>
      <c r="D1891" s="27"/>
      <c r="E1891" s="27"/>
      <c r="F1891" s="28"/>
      <c r="G1891" s="31" t="str">
        <f t="shared" si="2"/>
        <v/>
      </c>
      <c r="H1891" s="30"/>
      <c r="I1891" s="21" t="str">
        <f t="shared" si="1"/>
        <v/>
      </c>
      <c r="J1891" s="19"/>
    </row>
    <row r="1892" ht="15.75" customHeight="1">
      <c r="A1892" s="3"/>
      <c r="B1892" s="19"/>
      <c r="C1892" s="19"/>
      <c r="D1892" s="27"/>
      <c r="E1892" s="27"/>
      <c r="F1892" s="28"/>
      <c r="G1892" s="31" t="str">
        <f t="shared" si="2"/>
        <v/>
      </c>
      <c r="H1892" s="30"/>
      <c r="I1892" s="21" t="str">
        <f t="shared" si="1"/>
        <v/>
      </c>
      <c r="J1892" s="19"/>
    </row>
    <row r="1893" ht="15.75" customHeight="1">
      <c r="A1893" s="3"/>
      <c r="B1893" s="19"/>
      <c r="C1893" s="19"/>
      <c r="D1893" s="27"/>
      <c r="E1893" s="27"/>
      <c r="F1893" s="28"/>
      <c r="G1893" s="31" t="str">
        <f t="shared" si="2"/>
        <v/>
      </c>
      <c r="H1893" s="30"/>
      <c r="I1893" s="21" t="str">
        <f t="shared" si="1"/>
        <v/>
      </c>
      <c r="J1893" s="19"/>
    </row>
    <row r="1894" ht="15.75" customHeight="1">
      <c r="A1894" s="3"/>
      <c r="B1894" s="19"/>
      <c r="C1894" s="19"/>
      <c r="D1894" s="27"/>
      <c r="E1894" s="27"/>
      <c r="F1894" s="28"/>
      <c r="G1894" s="31" t="str">
        <f t="shared" si="2"/>
        <v/>
      </c>
      <c r="H1894" s="30"/>
      <c r="I1894" s="21" t="str">
        <f t="shared" si="1"/>
        <v/>
      </c>
      <c r="J1894" s="19"/>
    </row>
    <row r="1895" ht="15.75" customHeight="1">
      <c r="A1895" s="3"/>
      <c r="B1895" s="19"/>
      <c r="C1895" s="19"/>
      <c r="D1895" s="27"/>
      <c r="E1895" s="27"/>
      <c r="F1895" s="28"/>
      <c r="G1895" s="31" t="str">
        <f t="shared" si="2"/>
        <v/>
      </c>
      <c r="H1895" s="30"/>
      <c r="I1895" s="21" t="str">
        <f t="shared" si="1"/>
        <v/>
      </c>
      <c r="J1895" s="19"/>
    </row>
    <row r="1896" ht="15.75" customHeight="1">
      <c r="A1896" s="3"/>
      <c r="B1896" s="19"/>
      <c r="C1896" s="19"/>
      <c r="D1896" s="27"/>
      <c r="E1896" s="27"/>
      <c r="F1896" s="28"/>
      <c r="G1896" s="31" t="str">
        <f t="shared" si="2"/>
        <v/>
      </c>
      <c r="H1896" s="30"/>
      <c r="I1896" s="21" t="str">
        <f t="shared" si="1"/>
        <v/>
      </c>
      <c r="J1896" s="19"/>
    </row>
    <row r="1897" ht="15.75" customHeight="1">
      <c r="A1897" s="3"/>
      <c r="B1897" s="19"/>
      <c r="C1897" s="19"/>
      <c r="D1897" s="27"/>
      <c r="E1897" s="27"/>
      <c r="F1897" s="28"/>
      <c r="G1897" s="31" t="str">
        <f t="shared" si="2"/>
        <v/>
      </c>
      <c r="H1897" s="30"/>
      <c r="I1897" s="21" t="str">
        <f t="shared" si="1"/>
        <v/>
      </c>
      <c r="J1897" s="19"/>
    </row>
    <row r="1898" ht="15.75" customHeight="1">
      <c r="A1898" s="3"/>
      <c r="B1898" s="19"/>
      <c r="C1898" s="19"/>
      <c r="D1898" s="27"/>
      <c r="E1898" s="27"/>
      <c r="F1898" s="28"/>
      <c r="G1898" s="31" t="str">
        <f t="shared" si="2"/>
        <v/>
      </c>
      <c r="H1898" s="30"/>
      <c r="I1898" s="21" t="str">
        <f t="shared" si="1"/>
        <v/>
      </c>
      <c r="J1898" s="19"/>
    </row>
    <row r="1899" ht="15.75" customHeight="1">
      <c r="A1899" s="3"/>
      <c r="B1899" s="19"/>
      <c r="C1899" s="19"/>
      <c r="D1899" s="27"/>
      <c r="E1899" s="27"/>
      <c r="F1899" s="28"/>
      <c r="G1899" s="31" t="str">
        <f t="shared" si="2"/>
        <v/>
      </c>
      <c r="H1899" s="30"/>
      <c r="I1899" s="21" t="str">
        <f t="shared" si="1"/>
        <v/>
      </c>
      <c r="J1899" s="19"/>
    </row>
    <row r="1900" ht="15.75" customHeight="1">
      <c r="A1900" s="3"/>
      <c r="B1900" s="19"/>
      <c r="C1900" s="19"/>
      <c r="D1900" s="27"/>
      <c r="E1900" s="27"/>
      <c r="F1900" s="28"/>
      <c r="G1900" s="31" t="str">
        <f t="shared" si="2"/>
        <v/>
      </c>
      <c r="H1900" s="30"/>
      <c r="I1900" s="21" t="str">
        <f t="shared" si="1"/>
        <v/>
      </c>
      <c r="J1900" s="19"/>
    </row>
    <row r="1901" ht="15.75" customHeight="1">
      <c r="A1901" s="3"/>
      <c r="B1901" s="19"/>
      <c r="C1901" s="19"/>
      <c r="D1901" s="27"/>
      <c r="E1901" s="27"/>
      <c r="F1901" s="28"/>
      <c r="G1901" s="31" t="str">
        <f t="shared" si="2"/>
        <v/>
      </c>
      <c r="H1901" s="30"/>
      <c r="I1901" s="21" t="str">
        <f t="shared" si="1"/>
        <v/>
      </c>
      <c r="J1901" s="19"/>
    </row>
    <row r="1902" ht="15.75" customHeight="1">
      <c r="A1902" s="3"/>
      <c r="B1902" s="19"/>
      <c r="C1902" s="19"/>
      <c r="D1902" s="27"/>
      <c r="E1902" s="27"/>
      <c r="F1902" s="28"/>
      <c r="G1902" s="31" t="str">
        <f t="shared" si="2"/>
        <v/>
      </c>
      <c r="H1902" s="30"/>
      <c r="I1902" s="21" t="str">
        <f t="shared" si="1"/>
        <v/>
      </c>
      <c r="J1902" s="19"/>
    </row>
    <row r="1903" ht="15.75" customHeight="1">
      <c r="A1903" s="3"/>
      <c r="B1903" s="19"/>
      <c r="C1903" s="19"/>
      <c r="D1903" s="27"/>
      <c r="E1903" s="27"/>
      <c r="F1903" s="28"/>
      <c r="G1903" s="31" t="str">
        <f t="shared" si="2"/>
        <v/>
      </c>
      <c r="H1903" s="30"/>
      <c r="I1903" s="21" t="str">
        <f t="shared" si="1"/>
        <v/>
      </c>
      <c r="J1903" s="19"/>
    </row>
    <row r="1904" ht="15.75" customHeight="1">
      <c r="A1904" s="3"/>
      <c r="B1904" s="19"/>
      <c r="C1904" s="19"/>
      <c r="D1904" s="27"/>
      <c r="E1904" s="27"/>
      <c r="F1904" s="28"/>
      <c r="G1904" s="31" t="str">
        <f t="shared" si="2"/>
        <v/>
      </c>
      <c r="H1904" s="30"/>
      <c r="I1904" s="21" t="str">
        <f t="shared" si="1"/>
        <v/>
      </c>
      <c r="J1904" s="19"/>
    </row>
    <row r="1905" ht="15.75" customHeight="1">
      <c r="A1905" s="3"/>
      <c r="B1905" s="19"/>
      <c r="C1905" s="19"/>
      <c r="D1905" s="27"/>
      <c r="E1905" s="27"/>
      <c r="F1905" s="28"/>
      <c r="G1905" s="31" t="str">
        <f t="shared" si="2"/>
        <v/>
      </c>
      <c r="H1905" s="30"/>
      <c r="I1905" s="21" t="str">
        <f t="shared" si="1"/>
        <v/>
      </c>
      <c r="J1905" s="19"/>
    </row>
    <row r="1906" ht="15.75" customHeight="1">
      <c r="A1906" s="3"/>
      <c r="B1906" s="19"/>
      <c r="C1906" s="19"/>
      <c r="D1906" s="27"/>
      <c r="E1906" s="27"/>
      <c r="F1906" s="28"/>
      <c r="G1906" s="31" t="str">
        <f t="shared" si="2"/>
        <v/>
      </c>
      <c r="H1906" s="30"/>
      <c r="I1906" s="21" t="str">
        <f t="shared" si="1"/>
        <v/>
      </c>
      <c r="J1906" s="19"/>
    </row>
    <row r="1907" ht="15.75" customHeight="1">
      <c r="A1907" s="3"/>
      <c r="B1907" s="19"/>
      <c r="C1907" s="19"/>
      <c r="D1907" s="27"/>
      <c r="E1907" s="27"/>
      <c r="F1907" s="28"/>
      <c r="G1907" s="31" t="str">
        <f t="shared" si="2"/>
        <v/>
      </c>
      <c r="H1907" s="30"/>
      <c r="I1907" s="21" t="str">
        <f t="shared" si="1"/>
        <v/>
      </c>
      <c r="J1907" s="19"/>
    </row>
    <row r="1908" ht="15.75" customHeight="1">
      <c r="A1908" s="3"/>
      <c r="B1908" s="19"/>
      <c r="C1908" s="19"/>
      <c r="D1908" s="27"/>
      <c r="E1908" s="27"/>
      <c r="F1908" s="28"/>
      <c r="G1908" s="31" t="str">
        <f t="shared" si="2"/>
        <v/>
      </c>
      <c r="H1908" s="30"/>
      <c r="I1908" s="21" t="str">
        <f t="shared" si="1"/>
        <v/>
      </c>
      <c r="J1908" s="19"/>
    </row>
    <row r="1909" ht="15.75" customHeight="1">
      <c r="A1909" s="3"/>
      <c r="B1909" s="19"/>
      <c r="C1909" s="19"/>
      <c r="D1909" s="27"/>
      <c r="E1909" s="27"/>
      <c r="F1909" s="28"/>
      <c r="G1909" s="31" t="str">
        <f t="shared" si="2"/>
        <v/>
      </c>
      <c r="H1909" s="30"/>
      <c r="I1909" s="21" t="str">
        <f t="shared" si="1"/>
        <v/>
      </c>
      <c r="J1909" s="19"/>
    </row>
    <row r="1910" ht="15.75" customHeight="1">
      <c r="A1910" s="3"/>
      <c r="B1910" s="19"/>
      <c r="C1910" s="19"/>
      <c r="D1910" s="27"/>
      <c r="E1910" s="27"/>
      <c r="F1910" s="28"/>
      <c r="G1910" s="31" t="str">
        <f t="shared" si="2"/>
        <v/>
      </c>
      <c r="H1910" s="30"/>
      <c r="I1910" s="21" t="str">
        <f t="shared" si="1"/>
        <v/>
      </c>
      <c r="J1910" s="19"/>
    </row>
    <row r="1911" ht="15.75" customHeight="1">
      <c r="A1911" s="3"/>
      <c r="B1911" s="19"/>
      <c r="C1911" s="19"/>
      <c r="D1911" s="27"/>
      <c r="E1911" s="27"/>
      <c r="F1911" s="28"/>
      <c r="G1911" s="31" t="str">
        <f t="shared" si="2"/>
        <v/>
      </c>
      <c r="H1911" s="30"/>
      <c r="I1911" s="21" t="str">
        <f t="shared" si="1"/>
        <v/>
      </c>
      <c r="J1911" s="19"/>
    </row>
    <row r="1912" ht="15.75" customHeight="1">
      <c r="A1912" s="3"/>
      <c r="B1912" s="19"/>
      <c r="C1912" s="19"/>
      <c r="D1912" s="27"/>
      <c r="E1912" s="27"/>
      <c r="F1912" s="28"/>
      <c r="G1912" s="31" t="str">
        <f t="shared" si="2"/>
        <v/>
      </c>
      <c r="H1912" s="30"/>
      <c r="I1912" s="21" t="str">
        <f t="shared" si="1"/>
        <v/>
      </c>
      <c r="J1912" s="19"/>
    </row>
    <row r="1913" ht="15.75" customHeight="1">
      <c r="A1913" s="3"/>
      <c r="B1913" s="19"/>
      <c r="C1913" s="19"/>
      <c r="D1913" s="27"/>
      <c r="E1913" s="27"/>
      <c r="F1913" s="28"/>
      <c r="G1913" s="31" t="str">
        <f t="shared" si="2"/>
        <v/>
      </c>
      <c r="H1913" s="30"/>
      <c r="I1913" s="21" t="str">
        <f t="shared" si="1"/>
        <v/>
      </c>
      <c r="J1913" s="19"/>
    </row>
    <row r="1914" ht="15.75" customHeight="1">
      <c r="A1914" s="3"/>
      <c r="B1914" s="19"/>
      <c r="C1914" s="19"/>
      <c r="D1914" s="27"/>
      <c r="E1914" s="27"/>
      <c r="F1914" s="28"/>
      <c r="G1914" s="31" t="str">
        <f t="shared" si="2"/>
        <v/>
      </c>
      <c r="H1914" s="30"/>
      <c r="I1914" s="21" t="str">
        <f t="shared" si="1"/>
        <v/>
      </c>
      <c r="J1914" s="19"/>
    </row>
    <row r="1915" ht="15.75" customHeight="1">
      <c r="A1915" s="3"/>
      <c r="B1915" s="19"/>
      <c r="C1915" s="19"/>
      <c r="D1915" s="27"/>
      <c r="E1915" s="27"/>
      <c r="F1915" s="28"/>
      <c r="G1915" s="31" t="str">
        <f t="shared" si="2"/>
        <v/>
      </c>
      <c r="H1915" s="30"/>
      <c r="I1915" s="21" t="str">
        <f t="shared" si="1"/>
        <v/>
      </c>
      <c r="J1915" s="19"/>
    </row>
    <row r="1916" ht="15.75" customHeight="1">
      <c r="A1916" s="3"/>
      <c r="B1916" s="19"/>
      <c r="C1916" s="19"/>
      <c r="D1916" s="27"/>
      <c r="E1916" s="27"/>
      <c r="F1916" s="28"/>
      <c r="G1916" s="31" t="str">
        <f t="shared" si="2"/>
        <v/>
      </c>
      <c r="H1916" s="30"/>
      <c r="I1916" s="21" t="str">
        <f t="shared" si="1"/>
        <v/>
      </c>
      <c r="J1916" s="19"/>
    </row>
    <row r="1917" ht="15.75" customHeight="1">
      <c r="A1917" s="3"/>
      <c r="B1917" s="19"/>
      <c r="C1917" s="19"/>
      <c r="D1917" s="27"/>
      <c r="E1917" s="27"/>
      <c r="F1917" s="28"/>
      <c r="G1917" s="31" t="str">
        <f t="shared" si="2"/>
        <v/>
      </c>
      <c r="H1917" s="30"/>
      <c r="I1917" s="21" t="str">
        <f t="shared" si="1"/>
        <v/>
      </c>
      <c r="J1917" s="19"/>
    </row>
    <row r="1918" ht="15.75" customHeight="1">
      <c r="A1918" s="3"/>
      <c r="B1918" s="19"/>
      <c r="C1918" s="19"/>
      <c r="D1918" s="27"/>
      <c r="E1918" s="27"/>
      <c r="F1918" s="28"/>
      <c r="G1918" s="31" t="str">
        <f t="shared" si="2"/>
        <v/>
      </c>
      <c r="H1918" s="30"/>
      <c r="I1918" s="21" t="str">
        <f t="shared" si="1"/>
        <v/>
      </c>
      <c r="J1918" s="19"/>
    </row>
    <row r="1919" ht="15.75" customHeight="1">
      <c r="A1919" s="3"/>
      <c r="B1919" s="19"/>
      <c r="C1919" s="19"/>
      <c r="D1919" s="27"/>
      <c r="E1919" s="27"/>
      <c r="F1919" s="28"/>
      <c r="G1919" s="31" t="str">
        <f t="shared" si="2"/>
        <v/>
      </c>
      <c r="H1919" s="30"/>
      <c r="I1919" s="21" t="str">
        <f t="shared" si="1"/>
        <v/>
      </c>
      <c r="J1919" s="19"/>
    </row>
    <row r="1920" ht="15.75" customHeight="1">
      <c r="A1920" s="3"/>
      <c r="B1920" s="19"/>
      <c r="C1920" s="19"/>
      <c r="D1920" s="27"/>
      <c r="E1920" s="27"/>
      <c r="F1920" s="28"/>
      <c r="G1920" s="31" t="str">
        <f t="shared" si="2"/>
        <v/>
      </c>
      <c r="H1920" s="30"/>
      <c r="I1920" s="21" t="str">
        <f t="shared" si="1"/>
        <v/>
      </c>
      <c r="J1920" s="19"/>
    </row>
    <row r="1921" ht="15.75" customHeight="1">
      <c r="A1921" s="3"/>
      <c r="B1921" s="19"/>
      <c r="C1921" s="19"/>
      <c r="D1921" s="27"/>
      <c r="E1921" s="27"/>
      <c r="F1921" s="28"/>
      <c r="G1921" s="31" t="str">
        <f t="shared" si="2"/>
        <v/>
      </c>
      <c r="H1921" s="30"/>
      <c r="I1921" s="21" t="str">
        <f t="shared" si="1"/>
        <v/>
      </c>
      <c r="J1921" s="19"/>
    </row>
    <row r="1922" ht="15.75" customHeight="1">
      <c r="A1922" s="3"/>
      <c r="B1922" s="19"/>
      <c r="C1922" s="19"/>
      <c r="D1922" s="27"/>
      <c r="E1922" s="27"/>
      <c r="F1922" s="28"/>
      <c r="G1922" s="31" t="str">
        <f t="shared" si="2"/>
        <v/>
      </c>
      <c r="H1922" s="30"/>
      <c r="I1922" s="21" t="str">
        <f t="shared" si="1"/>
        <v/>
      </c>
      <c r="J1922" s="19"/>
    </row>
    <row r="1923" ht="15.75" customHeight="1">
      <c r="A1923" s="3"/>
      <c r="B1923" s="19"/>
      <c r="C1923" s="19"/>
      <c r="D1923" s="27"/>
      <c r="E1923" s="27"/>
      <c r="F1923" s="28"/>
      <c r="G1923" s="31" t="str">
        <f t="shared" si="2"/>
        <v/>
      </c>
      <c r="H1923" s="30"/>
      <c r="I1923" s="21" t="str">
        <f t="shared" si="1"/>
        <v/>
      </c>
      <c r="J1923" s="19"/>
    </row>
    <row r="1924" ht="15.75" customHeight="1">
      <c r="A1924" s="3"/>
      <c r="B1924" s="19"/>
      <c r="C1924" s="19"/>
      <c r="D1924" s="27"/>
      <c r="E1924" s="27"/>
      <c r="F1924" s="28"/>
      <c r="G1924" s="31" t="str">
        <f t="shared" si="2"/>
        <v/>
      </c>
      <c r="H1924" s="30"/>
      <c r="I1924" s="21" t="str">
        <f t="shared" si="1"/>
        <v/>
      </c>
      <c r="J1924" s="19"/>
    </row>
    <row r="1925" ht="15.75" customHeight="1">
      <c r="A1925" s="3"/>
      <c r="B1925" s="19"/>
      <c r="C1925" s="19"/>
      <c r="D1925" s="27"/>
      <c r="E1925" s="27"/>
      <c r="F1925" s="28"/>
      <c r="G1925" s="31" t="str">
        <f t="shared" si="2"/>
        <v/>
      </c>
      <c r="H1925" s="30"/>
      <c r="I1925" s="21" t="str">
        <f t="shared" si="1"/>
        <v/>
      </c>
      <c r="J1925" s="19"/>
    </row>
    <row r="1926" ht="15.75" customHeight="1">
      <c r="A1926" s="3"/>
      <c r="B1926" s="19"/>
      <c r="C1926" s="19"/>
      <c r="D1926" s="27"/>
      <c r="E1926" s="27"/>
      <c r="F1926" s="28"/>
      <c r="G1926" s="31" t="str">
        <f t="shared" si="2"/>
        <v/>
      </c>
      <c r="H1926" s="30"/>
      <c r="I1926" s="21" t="str">
        <f t="shared" si="1"/>
        <v/>
      </c>
      <c r="J1926" s="19"/>
    </row>
    <row r="1927" ht="15.75" customHeight="1">
      <c r="A1927" s="3"/>
      <c r="B1927" s="19"/>
      <c r="C1927" s="19"/>
      <c r="D1927" s="27"/>
      <c r="E1927" s="27"/>
      <c r="F1927" s="28"/>
      <c r="G1927" s="31" t="str">
        <f t="shared" si="2"/>
        <v/>
      </c>
      <c r="H1927" s="30"/>
      <c r="I1927" s="21" t="str">
        <f t="shared" si="1"/>
        <v/>
      </c>
      <c r="J1927" s="19"/>
    </row>
    <row r="1928" ht="15.75" customHeight="1">
      <c r="A1928" s="3"/>
      <c r="B1928" s="19"/>
      <c r="C1928" s="19"/>
      <c r="D1928" s="27"/>
      <c r="E1928" s="27"/>
      <c r="F1928" s="28"/>
      <c r="G1928" s="31" t="str">
        <f t="shared" si="2"/>
        <v/>
      </c>
      <c r="H1928" s="30"/>
      <c r="I1928" s="21" t="str">
        <f t="shared" si="1"/>
        <v/>
      </c>
      <c r="J1928" s="19"/>
    </row>
    <row r="1929" ht="15.75" customHeight="1">
      <c r="A1929" s="3"/>
      <c r="B1929" s="19"/>
      <c r="C1929" s="19"/>
      <c r="D1929" s="27"/>
      <c r="E1929" s="27"/>
      <c r="F1929" s="28"/>
      <c r="G1929" s="31" t="str">
        <f t="shared" si="2"/>
        <v/>
      </c>
      <c r="H1929" s="30"/>
      <c r="I1929" s="21" t="str">
        <f t="shared" si="1"/>
        <v/>
      </c>
      <c r="J1929" s="19"/>
    </row>
    <row r="1930" ht="15.75" customHeight="1">
      <c r="A1930" s="3"/>
      <c r="B1930" s="19"/>
      <c r="C1930" s="19"/>
      <c r="D1930" s="27"/>
      <c r="E1930" s="27"/>
      <c r="F1930" s="28"/>
      <c r="G1930" s="31" t="str">
        <f t="shared" si="2"/>
        <v/>
      </c>
      <c r="H1930" s="30"/>
      <c r="I1930" s="21" t="str">
        <f t="shared" si="1"/>
        <v/>
      </c>
      <c r="J1930" s="19"/>
    </row>
    <row r="1931" ht="15.75" customHeight="1">
      <c r="A1931" s="3"/>
      <c r="B1931" s="19"/>
      <c r="C1931" s="19"/>
      <c r="D1931" s="27"/>
      <c r="E1931" s="27"/>
      <c r="F1931" s="28"/>
      <c r="G1931" s="31" t="str">
        <f t="shared" si="2"/>
        <v/>
      </c>
      <c r="H1931" s="30"/>
      <c r="I1931" s="21" t="str">
        <f t="shared" si="1"/>
        <v/>
      </c>
      <c r="J1931" s="19"/>
    </row>
    <row r="1932" ht="15.75" customHeight="1">
      <c r="A1932" s="3"/>
      <c r="B1932" s="19"/>
      <c r="C1932" s="19"/>
      <c r="D1932" s="27"/>
      <c r="E1932" s="27"/>
      <c r="F1932" s="28"/>
      <c r="G1932" s="31" t="str">
        <f t="shared" si="2"/>
        <v/>
      </c>
      <c r="H1932" s="30"/>
      <c r="I1932" s="21" t="str">
        <f t="shared" si="1"/>
        <v/>
      </c>
      <c r="J1932" s="19"/>
    </row>
    <row r="1933" ht="15.75" customHeight="1">
      <c r="A1933" s="3"/>
      <c r="B1933" s="19"/>
      <c r="C1933" s="19"/>
      <c r="D1933" s="27"/>
      <c r="E1933" s="27"/>
      <c r="F1933" s="28"/>
      <c r="G1933" s="31" t="str">
        <f t="shared" si="2"/>
        <v/>
      </c>
      <c r="H1933" s="30"/>
      <c r="I1933" s="21" t="str">
        <f t="shared" si="1"/>
        <v/>
      </c>
      <c r="J1933" s="19"/>
    </row>
    <row r="1934" ht="15.75" customHeight="1">
      <c r="A1934" s="3"/>
      <c r="B1934" s="19"/>
      <c r="C1934" s="19"/>
      <c r="D1934" s="27"/>
      <c r="E1934" s="27"/>
      <c r="F1934" s="28"/>
      <c r="G1934" s="31" t="str">
        <f t="shared" si="2"/>
        <v/>
      </c>
      <c r="H1934" s="30"/>
      <c r="I1934" s="21" t="str">
        <f t="shared" si="1"/>
        <v/>
      </c>
      <c r="J1934" s="19"/>
    </row>
    <row r="1935" ht="15.75" customHeight="1">
      <c r="A1935" s="3"/>
      <c r="B1935" s="19"/>
      <c r="C1935" s="19"/>
      <c r="D1935" s="27"/>
      <c r="E1935" s="27"/>
      <c r="F1935" s="28"/>
      <c r="G1935" s="31" t="str">
        <f t="shared" si="2"/>
        <v/>
      </c>
      <c r="H1935" s="30"/>
      <c r="I1935" s="21" t="str">
        <f t="shared" si="1"/>
        <v/>
      </c>
      <c r="J1935" s="19"/>
    </row>
    <row r="1936" ht="15.75" customHeight="1">
      <c r="A1936" s="3"/>
      <c r="B1936" s="19"/>
      <c r="C1936" s="19"/>
      <c r="D1936" s="27"/>
      <c r="E1936" s="27"/>
      <c r="F1936" s="28"/>
      <c r="G1936" s="31" t="str">
        <f t="shared" si="2"/>
        <v/>
      </c>
      <c r="H1936" s="30"/>
      <c r="I1936" s="21" t="str">
        <f t="shared" si="1"/>
        <v/>
      </c>
      <c r="J1936" s="19"/>
    </row>
    <row r="1937" ht="15.75" customHeight="1">
      <c r="A1937" s="3"/>
      <c r="B1937" s="19"/>
      <c r="C1937" s="19"/>
      <c r="D1937" s="27"/>
      <c r="E1937" s="27"/>
      <c r="F1937" s="28"/>
      <c r="G1937" s="31" t="str">
        <f t="shared" si="2"/>
        <v/>
      </c>
      <c r="H1937" s="30"/>
      <c r="I1937" s="21" t="str">
        <f t="shared" si="1"/>
        <v/>
      </c>
      <c r="J1937" s="19"/>
    </row>
    <row r="1938" ht="15.75" customHeight="1">
      <c r="A1938" s="3"/>
      <c r="B1938" s="19"/>
      <c r="C1938" s="19"/>
      <c r="D1938" s="27"/>
      <c r="E1938" s="27"/>
      <c r="F1938" s="28"/>
      <c r="G1938" s="31" t="str">
        <f t="shared" si="2"/>
        <v/>
      </c>
      <c r="H1938" s="30"/>
      <c r="I1938" s="21" t="str">
        <f t="shared" si="1"/>
        <v/>
      </c>
      <c r="J1938" s="19"/>
    </row>
    <row r="1939" ht="15.75" customHeight="1">
      <c r="A1939" s="3"/>
      <c r="B1939" s="19"/>
      <c r="C1939" s="19"/>
      <c r="D1939" s="27"/>
      <c r="E1939" s="27"/>
      <c r="F1939" s="28"/>
      <c r="G1939" s="31" t="str">
        <f t="shared" si="2"/>
        <v/>
      </c>
      <c r="H1939" s="30"/>
      <c r="I1939" s="21" t="str">
        <f t="shared" si="1"/>
        <v/>
      </c>
      <c r="J1939" s="19"/>
    </row>
    <row r="1940" ht="15.75" customHeight="1">
      <c r="A1940" s="3"/>
      <c r="B1940" s="19"/>
      <c r="C1940" s="19"/>
      <c r="D1940" s="27"/>
      <c r="E1940" s="27"/>
      <c r="F1940" s="28"/>
      <c r="G1940" s="31" t="str">
        <f t="shared" si="2"/>
        <v/>
      </c>
      <c r="H1940" s="30"/>
      <c r="I1940" s="21" t="str">
        <f t="shared" si="1"/>
        <v/>
      </c>
      <c r="J1940" s="19"/>
    </row>
    <row r="1941" ht="15.75" customHeight="1">
      <c r="A1941" s="3"/>
      <c r="B1941" s="19"/>
      <c r="C1941" s="19"/>
      <c r="D1941" s="27"/>
      <c r="E1941" s="27"/>
      <c r="F1941" s="28"/>
      <c r="G1941" s="31" t="str">
        <f t="shared" si="2"/>
        <v/>
      </c>
      <c r="H1941" s="30"/>
      <c r="I1941" s="21" t="str">
        <f t="shared" si="1"/>
        <v/>
      </c>
      <c r="J1941" s="19"/>
    </row>
    <row r="1942" ht="15.75" customHeight="1">
      <c r="A1942" s="3"/>
      <c r="B1942" s="19"/>
      <c r="C1942" s="19"/>
      <c r="D1942" s="27"/>
      <c r="E1942" s="27"/>
      <c r="F1942" s="28"/>
      <c r="G1942" s="31" t="str">
        <f t="shared" si="2"/>
        <v/>
      </c>
      <c r="H1942" s="30"/>
      <c r="I1942" s="21" t="str">
        <f t="shared" si="1"/>
        <v/>
      </c>
      <c r="J1942" s="19"/>
    </row>
    <row r="1943" ht="15.75" customHeight="1">
      <c r="A1943" s="3"/>
      <c r="B1943" s="19"/>
      <c r="C1943" s="19"/>
      <c r="D1943" s="27"/>
      <c r="E1943" s="27"/>
      <c r="F1943" s="28"/>
      <c r="G1943" s="31" t="str">
        <f t="shared" si="2"/>
        <v/>
      </c>
      <c r="H1943" s="30"/>
      <c r="I1943" s="21" t="str">
        <f t="shared" si="1"/>
        <v/>
      </c>
      <c r="J1943" s="19"/>
    </row>
    <row r="1944" ht="15.75" customHeight="1">
      <c r="A1944" s="3"/>
      <c r="B1944" s="19"/>
      <c r="C1944" s="19"/>
      <c r="D1944" s="27"/>
      <c r="E1944" s="27"/>
      <c r="F1944" s="28"/>
      <c r="G1944" s="31" t="str">
        <f t="shared" si="2"/>
        <v/>
      </c>
      <c r="H1944" s="30"/>
      <c r="I1944" s="21" t="str">
        <f t="shared" si="1"/>
        <v/>
      </c>
      <c r="J1944" s="19"/>
    </row>
    <row r="1945" ht="15.75" customHeight="1">
      <c r="A1945" s="3"/>
      <c r="B1945" s="19"/>
      <c r="C1945" s="19"/>
      <c r="D1945" s="27"/>
      <c r="E1945" s="27"/>
      <c r="F1945" s="28"/>
      <c r="G1945" s="31" t="str">
        <f t="shared" si="2"/>
        <v/>
      </c>
      <c r="H1945" s="30"/>
      <c r="I1945" s="21" t="str">
        <f t="shared" si="1"/>
        <v/>
      </c>
      <c r="J1945" s="19"/>
    </row>
    <row r="1946" ht="15.75" customHeight="1">
      <c r="A1946" s="3"/>
      <c r="B1946" s="19"/>
      <c r="C1946" s="19"/>
      <c r="D1946" s="27"/>
      <c r="E1946" s="27"/>
      <c r="F1946" s="28"/>
      <c r="G1946" s="31" t="str">
        <f t="shared" si="2"/>
        <v/>
      </c>
      <c r="H1946" s="30"/>
      <c r="I1946" s="21" t="str">
        <f t="shared" si="1"/>
        <v/>
      </c>
      <c r="J1946" s="19"/>
    </row>
    <row r="1947" ht="15.75" customHeight="1">
      <c r="A1947" s="3"/>
      <c r="B1947" s="19"/>
      <c r="C1947" s="19"/>
      <c r="D1947" s="27"/>
      <c r="E1947" s="27"/>
      <c r="F1947" s="28"/>
      <c r="G1947" s="31" t="str">
        <f t="shared" si="2"/>
        <v/>
      </c>
      <c r="H1947" s="30"/>
      <c r="I1947" s="21" t="str">
        <f t="shared" si="1"/>
        <v/>
      </c>
      <c r="J1947" s="19"/>
    </row>
    <row r="1948" ht="15.75" customHeight="1">
      <c r="A1948" s="3"/>
      <c r="B1948" s="19"/>
      <c r="C1948" s="19"/>
      <c r="D1948" s="27"/>
      <c r="E1948" s="27"/>
      <c r="F1948" s="28"/>
      <c r="G1948" s="31" t="str">
        <f t="shared" si="2"/>
        <v/>
      </c>
      <c r="H1948" s="30"/>
      <c r="I1948" s="21" t="str">
        <f t="shared" si="1"/>
        <v/>
      </c>
      <c r="J1948" s="19"/>
    </row>
    <row r="1949" ht="15.75" customHeight="1">
      <c r="A1949" s="3"/>
      <c r="B1949" s="19"/>
      <c r="C1949" s="19"/>
      <c r="D1949" s="27"/>
      <c r="E1949" s="27"/>
      <c r="F1949" s="28"/>
      <c r="G1949" s="31" t="str">
        <f t="shared" si="2"/>
        <v/>
      </c>
      <c r="H1949" s="30"/>
      <c r="I1949" s="21" t="str">
        <f t="shared" si="1"/>
        <v/>
      </c>
      <c r="J1949" s="19"/>
    </row>
    <row r="1950" ht="15.75" customHeight="1">
      <c r="A1950" s="3"/>
      <c r="B1950" s="19"/>
      <c r="C1950" s="19"/>
      <c r="D1950" s="27"/>
      <c r="E1950" s="27"/>
      <c r="F1950" s="28"/>
      <c r="G1950" s="31" t="str">
        <f t="shared" si="2"/>
        <v/>
      </c>
      <c r="H1950" s="30"/>
      <c r="I1950" s="21" t="str">
        <f t="shared" si="1"/>
        <v/>
      </c>
      <c r="J1950" s="19"/>
    </row>
    <row r="1951" ht="15.75" customHeight="1">
      <c r="A1951" s="3"/>
      <c r="B1951" s="19"/>
      <c r="C1951" s="19"/>
      <c r="D1951" s="27"/>
      <c r="E1951" s="27"/>
      <c r="F1951" s="28"/>
      <c r="G1951" s="31" t="str">
        <f t="shared" si="2"/>
        <v/>
      </c>
      <c r="H1951" s="30"/>
      <c r="I1951" s="21" t="str">
        <f t="shared" si="1"/>
        <v/>
      </c>
      <c r="J1951" s="19"/>
    </row>
    <row r="1952" ht="15.75" customHeight="1">
      <c r="A1952" s="3"/>
      <c r="B1952" s="19"/>
      <c r="C1952" s="19"/>
      <c r="D1952" s="27"/>
      <c r="E1952" s="27"/>
      <c r="F1952" s="28"/>
      <c r="G1952" s="31" t="str">
        <f t="shared" si="2"/>
        <v/>
      </c>
      <c r="H1952" s="30"/>
      <c r="I1952" s="21" t="str">
        <f t="shared" si="1"/>
        <v/>
      </c>
      <c r="J1952" s="19"/>
    </row>
    <row r="1953" ht="15.75" customHeight="1">
      <c r="A1953" s="3"/>
      <c r="B1953" s="19"/>
      <c r="C1953" s="19"/>
      <c r="D1953" s="27"/>
      <c r="E1953" s="27"/>
      <c r="F1953" s="28"/>
      <c r="G1953" s="31" t="str">
        <f t="shared" si="2"/>
        <v/>
      </c>
      <c r="H1953" s="30"/>
      <c r="I1953" s="21" t="str">
        <f t="shared" si="1"/>
        <v/>
      </c>
      <c r="J1953" s="19"/>
    </row>
    <row r="1954" ht="15.75" customHeight="1">
      <c r="A1954" s="3"/>
      <c r="B1954" s="19"/>
      <c r="C1954" s="19"/>
      <c r="D1954" s="27"/>
      <c r="E1954" s="27"/>
      <c r="F1954" s="28"/>
      <c r="G1954" s="31" t="str">
        <f t="shared" si="2"/>
        <v/>
      </c>
      <c r="H1954" s="30"/>
      <c r="I1954" s="21" t="str">
        <f t="shared" si="1"/>
        <v/>
      </c>
      <c r="J1954" s="19"/>
    </row>
    <row r="1955" ht="15.75" customHeight="1">
      <c r="A1955" s="3"/>
      <c r="B1955" s="19"/>
      <c r="C1955" s="19"/>
      <c r="D1955" s="27"/>
      <c r="E1955" s="27"/>
      <c r="F1955" s="28"/>
      <c r="G1955" s="31" t="str">
        <f t="shared" si="2"/>
        <v/>
      </c>
      <c r="H1955" s="30"/>
      <c r="I1955" s="21" t="str">
        <f t="shared" si="1"/>
        <v/>
      </c>
      <c r="J1955" s="19"/>
    </row>
    <row r="1956" ht="15.75" customHeight="1">
      <c r="A1956" s="3"/>
      <c r="B1956" s="19"/>
      <c r="C1956" s="19"/>
      <c r="D1956" s="27"/>
      <c r="E1956" s="27"/>
      <c r="F1956" s="28"/>
      <c r="G1956" s="31" t="str">
        <f t="shared" si="2"/>
        <v/>
      </c>
      <c r="H1956" s="30"/>
      <c r="I1956" s="21" t="str">
        <f t="shared" si="1"/>
        <v/>
      </c>
      <c r="J1956" s="19"/>
    </row>
    <row r="1957" ht="15.75" customHeight="1">
      <c r="A1957" s="3"/>
      <c r="B1957" s="19"/>
      <c r="C1957" s="19"/>
      <c r="D1957" s="27"/>
      <c r="E1957" s="27"/>
      <c r="F1957" s="28"/>
      <c r="G1957" s="31" t="str">
        <f t="shared" si="2"/>
        <v/>
      </c>
      <c r="H1957" s="30"/>
      <c r="I1957" s="21" t="str">
        <f t="shared" si="1"/>
        <v/>
      </c>
      <c r="J1957" s="19"/>
    </row>
    <row r="1958" ht="15.75" customHeight="1">
      <c r="A1958" s="3"/>
      <c r="B1958" s="19"/>
      <c r="C1958" s="19"/>
      <c r="D1958" s="27"/>
      <c r="E1958" s="27"/>
      <c r="F1958" s="28"/>
      <c r="G1958" s="31" t="str">
        <f t="shared" si="2"/>
        <v/>
      </c>
      <c r="H1958" s="30"/>
      <c r="I1958" s="21" t="str">
        <f t="shared" si="1"/>
        <v/>
      </c>
      <c r="J1958" s="19"/>
    </row>
    <row r="1959" ht="15.75" customHeight="1">
      <c r="A1959" s="3"/>
      <c r="B1959" s="19"/>
      <c r="C1959" s="19"/>
      <c r="D1959" s="27"/>
      <c r="E1959" s="27"/>
      <c r="F1959" s="28"/>
      <c r="G1959" s="31" t="str">
        <f t="shared" si="2"/>
        <v/>
      </c>
      <c r="H1959" s="30"/>
      <c r="I1959" s="21" t="str">
        <f t="shared" si="1"/>
        <v/>
      </c>
      <c r="J1959" s="19"/>
    </row>
    <row r="1960" ht="15.75" customHeight="1">
      <c r="A1960" s="3"/>
      <c r="B1960" s="19"/>
      <c r="C1960" s="19"/>
      <c r="D1960" s="27"/>
      <c r="E1960" s="27"/>
      <c r="F1960" s="28"/>
      <c r="G1960" s="31" t="str">
        <f t="shared" si="2"/>
        <v/>
      </c>
      <c r="H1960" s="30"/>
      <c r="I1960" s="21" t="str">
        <f t="shared" si="1"/>
        <v/>
      </c>
      <c r="J1960" s="19"/>
    </row>
    <row r="1961" ht="15.75" customHeight="1">
      <c r="A1961" s="3"/>
      <c r="B1961" s="19"/>
      <c r="C1961" s="19"/>
      <c r="D1961" s="27"/>
      <c r="E1961" s="27"/>
      <c r="F1961" s="28"/>
      <c r="G1961" s="31" t="str">
        <f t="shared" si="2"/>
        <v/>
      </c>
      <c r="H1961" s="30"/>
      <c r="I1961" s="21" t="str">
        <f t="shared" si="1"/>
        <v/>
      </c>
      <c r="J1961" s="19"/>
    </row>
    <row r="1962" ht="15.75" customHeight="1">
      <c r="A1962" s="3"/>
      <c r="B1962" s="19"/>
      <c r="C1962" s="19"/>
      <c r="D1962" s="27"/>
      <c r="E1962" s="27"/>
      <c r="F1962" s="28"/>
      <c r="G1962" s="31" t="str">
        <f t="shared" si="2"/>
        <v/>
      </c>
      <c r="H1962" s="30"/>
      <c r="I1962" s="21" t="str">
        <f t="shared" si="1"/>
        <v/>
      </c>
      <c r="J1962" s="19"/>
    </row>
    <row r="1963" ht="15.75" customHeight="1">
      <c r="A1963" s="3"/>
      <c r="B1963" s="19"/>
      <c r="C1963" s="19"/>
      <c r="D1963" s="27"/>
      <c r="E1963" s="27"/>
      <c r="F1963" s="28"/>
      <c r="G1963" s="31" t="str">
        <f t="shared" si="2"/>
        <v/>
      </c>
      <c r="H1963" s="30"/>
      <c r="I1963" s="21" t="str">
        <f t="shared" si="1"/>
        <v/>
      </c>
      <c r="J1963" s="19"/>
    </row>
    <row r="1964" ht="15.75" customHeight="1">
      <c r="A1964" s="3"/>
      <c r="B1964" s="19"/>
      <c r="C1964" s="19"/>
      <c r="D1964" s="27"/>
      <c r="E1964" s="27"/>
      <c r="F1964" s="28"/>
      <c r="G1964" s="31" t="str">
        <f t="shared" si="2"/>
        <v/>
      </c>
      <c r="H1964" s="30"/>
      <c r="I1964" s="21" t="str">
        <f t="shared" si="1"/>
        <v/>
      </c>
      <c r="J1964" s="19"/>
    </row>
    <row r="1965" ht="15.75" customHeight="1">
      <c r="A1965" s="3"/>
      <c r="B1965" s="19"/>
      <c r="C1965" s="19"/>
      <c r="D1965" s="27"/>
      <c r="E1965" s="27"/>
      <c r="F1965" s="28"/>
      <c r="G1965" s="31" t="str">
        <f t="shared" si="2"/>
        <v/>
      </c>
      <c r="H1965" s="30"/>
      <c r="I1965" s="21" t="str">
        <f t="shared" si="1"/>
        <v/>
      </c>
      <c r="J1965" s="19"/>
    </row>
    <row r="1966" ht="15.75" customHeight="1">
      <c r="A1966" s="3"/>
      <c r="B1966" s="19"/>
      <c r="C1966" s="19"/>
      <c r="D1966" s="27"/>
      <c r="E1966" s="27"/>
      <c r="F1966" s="28"/>
      <c r="G1966" s="31" t="str">
        <f t="shared" si="2"/>
        <v/>
      </c>
      <c r="H1966" s="30"/>
      <c r="I1966" s="21" t="str">
        <f t="shared" si="1"/>
        <v/>
      </c>
      <c r="J1966" s="19"/>
    </row>
    <row r="1967" ht="15.75" customHeight="1">
      <c r="A1967" s="3"/>
      <c r="B1967" s="19"/>
      <c r="C1967" s="19"/>
      <c r="D1967" s="27"/>
      <c r="E1967" s="27"/>
      <c r="F1967" s="28"/>
      <c r="G1967" s="31" t="str">
        <f t="shared" si="2"/>
        <v/>
      </c>
      <c r="H1967" s="30"/>
      <c r="I1967" s="21" t="str">
        <f t="shared" si="1"/>
        <v/>
      </c>
      <c r="J1967" s="19"/>
    </row>
    <row r="1968" ht="15.75" customHeight="1">
      <c r="A1968" s="3"/>
      <c r="B1968" s="19"/>
      <c r="C1968" s="19"/>
      <c r="D1968" s="27"/>
      <c r="E1968" s="27"/>
      <c r="F1968" s="28"/>
      <c r="G1968" s="31" t="str">
        <f t="shared" si="2"/>
        <v/>
      </c>
      <c r="H1968" s="30"/>
      <c r="I1968" s="21" t="str">
        <f t="shared" si="1"/>
        <v/>
      </c>
      <c r="J1968" s="19"/>
    </row>
    <row r="1969" ht="15.75" customHeight="1">
      <c r="A1969" s="3"/>
      <c r="B1969" s="19"/>
      <c r="C1969" s="19"/>
      <c r="D1969" s="27"/>
      <c r="E1969" s="27"/>
      <c r="F1969" s="28"/>
      <c r="G1969" s="31" t="str">
        <f t="shared" si="2"/>
        <v/>
      </c>
      <c r="H1969" s="30"/>
      <c r="I1969" s="21" t="str">
        <f t="shared" si="1"/>
        <v/>
      </c>
      <c r="J1969" s="19"/>
    </row>
    <row r="1970" ht="15.75" customHeight="1">
      <c r="A1970" s="3"/>
      <c r="B1970" s="19"/>
      <c r="C1970" s="19"/>
      <c r="D1970" s="27"/>
      <c r="E1970" s="27"/>
      <c r="F1970" s="28"/>
      <c r="G1970" s="31" t="str">
        <f t="shared" si="2"/>
        <v/>
      </c>
      <c r="H1970" s="30"/>
      <c r="I1970" s="21" t="str">
        <f t="shared" si="1"/>
        <v/>
      </c>
      <c r="J1970" s="19"/>
    </row>
    <row r="1971" ht="15.75" customHeight="1">
      <c r="A1971" s="3"/>
      <c r="B1971" s="19"/>
      <c r="C1971" s="19"/>
      <c r="D1971" s="27"/>
      <c r="E1971" s="27"/>
      <c r="F1971" s="28"/>
      <c r="G1971" s="31" t="str">
        <f t="shared" si="2"/>
        <v/>
      </c>
      <c r="H1971" s="30"/>
      <c r="I1971" s="21" t="str">
        <f t="shared" si="1"/>
        <v/>
      </c>
      <c r="J1971" s="19"/>
    </row>
    <row r="1972" ht="15.75" customHeight="1">
      <c r="A1972" s="3"/>
      <c r="B1972" s="19"/>
      <c r="C1972" s="19"/>
      <c r="D1972" s="27"/>
      <c r="E1972" s="27"/>
      <c r="F1972" s="28"/>
      <c r="G1972" s="31" t="str">
        <f t="shared" si="2"/>
        <v/>
      </c>
      <c r="H1972" s="30"/>
      <c r="I1972" s="21" t="str">
        <f t="shared" si="1"/>
        <v/>
      </c>
      <c r="J1972" s="19"/>
    </row>
    <row r="1973" ht="15.75" customHeight="1">
      <c r="A1973" s="3"/>
      <c r="B1973" s="19"/>
      <c r="C1973" s="19"/>
      <c r="D1973" s="27"/>
      <c r="E1973" s="27"/>
      <c r="F1973" s="28"/>
      <c r="G1973" s="31" t="str">
        <f t="shared" si="2"/>
        <v/>
      </c>
      <c r="H1973" s="30"/>
      <c r="I1973" s="21" t="str">
        <f t="shared" si="1"/>
        <v/>
      </c>
      <c r="J1973" s="19"/>
    </row>
    <row r="1974" ht="15.75" customHeight="1">
      <c r="A1974" s="3"/>
      <c r="B1974" s="19"/>
      <c r="C1974" s="19"/>
      <c r="D1974" s="27"/>
      <c r="E1974" s="27"/>
      <c r="F1974" s="28"/>
      <c r="G1974" s="31" t="str">
        <f t="shared" si="2"/>
        <v/>
      </c>
      <c r="H1974" s="30"/>
      <c r="I1974" s="21" t="str">
        <f t="shared" si="1"/>
        <v/>
      </c>
      <c r="J1974" s="19"/>
    </row>
    <row r="1975" ht="15.75" customHeight="1">
      <c r="A1975" s="3"/>
      <c r="B1975" s="19"/>
      <c r="C1975" s="19"/>
      <c r="D1975" s="27"/>
      <c r="E1975" s="27"/>
      <c r="F1975" s="28"/>
      <c r="G1975" s="31" t="str">
        <f t="shared" si="2"/>
        <v/>
      </c>
      <c r="H1975" s="30"/>
      <c r="I1975" s="21" t="str">
        <f t="shared" si="1"/>
        <v/>
      </c>
      <c r="J1975" s="19"/>
    </row>
    <row r="1976" ht="15.75" customHeight="1">
      <c r="A1976" s="3"/>
      <c r="B1976" s="19"/>
      <c r="C1976" s="19"/>
      <c r="D1976" s="27"/>
      <c r="E1976" s="27"/>
      <c r="F1976" s="28"/>
      <c r="G1976" s="31" t="str">
        <f t="shared" si="2"/>
        <v/>
      </c>
      <c r="H1976" s="30"/>
      <c r="I1976" s="21" t="str">
        <f t="shared" si="1"/>
        <v/>
      </c>
      <c r="J1976" s="19"/>
    </row>
    <row r="1977" ht="15.75" customHeight="1">
      <c r="A1977" s="3"/>
      <c r="B1977" s="19"/>
      <c r="C1977" s="19"/>
      <c r="D1977" s="27"/>
      <c r="E1977" s="27"/>
      <c r="F1977" s="28"/>
      <c r="G1977" s="31" t="str">
        <f t="shared" si="2"/>
        <v/>
      </c>
      <c r="H1977" s="30"/>
      <c r="I1977" s="21" t="str">
        <f t="shared" si="1"/>
        <v/>
      </c>
      <c r="J1977" s="19"/>
    </row>
    <row r="1978" ht="15.75" customHeight="1">
      <c r="A1978" s="3"/>
      <c r="B1978" s="19"/>
      <c r="C1978" s="19"/>
      <c r="D1978" s="27"/>
      <c r="E1978" s="27"/>
      <c r="F1978" s="28"/>
      <c r="G1978" s="31" t="str">
        <f t="shared" si="2"/>
        <v/>
      </c>
      <c r="H1978" s="30"/>
      <c r="I1978" s="21" t="str">
        <f t="shared" si="1"/>
        <v/>
      </c>
      <c r="J1978" s="19"/>
    </row>
    <row r="1979" ht="15.75" customHeight="1">
      <c r="A1979" s="3"/>
      <c r="B1979" s="19"/>
      <c r="C1979" s="19"/>
      <c r="D1979" s="27"/>
      <c r="E1979" s="27"/>
      <c r="F1979" s="28"/>
      <c r="G1979" s="31" t="str">
        <f t="shared" si="2"/>
        <v/>
      </c>
      <c r="H1979" s="30"/>
      <c r="I1979" s="21" t="str">
        <f t="shared" si="1"/>
        <v/>
      </c>
      <c r="J1979" s="19"/>
    </row>
    <row r="1980" ht="15.75" customHeight="1">
      <c r="A1980" s="3"/>
      <c r="B1980" s="19"/>
      <c r="C1980" s="19"/>
      <c r="D1980" s="27"/>
      <c r="E1980" s="27"/>
      <c r="F1980" s="28"/>
      <c r="G1980" s="31" t="str">
        <f t="shared" si="2"/>
        <v/>
      </c>
      <c r="H1980" s="30"/>
      <c r="I1980" s="21" t="str">
        <f t="shared" si="1"/>
        <v/>
      </c>
      <c r="J1980" s="19"/>
    </row>
    <row r="1981" ht="15.75" customHeight="1">
      <c r="A1981" s="3"/>
      <c r="B1981" s="19"/>
      <c r="C1981" s="19"/>
      <c r="D1981" s="27"/>
      <c r="E1981" s="27"/>
      <c r="F1981" s="28"/>
      <c r="G1981" s="31" t="str">
        <f t="shared" si="2"/>
        <v/>
      </c>
      <c r="H1981" s="30"/>
      <c r="I1981" s="21" t="str">
        <f t="shared" si="1"/>
        <v/>
      </c>
      <c r="J1981" s="19"/>
    </row>
    <row r="1982" ht="15.75" customHeight="1">
      <c r="A1982" s="3"/>
      <c r="B1982" s="19"/>
      <c r="C1982" s="19"/>
      <c r="D1982" s="27"/>
      <c r="E1982" s="27"/>
      <c r="F1982" s="28"/>
      <c r="G1982" s="31" t="str">
        <f t="shared" si="2"/>
        <v/>
      </c>
      <c r="H1982" s="30"/>
      <c r="I1982" s="21" t="str">
        <f t="shared" si="1"/>
        <v/>
      </c>
      <c r="J1982" s="19"/>
    </row>
    <row r="1983" ht="15.75" customHeight="1">
      <c r="A1983" s="3"/>
      <c r="B1983" s="19"/>
      <c r="C1983" s="19"/>
      <c r="D1983" s="27"/>
      <c r="E1983" s="27"/>
      <c r="F1983" s="28"/>
      <c r="G1983" s="31" t="str">
        <f t="shared" si="2"/>
        <v/>
      </c>
      <c r="H1983" s="30"/>
      <c r="I1983" s="21" t="str">
        <f t="shared" si="1"/>
        <v/>
      </c>
      <c r="J1983" s="19"/>
    </row>
    <row r="1984" ht="15.75" customHeight="1">
      <c r="A1984" s="3"/>
      <c r="B1984" s="19"/>
      <c r="C1984" s="19"/>
      <c r="D1984" s="27"/>
      <c r="E1984" s="27"/>
      <c r="F1984" s="28"/>
      <c r="G1984" s="31" t="str">
        <f t="shared" si="2"/>
        <v/>
      </c>
      <c r="H1984" s="30"/>
      <c r="I1984" s="21" t="str">
        <f t="shared" si="1"/>
        <v/>
      </c>
      <c r="J1984" s="19"/>
    </row>
    <row r="1985" ht="15.75" customHeight="1">
      <c r="A1985" s="3"/>
      <c r="B1985" s="19"/>
      <c r="C1985" s="19"/>
      <c r="D1985" s="27"/>
      <c r="E1985" s="27"/>
      <c r="F1985" s="28"/>
      <c r="G1985" s="31" t="str">
        <f t="shared" si="2"/>
        <v/>
      </c>
      <c r="H1985" s="30"/>
      <c r="I1985" s="21" t="str">
        <f t="shared" si="1"/>
        <v/>
      </c>
      <c r="J1985" s="19"/>
    </row>
    <row r="1986" ht="15.75" customHeight="1">
      <c r="A1986" s="3"/>
      <c r="B1986" s="19"/>
      <c r="C1986" s="19"/>
      <c r="D1986" s="27"/>
      <c r="E1986" s="27"/>
      <c r="F1986" s="28"/>
      <c r="G1986" s="31" t="str">
        <f t="shared" si="2"/>
        <v/>
      </c>
      <c r="H1986" s="30"/>
      <c r="I1986" s="21" t="str">
        <f t="shared" si="1"/>
        <v/>
      </c>
      <c r="J1986" s="19"/>
    </row>
    <row r="1987" ht="15.75" customHeight="1">
      <c r="A1987" s="3"/>
      <c r="B1987" s="19"/>
      <c r="C1987" s="19"/>
      <c r="D1987" s="27"/>
      <c r="E1987" s="27"/>
      <c r="F1987" s="28"/>
      <c r="G1987" s="31" t="str">
        <f t="shared" si="2"/>
        <v/>
      </c>
      <c r="H1987" s="30"/>
      <c r="I1987" s="21" t="str">
        <f t="shared" si="1"/>
        <v/>
      </c>
      <c r="J1987" s="19"/>
    </row>
    <row r="1988" ht="15.75" customHeight="1">
      <c r="A1988" s="3"/>
      <c r="B1988" s="19"/>
      <c r="C1988" s="19"/>
      <c r="D1988" s="27"/>
      <c r="E1988" s="27"/>
      <c r="F1988" s="28"/>
      <c r="G1988" s="31" t="str">
        <f t="shared" si="2"/>
        <v/>
      </c>
      <c r="H1988" s="30"/>
      <c r="I1988" s="21" t="str">
        <f t="shared" si="1"/>
        <v/>
      </c>
      <c r="J1988" s="19"/>
    </row>
    <row r="1989" ht="15.75" customHeight="1">
      <c r="A1989" s="3"/>
      <c r="B1989" s="19"/>
      <c r="C1989" s="19"/>
      <c r="D1989" s="27"/>
      <c r="E1989" s="27"/>
      <c r="F1989" s="28"/>
      <c r="G1989" s="31" t="str">
        <f t="shared" si="2"/>
        <v/>
      </c>
      <c r="H1989" s="30"/>
      <c r="I1989" s="21" t="str">
        <f t="shared" si="1"/>
        <v/>
      </c>
      <c r="J1989" s="19"/>
    </row>
    <row r="1990" ht="15.75" customHeight="1">
      <c r="A1990" s="3"/>
      <c r="B1990" s="19"/>
      <c r="C1990" s="19"/>
      <c r="D1990" s="27"/>
      <c r="E1990" s="27"/>
      <c r="F1990" s="28"/>
      <c r="G1990" s="31" t="str">
        <f t="shared" si="2"/>
        <v/>
      </c>
      <c r="H1990" s="30"/>
      <c r="I1990" s="21" t="str">
        <f t="shared" si="1"/>
        <v/>
      </c>
      <c r="J1990" s="19"/>
    </row>
    <row r="1991" ht="15.75" customHeight="1">
      <c r="A1991" s="3"/>
      <c r="B1991" s="19"/>
      <c r="C1991" s="19"/>
      <c r="D1991" s="27"/>
      <c r="E1991" s="27"/>
      <c r="F1991" s="28"/>
      <c r="G1991" s="31" t="str">
        <f t="shared" si="2"/>
        <v/>
      </c>
      <c r="H1991" s="30"/>
      <c r="I1991" s="21" t="str">
        <f t="shared" si="1"/>
        <v/>
      </c>
      <c r="J1991" s="19"/>
    </row>
    <row r="1992" ht="15.75" customHeight="1">
      <c r="A1992" s="3"/>
      <c r="B1992" s="19"/>
      <c r="C1992" s="19"/>
      <c r="D1992" s="27"/>
      <c r="E1992" s="27"/>
      <c r="F1992" s="28"/>
      <c r="G1992" s="31" t="str">
        <f t="shared" si="2"/>
        <v/>
      </c>
      <c r="H1992" s="30"/>
      <c r="I1992" s="21" t="str">
        <f t="shared" si="1"/>
        <v/>
      </c>
      <c r="J1992" s="19"/>
    </row>
    <row r="1993" ht="15.75" customHeight="1">
      <c r="A1993" s="3"/>
      <c r="B1993" s="19"/>
      <c r="C1993" s="19"/>
      <c r="D1993" s="27"/>
      <c r="E1993" s="27"/>
      <c r="F1993" s="28"/>
      <c r="G1993" s="31" t="str">
        <f t="shared" si="2"/>
        <v/>
      </c>
      <c r="H1993" s="30"/>
      <c r="I1993" s="21" t="str">
        <f t="shared" si="1"/>
        <v/>
      </c>
      <c r="J1993" s="19"/>
    </row>
    <row r="1994" ht="15.75" customHeight="1">
      <c r="A1994" s="3"/>
      <c r="B1994" s="19"/>
      <c r="C1994" s="19"/>
      <c r="D1994" s="27"/>
      <c r="E1994" s="27"/>
      <c r="F1994" s="28"/>
      <c r="G1994" s="31" t="str">
        <f t="shared" si="2"/>
        <v/>
      </c>
      <c r="H1994" s="30"/>
      <c r="I1994" s="21" t="str">
        <f t="shared" si="1"/>
        <v/>
      </c>
      <c r="J1994" s="19"/>
    </row>
    <row r="1995" ht="15.75" customHeight="1">
      <c r="A1995" s="3"/>
      <c r="B1995" s="19"/>
      <c r="C1995" s="19"/>
      <c r="D1995" s="27"/>
      <c r="E1995" s="27"/>
      <c r="F1995" s="28"/>
      <c r="G1995" s="31" t="str">
        <f t="shared" si="2"/>
        <v/>
      </c>
      <c r="H1995" s="30"/>
      <c r="I1995" s="21" t="str">
        <f t="shared" si="1"/>
        <v/>
      </c>
      <c r="J1995" s="19"/>
    </row>
    <row r="1996" ht="15.75" customHeight="1">
      <c r="A1996" s="3"/>
      <c r="B1996" s="19"/>
      <c r="C1996" s="19"/>
      <c r="D1996" s="27"/>
      <c r="E1996" s="27"/>
      <c r="F1996" s="28"/>
      <c r="G1996" s="31" t="str">
        <f t="shared" si="2"/>
        <v/>
      </c>
      <c r="H1996" s="30"/>
      <c r="I1996" s="21" t="str">
        <f t="shared" si="1"/>
        <v/>
      </c>
      <c r="J1996" s="19"/>
    </row>
    <row r="1997" ht="15.75" customHeight="1">
      <c r="A1997" s="3"/>
      <c r="B1997" s="19"/>
      <c r="C1997" s="19"/>
      <c r="D1997" s="27"/>
      <c r="E1997" s="27"/>
      <c r="F1997" s="28"/>
      <c r="G1997" s="31" t="str">
        <f t="shared" si="2"/>
        <v/>
      </c>
      <c r="H1997" s="30"/>
      <c r="I1997" s="21" t="str">
        <f t="shared" si="1"/>
        <v/>
      </c>
      <c r="J1997" s="19"/>
    </row>
    <row r="1998" ht="15.75" customHeight="1">
      <c r="A1998" s="3"/>
      <c r="B1998" s="19"/>
      <c r="C1998" s="19"/>
      <c r="D1998" s="27"/>
      <c r="E1998" s="27"/>
      <c r="F1998" s="28"/>
      <c r="G1998" s="31" t="str">
        <f t="shared" si="2"/>
        <v/>
      </c>
      <c r="H1998" s="30"/>
      <c r="I1998" s="21" t="str">
        <f t="shared" si="1"/>
        <v/>
      </c>
      <c r="J1998" s="19"/>
    </row>
    <row r="1999" ht="15.75" customHeight="1">
      <c r="A1999" s="3"/>
      <c r="B1999" s="19"/>
      <c r="C1999" s="19"/>
      <c r="D1999" s="27"/>
      <c r="E1999" s="27"/>
      <c r="F1999" s="28"/>
      <c r="G1999" s="31" t="str">
        <f t="shared" si="2"/>
        <v/>
      </c>
      <c r="H1999" s="30"/>
      <c r="I1999" s="21" t="str">
        <f t="shared" si="1"/>
        <v/>
      </c>
      <c r="J1999" s="19"/>
    </row>
    <row r="2000" ht="15.75" customHeight="1">
      <c r="A2000" s="3"/>
      <c r="B2000" s="19"/>
      <c r="C2000" s="19"/>
      <c r="D2000" s="27"/>
      <c r="E2000" s="27"/>
      <c r="F2000" s="28"/>
      <c r="G2000" s="31" t="str">
        <f t="shared" si="2"/>
        <v/>
      </c>
      <c r="H2000" s="30"/>
      <c r="I2000" s="21" t="str">
        <f t="shared" si="1"/>
        <v/>
      </c>
      <c r="J2000" s="19"/>
    </row>
    <row r="2001" ht="15.75" customHeight="1">
      <c r="A2001" s="3"/>
      <c r="B2001" s="19"/>
      <c r="C2001" s="19"/>
      <c r="D2001" s="27"/>
      <c r="E2001" s="27"/>
      <c r="F2001" s="28"/>
      <c r="G2001" s="31" t="str">
        <f t="shared" si="2"/>
        <v/>
      </c>
      <c r="H2001" s="30"/>
      <c r="I2001" s="21" t="str">
        <f t="shared" si="1"/>
        <v/>
      </c>
      <c r="J2001" s="1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16.0"/>
    <col customWidth="1" min="4" max="4" width="24.0"/>
    <col customWidth="1" min="5" max="5" width="18.0"/>
    <col customWidth="1" min="6" max="6" width="10.0"/>
    <col customWidth="1" min="7" max="8" width="14.0"/>
    <col customWidth="1" min="9" max="9" width="24.0"/>
    <col customWidth="1" min="10" max="26" width="8.71"/>
  </cols>
  <sheetData>
    <row r="1">
      <c r="A1" s="17" t="s">
        <v>29</v>
      </c>
      <c r="B1" s="17" t="s">
        <v>61</v>
      </c>
      <c r="C1" s="17" t="s">
        <v>62</v>
      </c>
      <c r="D1" s="17" t="s">
        <v>63</v>
      </c>
      <c r="E1" s="17" t="s">
        <v>64</v>
      </c>
      <c r="F1" s="17" t="s">
        <v>65</v>
      </c>
      <c r="G1" s="17" t="s">
        <v>66</v>
      </c>
      <c r="H1" s="17" t="s">
        <v>67</v>
      </c>
      <c r="I1" s="17" t="s">
        <v>33</v>
      </c>
    </row>
    <row r="2">
      <c r="A2" s="3"/>
      <c r="B2" s="19"/>
      <c r="C2" s="19"/>
      <c r="D2" s="19"/>
      <c r="E2" s="19"/>
      <c r="F2" s="28"/>
      <c r="G2" s="30"/>
      <c r="H2" s="21" t="str">
        <f t="shared" ref="H2:H2001" si="1">IF(OR(F2="",G2=""),"",F2*G2)</f>
        <v/>
      </c>
      <c r="I2" s="19"/>
    </row>
    <row r="3">
      <c r="A3" s="3"/>
      <c r="B3" s="19"/>
      <c r="C3" s="19"/>
      <c r="D3" s="19"/>
      <c r="E3" s="19"/>
      <c r="F3" s="28"/>
      <c r="G3" s="30"/>
      <c r="H3" s="21" t="str">
        <f t="shared" si="1"/>
        <v/>
      </c>
      <c r="I3" s="19"/>
    </row>
    <row r="4">
      <c r="A4" s="3"/>
      <c r="B4" s="19"/>
      <c r="C4" s="19"/>
      <c r="D4" s="19"/>
      <c r="E4" s="19"/>
      <c r="F4" s="28"/>
      <c r="G4" s="30"/>
      <c r="H4" s="21" t="str">
        <f t="shared" si="1"/>
        <v/>
      </c>
      <c r="I4" s="19"/>
    </row>
    <row r="5">
      <c r="A5" s="3"/>
      <c r="B5" s="19"/>
      <c r="C5" s="19"/>
      <c r="D5" s="19"/>
      <c r="E5" s="19"/>
      <c r="F5" s="28"/>
      <c r="G5" s="30"/>
      <c r="H5" s="21" t="str">
        <f t="shared" si="1"/>
        <v/>
      </c>
      <c r="I5" s="19"/>
    </row>
    <row r="6">
      <c r="A6" s="3"/>
      <c r="B6" s="19"/>
      <c r="C6" s="19"/>
      <c r="D6" s="19"/>
      <c r="E6" s="19"/>
      <c r="F6" s="28"/>
      <c r="G6" s="30"/>
      <c r="H6" s="21" t="str">
        <f t="shared" si="1"/>
        <v/>
      </c>
      <c r="I6" s="19"/>
    </row>
    <row r="7">
      <c r="A7" s="3"/>
      <c r="B7" s="19"/>
      <c r="C7" s="19"/>
      <c r="D7" s="19"/>
      <c r="E7" s="19"/>
      <c r="F7" s="28"/>
      <c r="G7" s="30"/>
      <c r="H7" s="21" t="str">
        <f t="shared" si="1"/>
        <v/>
      </c>
      <c r="I7" s="19"/>
    </row>
    <row r="8">
      <c r="A8" s="3"/>
      <c r="B8" s="19"/>
      <c r="C8" s="19"/>
      <c r="D8" s="19"/>
      <c r="E8" s="19"/>
      <c r="F8" s="28"/>
      <c r="G8" s="30"/>
      <c r="H8" s="21" t="str">
        <f t="shared" si="1"/>
        <v/>
      </c>
      <c r="I8" s="19"/>
    </row>
    <row r="9">
      <c r="A9" s="3"/>
      <c r="B9" s="19"/>
      <c r="C9" s="19"/>
      <c r="D9" s="19"/>
      <c r="E9" s="19"/>
      <c r="F9" s="28"/>
      <c r="G9" s="30"/>
      <c r="H9" s="21" t="str">
        <f t="shared" si="1"/>
        <v/>
      </c>
      <c r="I9" s="19"/>
    </row>
    <row r="10">
      <c r="A10" s="3"/>
      <c r="B10" s="19"/>
      <c r="C10" s="19"/>
      <c r="D10" s="19"/>
      <c r="E10" s="19"/>
      <c r="F10" s="28"/>
      <c r="G10" s="30"/>
      <c r="H10" s="21" t="str">
        <f t="shared" si="1"/>
        <v/>
      </c>
      <c r="I10" s="19"/>
    </row>
    <row r="11">
      <c r="A11" s="3"/>
      <c r="B11" s="19"/>
      <c r="C11" s="19"/>
      <c r="D11" s="19"/>
      <c r="E11" s="19"/>
      <c r="F11" s="28"/>
      <c r="G11" s="30"/>
      <c r="H11" s="21" t="str">
        <f t="shared" si="1"/>
        <v/>
      </c>
      <c r="I11" s="19"/>
    </row>
    <row r="12">
      <c r="A12" s="3"/>
      <c r="B12" s="19"/>
      <c r="C12" s="19"/>
      <c r="D12" s="19"/>
      <c r="E12" s="19"/>
      <c r="F12" s="28"/>
      <c r="G12" s="30"/>
      <c r="H12" s="21" t="str">
        <f t="shared" si="1"/>
        <v/>
      </c>
      <c r="I12" s="19"/>
    </row>
    <row r="13">
      <c r="A13" s="3"/>
      <c r="B13" s="19"/>
      <c r="C13" s="19"/>
      <c r="D13" s="19"/>
      <c r="E13" s="19"/>
      <c r="F13" s="28"/>
      <c r="G13" s="30"/>
      <c r="H13" s="21" t="str">
        <f t="shared" si="1"/>
        <v/>
      </c>
      <c r="I13" s="19"/>
    </row>
    <row r="14">
      <c r="A14" s="3"/>
      <c r="B14" s="19"/>
      <c r="C14" s="19"/>
      <c r="D14" s="19"/>
      <c r="E14" s="19"/>
      <c r="F14" s="28"/>
      <c r="G14" s="30"/>
      <c r="H14" s="21" t="str">
        <f t="shared" si="1"/>
        <v/>
      </c>
      <c r="I14" s="19"/>
    </row>
    <row r="15">
      <c r="A15" s="3"/>
      <c r="B15" s="19"/>
      <c r="C15" s="19"/>
      <c r="D15" s="19"/>
      <c r="E15" s="19"/>
      <c r="F15" s="28"/>
      <c r="G15" s="30"/>
      <c r="H15" s="21" t="str">
        <f t="shared" si="1"/>
        <v/>
      </c>
      <c r="I15" s="19"/>
    </row>
    <row r="16">
      <c r="A16" s="3"/>
      <c r="B16" s="19"/>
      <c r="C16" s="19"/>
      <c r="D16" s="19"/>
      <c r="E16" s="19"/>
      <c r="F16" s="28"/>
      <c r="G16" s="30"/>
      <c r="H16" s="21" t="str">
        <f t="shared" si="1"/>
        <v/>
      </c>
      <c r="I16" s="19"/>
    </row>
    <row r="17">
      <c r="A17" s="3"/>
      <c r="B17" s="19"/>
      <c r="C17" s="19"/>
      <c r="D17" s="19"/>
      <c r="E17" s="19"/>
      <c r="F17" s="28"/>
      <c r="G17" s="30"/>
      <c r="H17" s="21" t="str">
        <f t="shared" si="1"/>
        <v/>
      </c>
      <c r="I17" s="19"/>
    </row>
    <row r="18">
      <c r="A18" s="3"/>
      <c r="B18" s="19"/>
      <c r="C18" s="19"/>
      <c r="D18" s="19"/>
      <c r="E18" s="19"/>
      <c r="F18" s="28"/>
      <c r="G18" s="30"/>
      <c r="H18" s="21" t="str">
        <f t="shared" si="1"/>
        <v/>
      </c>
      <c r="I18" s="19"/>
    </row>
    <row r="19">
      <c r="A19" s="3"/>
      <c r="B19" s="19"/>
      <c r="C19" s="19"/>
      <c r="D19" s="19"/>
      <c r="E19" s="19"/>
      <c r="F19" s="28"/>
      <c r="G19" s="30"/>
      <c r="H19" s="21" t="str">
        <f t="shared" si="1"/>
        <v/>
      </c>
      <c r="I19" s="19"/>
    </row>
    <row r="20">
      <c r="A20" s="3"/>
      <c r="B20" s="19"/>
      <c r="C20" s="19"/>
      <c r="D20" s="19"/>
      <c r="E20" s="19"/>
      <c r="F20" s="28"/>
      <c r="G20" s="30"/>
      <c r="H20" s="21" t="str">
        <f t="shared" si="1"/>
        <v/>
      </c>
      <c r="I20" s="19"/>
    </row>
    <row r="21" ht="15.75" customHeight="1">
      <c r="A21" s="3"/>
      <c r="B21" s="19"/>
      <c r="C21" s="19"/>
      <c r="D21" s="19"/>
      <c r="E21" s="19"/>
      <c r="F21" s="28"/>
      <c r="G21" s="30"/>
      <c r="H21" s="21" t="str">
        <f t="shared" si="1"/>
        <v/>
      </c>
      <c r="I21" s="19"/>
    </row>
    <row r="22" ht="15.75" customHeight="1">
      <c r="A22" s="3"/>
      <c r="B22" s="19"/>
      <c r="C22" s="19"/>
      <c r="D22" s="19"/>
      <c r="E22" s="19"/>
      <c r="F22" s="28"/>
      <c r="G22" s="30"/>
      <c r="H22" s="21" t="str">
        <f t="shared" si="1"/>
        <v/>
      </c>
      <c r="I22" s="19"/>
    </row>
    <row r="23" ht="15.75" customHeight="1">
      <c r="A23" s="3"/>
      <c r="B23" s="19"/>
      <c r="C23" s="19"/>
      <c r="D23" s="19"/>
      <c r="E23" s="19"/>
      <c r="F23" s="28"/>
      <c r="G23" s="30"/>
      <c r="H23" s="21" t="str">
        <f t="shared" si="1"/>
        <v/>
      </c>
      <c r="I23" s="19"/>
    </row>
    <row r="24" ht="15.75" customHeight="1">
      <c r="A24" s="3"/>
      <c r="B24" s="19"/>
      <c r="C24" s="19"/>
      <c r="D24" s="19"/>
      <c r="E24" s="19"/>
      <c r="F24" s="28"/>
      <c r="G24" s="30"/>
      <c r="H24" s="21" t="str">
        <f t="shared" si="1"/>
        <v/>
      </c>
      <c r="I24" s="19"/>
    </row>
    <row r="25" ht="15.75" customHeight="1">
      <c r="A25" s="3"/>
      <c r="B25" s="19"/>
      <c r="C25" s="19"/>
      <c r="D25" s="19"/>
      <c r="E25" s="19"/>
      <c r="F25" s="28"/>
      <c r="G25" s="30"/>
      <c r="H25" s="21" t="str">
        <f t="shared" si="1"/>
        <v/>
      </c>
      <c r="I25" s="19"/>
    </row>
    <row r="26" ht="15.75" customHeight="1">
      <c r="A26" s="3"/>
      <c r="B26" s="19"/>
      <c r="C26" s="19"/>
      <c r="D26" s="19"/>
      <c r="E26" s="19"/>
      <c r="F26" s="28"/>
      <c r="G26" s="30"/>
      <c r="H26" s="21" t="str">
        <f t="shared" si="1"/>
        <v/>
      </c>
      <c r="I26" s="19"/>
    </row>
    <row r="27" ht="15.75" customHeight="1">
      <c r="A27" s="3"/>
      <c r="B27" s="19"/>
      <c r="C27" s="19"/>
      <c r="D27" s="19"/>
      <c r="E27" s="19"/>
      <c r="F27" s="28"/>
      <c r="G27" s="30"/>
      <c r="H27" s="21" t="str">
        <f t="shared" si="1"/>
        <v/>
      </c>
      <c r="I27" s="19"/>
    </row>
    <row r="28" ht="15.75" customHeight="1">
      <c r="A28" s="3"/>
      <c r="B28" s="19"/>
      <c r="C28" s="19"/>
      <c r="D28" s="19"/>
      <c r="E28" s="19"/>
      <c r="F28" s="28"/>
      <c r="G28" s="30"/>
      <c r="H28" s="21" t="str">
        <f t="shared" si="1"/>
        <v/>
      </c>
      <c r="I28" s="19"/>
    </row>
    <row r="29" ht="15.75" customHeight="1">
      <c r="A29" s="3"/>
      <c r="B29" s="19"/>
      <c r="C29" s="19"/>
      <c r="D29" s="19"/>
      <c r="E29" s="19"/>
      <c r="F29" s="28"/>
      <c r="G29" s="30"/>
      <c r="H29" s="21" t="str">
        <f t="shared" si="1"/>
        <v/>
      </c>
      <c r="I29" s="19"/>
    </row>
    <row r="30" ht="15.75" customHeight="1">
      <c r="A30" s="3"/>
      <c r="B30" s="19"/>
      <c r="C30" s="19"/>
      <c r="D30" s="19"/>
      <c r="E30" s="19"/>
      <c r="F30" s="28"/>
      <c r="G30" s="30"/>
      <c r="H30" s="21" t="str">
        <f t="shared" si="1"/>
        <v/>
      </c>
      <c r="I30" s="19"/>
    </row>
    <row r="31" ht="15.75" customHeight="1">
      <c r="A31" s="3"/>
      <c r="B31" s="19"/>
      <c r="C31" s="19"/>
      <c r="D31" s="19"/>
      <c r="E31" s="19"/>
      <c r="F31" s="28"/>
      <c r="G31" s="30"/>
      <c r="H31" s="21" t="str">
        <f t="shared" si="1"/>
        <v/>
      </c>
      <c r="I31" s="19"/>
    </row>
    <row r="32" ht="15.75" customHeight="1">
      <c r="A32" s="3"/>
      <c r="B32" s="19"/>
      <c r="C32" s="19"/>
      <c r="D32" s="19"/>
      <c r="E32" s="19"/>
      <c r="F32" s="28"/>
      <c r="G32" s="30"/>
      <c r="H32" s="21" t="str">
        <f t="shared" si="1"/>
        <v/>
      </c>
      <c r="I32" s="19"/>
    </row>
    <row r="33" ht="15.75" customHeight="1">
      <c r="A33" s="3"/>
      <c r="B33" s="19"/>
      <c r="C33" s="19"/>
      <c r="D33" s="19"/>
      <c r="E33" s="19"/>
      <c r="F33" s="28"/>
      <c r="G33" s="30"/>
      <c r="H33" s="21" t="str">
        <f t="shared" si="1"/>
        <v/>
      </c>
      <c r="I33" s="19"/>
    </row>
    <row r="34" ht="15.75" customHeight="1">
      <c r="A34" s="3"/>
      <c r="B34" s="19"/>
      <c r="C34" s="19"/>
      <c r="D34" s="19"/>
      <c r="E34" s="19"/>
      <c r="F34" s="28"/>
      <c r="G34" s="30"/>
      <c r="H34" s="21" t="str">
        <f t="shared" si="1"/>
        <v/>
      </c>
      <c r="I34" s="19"/>
    </row>
    <row r="35" ht="15.75" customHeight="1">
      <c r="A35" s="3"/>
      <c r="B35" s="19"/>
      <c r="C35" s="19"/>
      <c r="D35" s="19"/>
      <c r="E35" s="19"/>
      <c r="F35" s="28"/>
      <c r="G35" s="30"/>
      <c r="H35" s="21" t="str">
        <f t="shared" si="1"/>
        <v/>
      </c>
      <c r="I35" s="19"/>
    </row>
    <row r="36" ht="15.75" customHeight="1">
      <c r="A36" s="3"/>
      <c r="B36" s="19"/>
      <c r="C36" s="19"/>
      <c r="D36" s="19"/>
      <c r="E36" s="19"/>
      <c r="F36" s="28"/>
      <c r="G36" s="30"/>
      <c r="H36" s="21" t="str">
        <f t="shared" si="1"/>
        <v/>
      </c>
      <c r="I36" s="19"/>
    </row>
    <row r="37" ht="15.75" customHeight="1">
      <c r="A37" s="3"/>
      <c r="B37" s="19"/>
      <c r="C37" s="19"/>
      <c r="D37" s="19"/>
      <c r="E37" s="19"/>
      <c r="F37" s="28"/>
      <c r="G37" s="30"/>
      <c r="H37" s="21" t="str">
        <f t="shared" si="1"/>
        <v/>
      </c>
      <c r="I37" s="19"/>
    </row>
    <row r="38" ht="15.75" customHeight="1">
      <c r="A38" s="3"/>
      <c r="B38" s="19"/>
      <c r="C38" s="19"/>
      <c r="D38" s="19"/>
      <c r="E38" s="19"/>
      <c r="F38" s="28"/>
      <c r="G38" s="30"/>
      <c r="H38" s="21" t="str">
        <f t="shared" si="1"/>
        <v/>
      </c>
      <c r="I38" s="19"/>
    </row>
    <row r="39" ht="15.75" customHeight="1">
      <c r="A39" s="3"/>
      <c r="B39" s="19"/>
      <c r="C39" s="19"/>
      <c r="D39" s="19"/>
      <c r="E39" s="19"/>
      <c r="F39" s="28"/>
      <c r="G39" s="30"/>
      <c r="H39" s="21" t="str">
        <f t="shared" si="1"/>
        <v/>
      </c>
      <c r="I39" s="19"/>
    </row>
    <row r="40" ht="15.75" customHeight="1">
      <c r="A40" s="3"/>
      <c r="B40" s="19"/>
      <c r="C40" s="19"/>
      <c r="D40" s="19"/>
      <c r="E40" s="19"/>
      <c r="F40" s="28"/>
      <c r="G40" s="30"/>
      <c r="H40" s="21" t="str">
        <f t="shared" si="1"/>
        <v/>
      </c>
      <c r="I40" s="19"/>
    </row>
    <row r="41" ht="15.75" customHeight="1">
      <c r="A41" s="3"/>
      <c r="B41" s="19"/>
      <c r="C41" s="19"/>
      <c r="D41" s="19"/>
      <c r="E41" s="19"/>
      <c r="F41" s="28"/>
      <c r="G41" s="30"/>
      <c r="H41" s="21" t="str">
        <f t="shared" si="1"/>
        <v/>
      </c>
      <c r="I41" s="19"/>
    </row>
    <row r="42" ht="15.75" customHeight="1">
      <c r="A42" s="3"/>
      <c r="B42" s="19"/>
      <c r="C42" s="19"/>
      <c r="D42" s="19"/>
      <c r="E42" s="19"/>
      <c r="F42" s="28"/>
      <c r="G42" s="30"/>
      <c r="H42" s="21" t="str">
        <f t="shared" si="1"/>
        <v/>
      </c>
      <c r="I42" s="19"/>
    </row>
    <row r="43" ht="15.75" customHeight="1">
      <c r="A43" s="3"/>
      <c r="B43" s="19"/>
      <c r="C43" s="19"/>
      <c r="D43" s="19"/>
      <c r="E43" s="19"/>
      <c r="F43" s="28"/>
      <c r="G43" s="30"/>
      <c r="H43" s="21" t="str">
        <f t="shared" si="1"/>
        <v/>
      </c>
      <c r="I43" s="19"/>
    </row>
    <row r="44" ht="15.75" customHeight="1">
      <c r="A44" s="3"/>
      <c r="B44" s="19"/>
      <c r="C44" s="19"/>
      <c r="D44" s="19"/>
      <c r="E44" s="19"/>
      <c r="F44" s="28"/>
      <c r="G44" s="30"/>
      <c r="H44" s="21" t="str">
        <f t="shared" si="1"/>
        <v/>
      </c>
      <c r="I44" s="19"/>
    </row>
    <row r="45" ht="15.75" customHeight="1">
      <c r="A45" s="3"/>
      <c r="B45" s="19"/>
      <c r="C45" s="19"/>
      <c r="D45" s="19"/>
      <c r="E45" s="19"/>
      <c r="F45" s="28"/>
      <c r="G45" s="30"/>
      <c r="H45" s="21" t="str">
        <f t="shared" si="1"/>
        <v/>
      </c>
      <c r="I45" s="19"/>
    </row>
    <row r="46" ht="15.75" customHeight="1">
      <c r="A46" s="3"/>
      <c r="B46" s="19"/>
      <c r="C46" s="19"/>
      <c r="D46" s="19"/>
      <c r="E46" s="19"/>
      <c r="F46" s="28"/>
      <c r="G46" s="30"/>
      <c r="H46" s="21" t="str">
        <f t="shared" si="1"/>
        <v/>
      </c>
      <c r="I46" s="19"/>
    </row>
    <row r="47" ht="15.75" customHeight="1">
      <c r="A47" s="3"/>
      <c r="B47" s="19"/>
      <c r="C47" s="19"/>
      <c r="D47" s="19"/>
      <c r="E47" s="19"/>
      <c r="F47" s="28"/>
      <c r="G47" s="30"/>
      <c r="H47" s="21" t="str">
        <f t="shared" si="1"/>
        <v/>
      </c>
      <c r="I47" s="19"/>
    </row>
    <row r="48" ht="15.75" customHeight="1">
      <c r="A48" s="3"/>
      <c r="B48" s="19"/>
      <c r="C48" s="19"/>
      <c r="D48" s="19"/>
      <c r="E48" s="19"/>
      <c r="F48" s="28"/>
      <c r="G48" s="30"/>
      <c r="H48" s="21" t="str">
        <f t="shared" si="1"/>
        <v/>
      </c>
      <c r="I48" s="19"/>
    </row>
    <row r="49" ht="15.75" customHeight="1">
      <c r="A49" s="3"/>
      <c r="B49" s="19"/>
      <c r="C49" s="19"/>
      <c r="D49" s="19"/>
      <c r="E49" s="19"/>
      <c r="F49" s="28"/>
      <c r="G49" s="30"/>
      <c r="H49" s="21" t="str">
        <f t="shared" si="1"/>
        <v/>
      </c>
      <c r="I49" s="19"/>
    </row>
    <row r="50" ht="15.75" customHeight="1">
      <c r="A50" s="3"/>
      <c r="B50" s="19"/>
      <c r="C50" s="19"/>
      <c r="D50" s="19"/>
      <c r="E50" s="19"/>
      <c r="F50" s="28"/>
      <c r="G50" s="30"/>
      <c r="H50" s="21" t="str">
        <f t="shared" si="1"/>
        <v/>
      </c>
      <c r="I50" s="19"/>
    </row>
    <row r="51" ht="15.75" customHeight="1">
      <c r="A51" s="3"/>
      <c r="B51" s="19"/>
      <c r="C51" s="19"/>
      <c r="D51" s="19"/>
      <c r="E51" s="19"/>
      <c r="F51" s="28"/>
      <c r="G51" s="30"/>
      <c r="H51" s="21" t="str">
        <f t="shared" si="1"/>
        <v/>
      </c>
      <c r="I51" s="19"/>
    </row>
    <row r="52" ht="15.75" customHeight="1">
      <c r="A52" s="3"/>
      <c r="B52" s="19"/>
      <c r="C52" s="19"/>
      <c r="D52" s="19"/>
      <c r="E52" s="19"/>
      <c r="F52" s="28"/>
      <c r="G52" s="30"/>
      <c r="H52" s="21" t="str">
        <f t="shared" si="1"/>
        <v/>
      </c>
      <c r="I52" s="19"/>
    </row>
    <row r="53" ht="15.75" customHeight="1">
      <c r="A53" s="3"/>
      <c r="B53" s="19"/>
      <c r="C53" s="19"/>
      <c r="D53" s="19"/>
      <c r="E53" s="19"/>
      <c r="F53" s="28"/>
      <c r="G53" s="30"/>
      <c r="H53" s="21" t="str">
        <f t="shared" si="1"/>
        <v/>
      </c>
      <c r="I53" s="19"/>
    </row>
    <row r="54" ht="15.75" customHeight="1">
      <c r="A54" s="3"/>
      <c r="B54" s="19"/>
      <c r="C54" s="19"/>
      <c r="D54" s="19"/>
      <c r="E54" s="19"/>
      <c r="F54" s="28"/>
      <c r="G54" s="30"/>
      <c r="H54" s="21" t="str">
        <f t="shared" si="1"/>
        <v/>
      </c>
      <c r="I54" s="19"/>
    </row>
    <row r="55" ht="15.75" customHeight="1">
      <c r="A55" s="3"/>
      <c r="B55" s="19"/>
      <c r="C55" s="19"/>
      <c r="D55" s="19"/>
      <c r="E55" s="19"/>
      <c r="F55" s="28"/>
      <c r="G55" s="30"/>
      <c r="H55" s="21" t="str">
        <f t="shared" si="1"/>
        <v/>
      </c>
      <c r="I55" s="19"/>
    </row>
    <row r="56" ht="15.75" customHeight="1">
      <c r="A56" s="3"/>
      <c r="B56" s="19"/>
      <c r="C56" s="19"/>
      <c r="D56" s="19"/>
      <c r="E56" s="19"/>
      <c r="F56" s="28"/>
      <c r="G56" s="30"/>
      <c r="H56" s="21" t="str">
        <f t="shared" si="1"/>
        <v/>
      </c>
      <c r="I56" s="19"/>
    </row>
    <row r="57" ht="15.75" customHeight="1">
      <c r="A57" s="3"/>
      <c r="B57" s="19"/>
      <c r="C57" s="19"/>
      <c r="D57" s="19"/>
      <c r="E57" s="19"/>
      <c r="F57" s="28"/>
      <c r="G57" s="30"/>
      <c r="H57" s="21" t="str">
        <f t="shared" si="1"/>
        <v/>
      </c>
      <c r="I57" s="19"/>
    </row>
    <row r="58" ht="15.75" customHeight="1">
      <c r="A58" s="3"/>
      <c r="B58" s="19"/>
      <c r="C58" s="19"/>
      <c r="D58" s="19"/>
      <c r="E58" s="19"/>
      <c r="F58" s="28"/>
      <c r="G58" s="30"/>
      <c r="H58" s="21" t="str">
        <f t="shared" si="1"/>
        <v/>
      </c>
      <c r="I58" s="19"/>
    </row>
    <row r="59" ht="15.75" customHeight="1">
      <c r="A59" s="3"/>
      <c r="B59" s="19"/>
      <c r="C59" s="19"/>
      <c r="D59" s="19"/>
      <c r="E59" s="19"/>
      <c r="F59" s="28"/>
      <c r="G59" s="30"/>
      <c r="H59" s="21" t="str">
        <f t="shared" si="1"/>
        <v/>
      </c>
      <c r="I59" s="19"/>
    </row>
    <row r="60" ht="15.75" customHeight="1">
      <c r="A60" s="3"/>
      <c r="B60" s="19"/>
      <c r="C60" s="19"/>
      <c r="D60" s="19"/>
      <c r="E60" s="19"/>
      <c r="F60" s="28"/>
      <c r="G60" s="30"/>
      <c r="H60" s="21" t="str">
        <f t="shared" si="1"/>
        <v/>
      </c>
      <c r="I60" s="19"/>
    </row>
    <row r="61" ht="15.75" customHeight="1">
      <c r="A61" s="3"/>
      <c r="B61" s="19"/>
      <c r="C61" s="19"/>
      <c r="D61" s="19"/>
      <c r="E61" s="19"/>
      <c r="F61" s="28"/>
      <c r="G61" s="30"/>
      <c r="H61" s="21" t="str">
        <f t="shared" si="1"/>
        <v/>
      </c>
      <c r="I61" s="19"/>
    </row>
    <row r="62" ht="15.75" customHeight="1">
      <c r="A62" s="3"/>
      <c r="B62" s="19"/>
      <c r="C62" s="19"/>
      <c r="D62" s="19"/>
      <c r="E62" s="19"/>
      <c r="F62" s="28"/>
      <c r="G62" s="30"/>
      <c r="H62" s="21" t="str">
        <f t="shared" si="1"/>
        <v/>
      </c>
      <c r="I62" s="19"/>
    </row>
    <row r="63" ht="15.75" customHeight="1">
      <c r="A63" s="3"/>
      <c r="B63" s="19"/>
      <c r="C63" s="19"/>
      <c r="D63" s="19"/>
      <c r="E63" s="19"/>
      <c r="F63" s="28"/>
      <c r="G63" s="30"/>
      <c r="H63" s="21" t="str">
        <f t="shared" si="1"/>
        <v/>
      </c>
      <c r="I63" s="19"/>
    </row>
    <row r="64" ht="15.75" customHeight="1">
      <c r="A64" s="3"/>
      <c r="B64" s="19"/>
      <c r="C64" s="19"/>
      <c r="D64" s="19"/>
      <c r="E64" s="19"/>
      <c r="F64" s="28"/>
      <c r="G64" s="30"/>
      <c r="H64" s="21" t="str">
        <f t="shared" si="1"/>
        <v/>
      </c>
      <c r="I64" s="19"/>
    </row>
    <row r="65" ht="15.75" customHeight="1">
      <c r="A65" s="3"/>
      <c r="B65" s="19"/>
      <c r="C65" s="19"/>
      <c r="D65" s="19"/>
      <c r="E65" s="19"/>
      <c r="F65" s="28"/>
      <c r="G65" s="30"/>
      <c r="H65" s="21" t="str">
        <f t="shared" si="1"/>
        <v/>
      </c>
      <c r="I65" s="19"/>
    </row>
    <row r="66" ht="15.75" customHeight="1">
      <c r="A66" s="3"/>
      <c r="B66" s="19"/>
      <c r="C66" s="19"/>
      <c r="D66" s="19"/>
      <c r="E66" s="19"/>
      <c r="F66" s="28"/>
      <c r="G66" s="30"/>
      <c r="H66" s="21" t="str">
        <f t="shared" si="1"/>
        <v/>
      </c>
      <c r="I66" s="19"/>
    </row>
    <row r="67" ht="15.75" customHeight="1">
      <c r="A67" s="3"/>
      <c r="B67" s="19"/>
      <c r="C67" s="19"/>
      <c r="D67" s="19"/>
      <c r="E67" s="19"/>
      <c r="F67" s="28"/>
      <c r="G67" s="30"/>
      <c r="H67" s="21" t="str">
        <f t="shared" si="1"/>
        <v/>
      </c>
      <c r="I67" s="19"/>
    </row>
    <row r="68" ht="15.75" customHeight="1">
      <c r="A68" s="3"/>
      <c r="B68" s="19"/>
      <c r="C68" s="19"/>
      <c r="D68" s="19"/>
      <c r="E68" s="19"/>
      <c r="F68" s="28"/>
      <c r="G68" s="30"/>
      <c r="H68" s="21" t="str">
        <f t="shared" si="1"/>
        <v/>
      </c>
      <c r="I68" s="19"/>
    </row>
    <row r="69" ht="15.75" customHeight="1">
      <c r="A69" s="3"/>
      <c r="B69" s="19"/>
      <c r="C69" s="19"/>
      <c r="D69" s="19"/>
      <c r="E69" s="19"/>
      <c r="F69" s="28"/>
      <c r="G69" s="30"/>
      <c r="H69" s="21" t="str">
        <f t="shared" si="1"/>
        <v/>
      </c>
      <c r="I69" s="19"/>
    </row>
    <row r="70" ht="15.75" customHeight="1">
      <c r="A70" s="3"/>
      <c r="B70" s="19"/>
      <c r="C70" s="19"/>
      <c r="D70" s="19"/>
      <c r="E70" s="19"/>
      <c r="F70" s="28"/>
      <c r="G70" s="30"/>
      <c r="H70" s="21" t="str">
        <f t="shared" si="1"/>
        <v/>
      </c>
      <c r="I70" s="19"/>
    </row>
    <row r="71" ht="15.75" customHeight="1">
      <c r="A71" s="3"/>
      <c r="B71" s="19"/>
      <c r="C71" s="19"/>
      <c r="D71" s="19"/>
      <c r="E71" s="19"/>
      <c r="F71" s="28"/>
      <c r="G71" s="30"/>
      <c r="H71" s="21" t="str">
        <f t="shared" si="1"/>
        <v/>
      </c>
      <c r="I71" s="19"/>
    </row>
    <row r="72" ht="15.75" customHeight="1">
      <c r="A72" s="3"/>
      <c r="B72" s="19"/>
      <c r="C72" s="19"/>
      <c r="D72" s="19"/>
      <c r="E72" s="19"/>
      <c r="F72" s="28"/>
      <c r="G72" s="30"/>
      <c r="H72" s="21" t="str">
        <f t="shared" si="1"/>
        <v/>
      </c>
      <c r="I72" s="19"/>
    </row>
    <row r="73" ht="15.75" customHeight="1">
      <c r="A73" s="3"/>
      <c r="B73" s="19"/>
      <c r="C73" s="19"/>
      <c r="D73" s="19"/>
      <c r="E73" s="19"/>
      <c r="F73" s="28"/>
      <c r="G73" s="30"/>
      <c r="H73" s="21" t="str">
        <f t="shared" si="1"/>
        <v/>
      </c>
      <c r="I73" s="19"/>
    </row>
    <row r="74" ht="15.75" customHeight="1">
      <c r="A74" s="3"/>
      <c r="B74" s="19"/>
      <c r="C74" s="19"/>
      <c r="D74" s="19"/>
      <c r="E74" s="19"/>
      <c r="F74" s="28"/>
      <c r="G74" s="30"/>
      <c r="H74" s="21" t="str">
        <f t="shared" si="1"/>
        <v/>
      </c>
      <c r="I74" s="19"/>
    </row>
    <row r="75" ht="15.75" customHeight="1">
      <c r="A75" s="3"/>
      <c r="B75" s="19"/>
      <c r="C75" s="19"/>
      <c r="D75" s="19"/>
      <c r="E75" s="19"/>
      <c r="F75" s="28"/>
      <c r="G75" s="30"/>
      <c r="H75" s="21" t="str">
        <f t="shared" si="1"/>
        <v/>
      </c>
      <c r="I75" s="19"/>
    </row>
    <row r="76" ht="15.75" customHeight="1">
      <c r="A76" s="3"/>
      <c r="B76" s="19"/>
      <c r="C76" s="19"/>
      <c r="D76" s="19"/>
      <c r="E76" s="19"/>
      <c r="F76" s="28"/>
      <c r="G76" s="30"/>
      <c r="H76" s="21" t="str">
        <f t="shared" si="1"/>
        <v/>
      </c>
      <c r="I76" s="19"/>
    </row>
    <row r="77" ht="15.75" customHeight="1">
      <c r="A77" s="3"/>
      <c r="B77" s="19"/>
      <c r="C77" s="19"/>
      <c r="D77" s="19"/>
      <c r="E77" s="19"/>
      <c r="F77" s="28"/>
      <c r="G77" s="30"/>
      <c r="H77" s="21" t="str">
        <f t="shared" si="1"/>
        <v/>
      </c>
      <c r="I77" s="19"/>
    </row>
    <row r="78" ht="15.75" customHeight="1">
      <c r="A78" s="3"/>
      <c r="B78" s="19"/>
      <c r="C78" s="19"/>
      <c r="D78" s="19"/>
      <c r="E78" s="19"/>
      <c r="F78" s="28"/>
      <c r="G78" s="30"/>
      <c r="H78" s="21" t="str">
        <f t="shared" si="1"/>
        <v/>
      </c>
      <c r="I78" s="19"/>
    </row>
    <row r="79" ht="15.75" customHeight="1">
      <c r="A79" s="3"/>
      <c r="B79" s="19"/>
      <c r="C79" s="19"/>
      <c r="D79" s="19"/>
      <c r="E79" s="19"/>
      <c r="F79" s="28"/>
      <c r="G79" s="30"/>
      <c r="H79" s="21" t="str">
        <f t="shared" si="1"/>
        <v/>
      </c>
      <c r="I79" s="19"/>
    </row>
    <row r="80" ht="15.75" customHeight="1">
      <c r="A80" s="3"/>
      <c r="B80" s="19"/>
      <c r="C80" s="19"/>
      <c r="D80" s="19"/>
      <c r="E80" s="19"/>
      <c r="F80" s="28"/>
      <c r="G80" s="30"/>
      <c r="H80" s="21" t="str">
        <f t="shared" si="1"/>
        <v/>
      </c>
      <c r="I80" s="19"/>
    </row>
    <row r="81" ht="15.75" customHeight="1">
      <c r="A81" s="3"/>
      <c r="B81" s="19"/>
      <c r="C81" s="19"/>
      <c r="D81" s="19"/>
      <c r="E81" s="19"/>
      <c r="F81" s="28"/>
      <c r="G81" s="30"/>
      <c r="H81" s="21" t="str">
        <f t="shared" si="1"/>
        <v/>
      </c>
      <c r="I81" s="19"/>
    </row>
    <row r="82" ht="15.75" customHeight="1">
      <c r="A82" s="3"/>
      <c r="B82" s="19"/>
      <c r="C82" s="19"/>
      <c r="D82" s="19"/>
      <c r="E82" s="19"/>
      <c r="F82" s="28"/>
      <c r="G82" s="30"/>
      <c r="H82" s="21" t="str">
        <f t="shared" si="1"/>
        <v/>
      </c>
      <c r="I82" s="19"/>
    </row>
    <row r="83" ht="15.75" customHeight="1">
      <c r="A83" s="3"/>
      <c r="B83" s="19"/>
      <c r="C83" s="19"/>
      <c r="D83" s="19"/>
      <c r="E83" s="19"/>
      <c r="F83" s="28"/>
      <c r="G83" s="30"/>
      <c r="H83" s="21" t="str">
        <f t="shared" si="1"/>
        <v/>
      </c>
      <c r="I83" s="19"/>
    </row>
    <row r="84" ht="15.75" customHeight="1">
      <c r="A84" s="3"/>
      <c r="B84" s="19"/>
      <c r="C84" s="19"/>
      <c r="D84" s="19"/>
      <c r="E84" s="19"/>
      <c r="F84" s="28"/>
      <c r="G84" s="30"/>
      <c r="H84" s="21" t="str">
        <f t="shared" si="1"/>
        <v/>
      </c>
      <c r="I84" s="19"/>
    </row>
    <row r="85" ht="15.75" customHeight="1">
      <c r="A85" s="3"/>
      <c r="B85" s="19"/>
      <c r="C85" s="19"/>
      <c r="D85" s="19"/>
      <c r="E85" s="19"/>
      <c r="F85" s="28"/>
      <c r="G85" s="30"/>
      <c r="H85" s="21" t="str">
        <f t="shared" si="1"/>
        <v/>
      </c>
      <c r="I85" s="19"/>
    </row>
    <row r="86" ht="15.75" customHeight="1">
      <c r="A86" s="3"/>
      <c r="B86" s="19"/>
      <c r="C86" s="19"/>
      <c r="D86" s="19"/>
      <c r="E86" s="19"/>
      <c r="F86" s="28"/>
      <c r="G86" s="30"/>
      <c r="H86" s="21" t="str">
        <f t="shared" si="1"/>
        <v/>
      </c>
      <c r="I86" s="19"/>
    </row>
    <row r="87" ht="15.75" customHeight="1">
      <c r="A87" s="3"/>
      <c r="B87" s="19"/>
      <c r="C87" s="19"/>
      <c r="D87" s="19"/>
      <c r="E87" s="19"/>
      <c r="F87" s="28"/>
      <c r="G87" s="30"/>
      <c r="H87" s="21" t="str">
        <f t="shared" si="1"/>
        <v/>
      </c>
      <c r="I87" s="19"/>
    </row>
    <row r="88" ht="15.75" customHeight="1">
      <c r="A88" s="3"/>
      <c r="B88" s="19"/>
      <c r="C88" s="19"/>
      <c r="D88" s="19"/>
      <c r="E88" s="19"/>
      <c r="F88" s="28"/>
      <c r="G88" s="30"/>
      <c r="H88" s="21" t="str">
        <f t="shared" si="1"/>
        <v/>
      </c>
      <c r="I88" s="19"/>
    </row>
    <row r="89" ht="15.75" customHeight="1">
      <c r="A89" s="3"/>
      <c r="B89" s="19"/>
      <c r="C89" s="19"/>
      <c r="D89" s="19"/>
      <c r="E89" s="19"/>
      <c r="F89" s="28"/>
      <c r="G89" s="30"/>
      <c r="H89" s="21" t="str">
        <f t="shared" si="1"/>
        <v/>
      </c>
      <c r="I89" s="19"/>
    </row>
    <row r="90" ht="15.75" customHeight="1">
      <c r="A90" s="3"/>
      <c r="B90" s="19"/>
      <c r="C90" s="19"/>
      <c r="D90" s="19"/>
      <c r="E90" s="19"/>
      <c r="F90" s="28"/>
      <c r="G90" s="30"/>
      <c r="H90" s="21" t="str">
        <f t="shared" si="1"/>
        <v/>
      </c>
      <c r="I90" s="19"/>
    </row>
    <row r="91" ht="15.75" customHeight="1">
      <c r="A91" s="3"/>
      <c r="B91" s="19"/>
      <c r="C91" s="19"/>
      <c r="D91" s="19"/>
      <c r="E91" s="19"/>
      <c r="F91" s="28"/>
      <c r="G91" s="30"/>
      <c r="H91" s="21" t="str">
        <f t="shared" si="1"/>
        <v/>
      </c>
      <c r="I91" s="19"/>
    </row>
    <row r="92" ht="15.75" customHeight="1">
      <c r="A92" s="3"/>
      <c r="B92" s="19"/>
      <c r="C92" s="19"/>
      <c r="D92" s="19"/>
      <c r="E92" s="19"/>
      <c r="F92" s="28"/>
      <c r="G92" s="30"/>
      <c r="H92" s="21" t="str">
        <f t="shared" si="1"/>
        <v/>
      </c>
      <c r="I92" s="19"/>
    </row>
    <row r="93" ht="15.75" customHeight="1">
      <c r="A93" s="3"/>
      <c r="B93" s="19"/>
      <c r="C93" s="19"/>
      <c r="D93" s="19"/>
      <c r="E93" s="19"/>
      <c r="F93" s="28"/>
      <c r="G93" s="30"/>
      <c r="H93" s="21" t="str">
        <f t="shared" si="1"/>
        <v/>
      </c>
      <c r="I93" s="19"/>
    </row>
    <row r="94" ht="15.75" customHeight="1">
      <c r="A94" s="3"/>
      <c r="B94" s="19"/>
      <c r="C94" s="19"/>
      <c r="D94" s="19"/>
      <c r="E94" s="19"/>
      <c r="F94" s="28"/>
      <c r="G94" s="30"/>
      <c r="H94" s="21" t="str">
        <f t="shared" si="1"/>
        <v/>
      </c>
      <c r="I94" s="19"/>
    </row>
    <row r="95" ht="15.75" customHeight="1">
      <c r="A95" s="3"/>
      <c r="B95" s="19"/>
      <c r="C95" s="19"/>
      <c r="D95" s="19"/>
      <c r="E95" s="19"/>
      <c r="F95" s="28"/>
      <c r="G95" s="30"/>
      <c r="H95" s="21" t="str">
        <f t="shared" si="1"/>
        <v/>
      </c>
      <c r="I95" s="19"/>
    </row>
    <row r="96" ht="15.75" customHeight="1">
      <c r="A96" s="3"/>
      <c r="B96" s="19"/>
      <c r="C96" s="19"/>
      <c r="D96" s="19"/>
      <c r="E96" s="19"/>
      <c r="F96" s="28"/>
      <c r="G96" s="30"/>
      <c r="H96" s="21" t="str">
        <f t="shared" si="1"/>
        <v/>
      </c>
      <c r="I96" s="19"/>
    </row>
    <row r="97" ht="15.75" customHeight="1">
      <c r="A97" s="3"/>
      <c r="B97" s="19"/>
      <c r="C97" s="19"/>
      <c r="D97" s="19"/>
      <c r="E97" s="19"/>
      <c r="F97" s="28"/>
      <c r="G97" s="30"/>
      <c r="H97" s="21" t="str">
        <f t="shared" si="1"/>
        <v/>
      </c>
      <c r="I97" s="19"/>
    </row>
    <row r="98" ht="15.75" customHeight="1">
      <c r="A98" s="3"/>
      <c r="B98" s="19"/>
      <c r="C98" s="19"/>
      <c r="D98" s="19"/>
      <c r="E98" s="19"/>
      <c r="F98" s="28"/>
      <c r="G98" s="30"/>
      <c r="H98" s="21" t="str">
        <f t="shared" si="1"/>
        <v/>
      </c>
      <c r="I98" s="19"/>
    </row>
    <row r="99" ht="15.75" customHeight="1">
      <c r="A99" s="3"/>
      <c r="B99" s="19"/>
      <c r="C99" s="19"/>
      <c r="D99" s="19"/>
      <c r="E99" s="19"/>
      <c r="F99" s="28"/>
      <c r="G99" s="30"/>
      <c r="H99" s="21" t="str">
        <f t="shared" si="1"/>
        <v/>
      </c>
      <c r="I99" s="19"/>
    </row>
    <row r="100" ht="15.75" customHeight="1">
      <c r="A100" s="3"/>
      <c r="B100" s="19"/>
      <c r="C100" s="19"/>
      <c r="D100" s="19"/>
      <c r="E100" s="19"/>
      <c r="F100" s="28"/>
      <c r="G100" s="30"/>
      <c r="H100" s="21" t="str">
        <f t="shared" si="1"/>
        <v/>
      </c>
      <c r="I100" s="19"/>
    </row>
    <row r="101" ht="15.75" customHeight="1">
      <c r="A101" s="3"/>
      <c r="B101" s="19"/>
      <c r="C101" s="19"/>
      <c r="D101" s="19"/>
      <c r="E101" s="19"/>
      <c r="F101" s="28"/>
      <c r="G101" s="30"/>
      <c r="H101" s="21" t="str">
        <f t="shared" si="1"/>
        <v/>
      </c>
      <c r="I101" s="19"/>
    </row>
    <row r="102" ht="15.75" customHeight="1">
      <c r="A102" s="3"/>
      <c r="B102" s="19"/>
      <c r="C102" s="19"/>
      <c r="D102" s="19"/>
      <c r="E102" s="19"/>
      <c r="F102" s="28"/>
      <c r="G102" s="30"/>
      <c r="H102" s="21" t="str">
        <f t="shared" si="1"/>
        <v/>
      </c>
      <c r="I102" s="19"/>
    </row>
    <row r="103" ht="15.75" customHeight="1">
      <c r="A103" s="3"/>
      <c r="B103" s="19"/>
      <c r="C103" s="19"/>
      <c r="D103" s="19"/>
      <c r="E103" s="19"/>
      <c r="F103" s="28"/>
      <c r="G103" s="30"/>
      <c r="H103" s="21" t="str">
        <f t="shared" si="1"/>
        <v/>
      </c>
      <c r="I103" s="19"/>
    </row>
    <row r="104" ht="15.75" customHeight="1">
      <c r="A104" s="3"/>
      <c r="B104" s="19"/>
      <c r="C104" s="19"/>
      <c r="D104" s="19"/>
      <c r="E104" s="19"/>
      <c r="F104" s="28"/>
      <c r="G104" s="30"/>
      <c r="H104" s="21" t="str">
        <f t="shared" si="1"/>
        <v/>
      </c>
      <c r="I104" s="19"/>
    </row>
    <row r="105" ht="15.75" customHeight="1">
      <c r="A105" s="3"/>
      <c r="B105" s="19"/>
      <c r="C105" s="19"/>
      <c r="D105" s="19"/>
      <c r="E105" s="19"/>
      <c r="F105" s="28"/>
      <c r="G105" s="30"/>
      <c r="H105" s="21" t="str">
        <f t="shared" si="1"/>
        <v/>
      </c>
      <c r="I105" s="19"/>
    </row>
    <row r="106" ht="15.75" customHeight="1">
      <c r="A106" s="3"/>
      <c r="B106" s="19"/>
      <c r="C106" s="19"/>
      <c r="D106" s="19"/>
      <c r="E106" s="19"/>
      <c r="F106" s="28"/>
      <c r="G106" s="30"/>
      <c r="H106" s="21" t="str">
        <f t="shared" si="1"/>
        <v/>
      </c>
      <c r="I106" s="19"/>
    </row>
    <row r="107" ht="15.75" customHeight="1">
      <c r="A107" s="3"/>
      <c r="B107" s="19"/>
      <c r="C107" s="19"/>
      <c r="D107" s="19"/>
      <c r="E107" s="19"/>
      <c r="F107" s="28"/>
      <c r="G107" s="30"/>
      <c r="H107" s="21" t="str">
        <f t="shared" si="1"/>
        <v/>
      </c>
      <c r="I107" s="19"/>
    </row>
    <row r="108" ht="15.75" customHeight="1">
      <c r="A108" s="3"/>
      <c r="B108" s="19"/>
      <c r="C108" s="19"/>
      <c r="D108" s="19"/>
      <c r="E108" s="19"/>
      <c r="F108" s="28"/>
      <c r="G108" s="30"/>
      <c r="H108" s="21" t="str">
        <f t="shared" si="1"/>
        <v/>
      </c>
      <c r="I108" s="19"/>
    </row>
    <row r="109" ht="15.75" customHeight="1">
      <c r="A109" s="3"/>
      <c r="B109" s="19"/>
      <c r="C109" s="19"/>
      <c r="D109" s="19"/>
      <c r="E109" s="19"/>
      <c r="F109" s="28"/>
      <c r="G109" s="30"/>
      <c r="H109" s="21" t="str">
        <f t="shared" si="1"/>
        <v/>
      </c>
      <c r="I109" s="19"/>
    </row>
    <row r="110" ht="15.75" customHeight="1">
      <c r="A110" s="3"/>
      <c r="B110" s="19"/>
      <c r="C110" s="19"/>
      <c r="D110" s="19"/>
      <c r="E110" s="19"/>
      <c r="F110" s="28"/>
      <c r="G110" s="30"/>
      <c r="H110" s="21" t="str">
        <f t="shared" si="1"/>
        <v/>
      </c>
      <c r="I110" s="19"/>
    </row>
    <row r="111" ht="15.75" customHeight="1">
      <c r="A111" s="3"/>
      <c r="B111" s="19"/>
      <c r="C111" s="19"/>
      <c r="D111" s="19"/>
      <c r="E111" s="19"/>
      <c r="F111" s="28"/>
      <c r="G111" s="30"/>
      <c r="H111" s="21" t="str">
        <f t="shared" si="1"/>
        <v/>
      </c>
      <c r="I111" s="19"/>
    </row>
    <row r="112" ht="15.75" customHeight="1">
      <c r="A112" s="3"/>
      <c r="B112" s="19"/>
      <c r="C112" s="19"/>
      <c r="D112" s="19"/>
      <c r="E112" s="19"/>
      <c r="F112" s="28"/>
      <c r="G112" s="30"/>
      <c r="H112" s="21" t="str">
        <f t="shared" si="1"/>
        <v/>
      </c>
      <c r="I112" s="19"/>
    </row>
    <row r="113" ht="15.75" customHeight="1">
      <c r="A113" s="3"/>
      <c r="B113" s="19"/>
      <c r="C113" s="19"/>
      <c r="D113" s="19"/>
      <c r="E113" s="19"/>
      <c r="F113" s="28"/>
      <c r="G113" s="30"/>
      <c r="H113" s="21" t="str">
        <f t="shared" si="1"/>
        <v/>
      </c>
      <c r="I113" s="19"/>
    </row>
    <row r="114" ht="15.75" customHeight="1">
      <c r="A114" s="3"/>
      <c r="B114" s="19"/>
      <c r="C114" s="19"/>
      <c r="D114" s="19"/>
      <c r="E114" s="19"/>
      <c r="F114" s="28"/>
      <c r="G114" s="30"/>
      <c r="H114" s="21" t="str">
        <f t="shared" si="1"/>
        <v/>
      </c>
      <c r="I114" s="19"/>
    </row>
    <row r="115" ht="15.75" customHeight="1">
      <c r="A115" s="3"/>
      <c r="B115" s="19"/>
      <c r="C115" s="19"/>
      <c r="D115" s="19"/>
      <c r="E115" s="19"/>
      <c r="F115" s="28"/>
      <c r="G115" s="30"/>
      <c r="H115" s="21" t="str">
        <f t="shared" si="1"/>
        <v/>
      </c>
      <c r="I115" s="19"/>
    </row>
    <row r="116" ht="15.75" customHeight="1">
      <c r="A116" s="3"/>
      <c r="B116" s="19"/>
      <c r="C116" s="19"/>
      <c r="D116" s="19"/>
      <c r="E116" s="19"/>
      <c r="F116" s="28"/>
      <c r="G116" s="30"/>
      <c r="H116" s="21" t="str">
        <f t="shared" si="1"/>
        <v/>
      </c>
      <c r="I116" s="19"/>
    </row>
    <row r="117" ht="15.75" customHeight="1">
      <c r="A117" s="3"/>
      <c r="B117" s="19"/>
      <c r="C117" s="19"/>
      <c r="D117" s="19"/>
      <c r="E117" s="19"/>
      <c r="F117" s="28"/>
      <c r="G117" s="30"/>
      <c r="H117" s="21" t="str">
        <f t="shared" si="1"/>
        <v/>
      </c>
      <c r="I117" s="19"/>
    </row>
    <row r="118" ht="15.75" customHeight="1">
      <c r="A118" s="3"/>
      <c r="B118" s="19"/>
      <c r="C118" s="19"/>
      <c r="D118" s="19"/>
      <c r="E118" s="19"/>
      <c r="F118" s="28"/>
      <c r="G118" s="30"/>
      <c r="H118" s="21" t="str">
        <f t="shared" si="1"/>
        <v/>
      </c>
      <c r="I118" s="19"/>
    </row>
    <row r="119" ht="15.75" customHeight="1">
      <c r="A119" s="3"/>
      <c r="B119" s="19"/>
      <c r="C119" s="19"/>
      <c r="D119" s="19"/>
      <c r="E119" s="19"/>
      <c r="F119" s="28"/>
      <c r="G119" s="30"/>
      <c r="H119" s="21" t="str">
        <f t="shared" si="1"/>
        <v/>
      </c>
      <c r="I119" s="19"/>
    </row>
    <row r="120" ht="15.75" customHeight="1">
      <c r="A120" s="3"/>
      <c r="B120" s="19"/>
      <c r="C120" s="19"/>
      <c r="D120" s="19"/>
      <c r="E120" s="19"/>
      <c r="F120" s="28"/>
      <c r="G120" s="30"/>
      <c r="H120" s="21" t="str">
        <f t="shared" si="1"/>
        <v/>
      </c>
      <c r="I120" s="19"/>
    </row>
    <row r="121" ht="15.75" customHeight="1">
      <c r="A121" s="3"/>
      <c r="B121" s="19"/>
      <c r="C121" s="19"/>
      <c r="D121" s="19"/>
      <c r="E121" s="19"/>
      <c r="F121" s="28"/>
      <c r="G121" s="30"/>
      <c r="H121" s="21" t="str">
        <f t="shared" si="1"/>
        <v/>
      </c>
      <c r="I121" s="19"/>
    </row>
    <row r="122" ht="15.75" customHeight="1">
      <c r="A122" s="3"/>
      <c r="B122" s="19"/>
      <c r="C122" s="19"/>
      <c r="D122" s="19"/>
      <c r="E122" s="19"/>
      <c r="F122" s="28"/>
      <c r="G122" s="30"/>
      <c r="H122" s="21" t="str">
        <f t="shared" si="1"/>
        <v/>
      </c>
      <c r="I122" s="19"/>
    </row>
    <row r="123" ht="15.75" customHeight="1">
      <c r="A123" s="3"/>
      <c r="B123" s="19"/>
      <c r="C123" s="19"/>
      <c r="D123" s="19"/>
      <c r="E123" s="19"/>
      <c r="F123" s="28"/>
      <c r="G123" s="30"/>
      <c r="H123" s="21" t="str">
        <f t="shared" si="1"/>
        <v/>
      </c>
      <c r="I123" s="19"/>
    </row>
    <row r="124" ht="15.75" customHeight="1">
      <c r="A124" s="3"/>
      <c r="B124" s="19"/>
      <c r="C124" s="19"/>
      <c r="D124" s="19"/>
      <c r="E124" s="19"/>
      <c r="F124" s="28"/>
      <c r="G124" s="30"/>
      <c r="H124" s="21" t="str">
        <f t="shared" si="1"/>
        <v/>
      </c>
      <c r="I124" s="19"/>
    </row>
    <row r="125" ht="15.75" customHeight="1">
      <c r="A125" s="3"/>
      <c r="B125" s="19"/>
      <c r="C125" s="19"/>
      <c r="D125" s="19"/>
      <c r="E125" s="19"/>
      <c r="F125" s="28"/>
      <c r="G125" s="30"/>
      <c r="H125" s="21" t="str">
        <f t="shared" si="1"/>
        <v/>
      </c>
      <c r="I125" s="19"/>
    </row>
    <row r="126" ht="15.75" customHeight="1">
      <c r="A126" s="3"/>
      <c r="B126" s="19"/>
      <c r="C126" s="19"/>
      <c r="D126" s="19"/>
      <c r="E126" s="19"/>
      <c r="F126" s="28"/>
      <c r="G126" s="30"/>
      <c r="H126" s="21" t="str">
        <f t="shared" si="1"/>
        <v/>
      </c>
      <c r="I126" s="19"/>
    </row>
    <row r="127" ht="15.75" customHeight="1">
      <c r="A127" s="3"/>
      <c r="B127" s="19"/>
      <c r="C127" s="19"/>
      <c r="D127" s="19"/>
      <c r="E127" s="19"/>
      <c r="F127" s="28"/>
      <c r="G127" s="30"/>
      <c r="H127" s="21" t="str">
        <f t="shared" si="1"/>
        <v/>
      </c>
      <c r="I127" s="19"/>
    </row>
    <row r="128" ht="15.75" customHeight="1">
      <c r="A128" s="3"/>
      <c r="B128" s="19"/>
      <c r="C128" s="19"/>
      <c r="D128" s="19"/>
      <c r="E128" s="19"/>
      <c r="F128" s="28"/>
      <c r="G128" s="30"/>
      <c r="H128" s="21" t="str">
        <f t="shared" si="1"/>
        <v/>
      </c>
      <c r="I128" s="19"/>
    </row>
    <row r="129" ht="15.75" customHeight="1">
      <c r="A129" s="3"/>
      <c r="B129" s="19"/>
      <c r="C129" s="19"/>
      <c r="D129" s="19"/>
      <c r="E129" s="19"/>
      <c r="F129" s="28"/>
      <c r="G129" s="30"/>
      <c r="H129" s="21" t="str">
        <f t="shared" si="1"/>
        <v/>
      </c>
      <c r="I129" s="19"/>
    </row>
    <row r="130" ht="15.75" customHeight="1">
      <c r="A130" s="3"/>
      <c r="B130" s="19"/>
      <c r="C130" s="19"/>
      <c r="D130" s="19"/>
      <c r="E130" s="19"/>
      <c r="F130" s="28"/>
      <c r="G130" s="30"/>
      <c r="H130" s="21" t="str">
        <f t="shared" si="1"/>
        <v/>
      </c>
      <c r="I130" s="19"/>
    </row>
    <row r="131" ht="15.75" customHeight="1">
      <c r="A131" s="3"/>
      <c r="B131" s="19"/>
      <c r="C131" s="19"/>
      <c r="D131" s="19"/>
      <c r="E131" s="19"/>
      <c r="F131" s="28"/>
      <c r="G131" s="30"/>
      <c r="H131" s="21" t="str">
        <f t="shared" si="1"/>
        <v/>
      </c>
      <c r="I131" s="19"/>
    </row>
    <row r="132" ht="15.75" customHeight="1">
      <c r="A132" s="3"/>
      <c r="B132" s="19"/>
      <c r="C132" s="19"/>
      <c r="D132" s="19"/>
      <c r="E132" s="19"/>
      <c r="F132" s="28"/>
      <c r="G132" s="30"/>
      <c r="H132" s="21" t="str">
        <f t="shared" si="1"/>
        <v/>
      </c>
      <c r="I132" s="19"/>
    </row>
    <row r="133" ht="15.75" customHeight="1">
      <c r="A133" s="3"/>
      <c r="B133" s="19"/>
      <c r="C133" s="19"/>
      <c r="D133" s="19"/>
      <c r="E133" s="19"/>
      <c r="F133" s="28"/>
      <c r="G133" s="30"/>
      <c r="H133" s="21" t="str">
        <f t="shared" si="1"/>
        <v/>
      </c>
      <c r="I133" s="19"/>
    </row>
    <row r="134" ht="15.75" customHeight="1">
      <c r="A134" s="3"/>
      <c r="B134" s="19"/>
      <c r="C134" s="19"/>
      <c r="D134" s="19"/>
      <c r="E134" s="19"/>
      <c r="F134" s="28"/>
      <c r="G134" s="30"/>
      <c r="H134" s="21" t="str">
        <f t="shared" si="1"/>
        <v/>
      </c>
      <c r="I134" s="19"/>
    </row>
    <row r="135" ht="15.75" customHeight="1">
      <c r="A135" s="3"/>
      <c r="B135" s="19"/>
      <c r="C135" s="19"/>
      <c r="D135" s="19"/>
      <c r="E135" s="19"/>
      <c r="F135" s="28"/>
      <c r="G135" s="30"/>
      <c r="H135" s="21" t="str">
        <f t="shared" si="1"/>
        <v/>
      </c>
      <c r="I135" s="19"/>
    </row>
    <row r="136" ht="15.75" customHeight="1">
      <c r="A136" s="3"/>
      <c r="B136" s="19"/>
      <c r="C136" s="19"/>
      <c r="D136" s="19"/>
      <c r="E136" s="19"/>
      <c r="F136" s="28"/>
      <c r="G136" s="30"/>
      <c r="H136" s="21" t="str">
        <f t="shared" si="1"/>
        <v/>
      </c>
      <c r="I136" s="19"/>
    </row>
    <row r="137" ht="15.75" customHeight="1">
      <c r="A137" s="3"/>
      <c r="B137" s="19"/>
      <c r="C137" s="19"/>
      <c r="D137" s="19"/>
      <c r="E137" s="19"/>
      <c r="F137" s="28"/>
      <c r="G137" s="30"/>
      <c r="H137" s="21" t="str">
        <f t="shared" si="1"/>
        <v/>
      </c>
      <c r="I137" s="19"/>
    </row>
    <row r="138" ht="15.75" customHeight="1">
      <c r="A138" s="3"/>
      <c r="B138" s="19"/>
      <c r="C138" s="19"/>
      <c r="D138" s="19"/>
      <c r="E138" s="19"/>
      <c r="F138" s="28"/>
      <c r="G138" s="30"/>
      <c r="H138" s="21" t="str">
        <f t="shared" si="1"/>
        <v/>
      </c>
      <c r="I138" s="19"/>
    </row>
    <row r="139" ht="15.75" customHeight="1">
      <c r="A139" s="3"/>
      <c r="B139" s="19"/>
      <c r="C139" s="19"/>
      <c r="D139" s="19"/>
      <c r="E139" s="19"/>
      <c r="F139" s="28"/>
      <c r="G139" s="30"/>
      <c r="H139" s="21" t="str">
        <f t="shared" si="1"/>
        <v/>
      </c>
      <c r="I139" s="19"/>
    </row>
    <row r="140" ht="15.75" customHeight="1">
      <c r="A140" s="3"/>
      <c r="B140" s="19"/>
      <c r="C140" s="19"/>
      <c r="D140" s="19"/>
      <c r="E140" s="19"/>
      <c r="F140" s="28"/>
      <c r="G140" s="30"/>
      <c r="H140" s="21" t="str">
        <f t="shared" si="1"/>
        <v/>
      </c>
      <c r="I140" s="19"/>
    </row>
    <row r="141" ht="15.75" customHeight="1">
      <c r="A141" s="3"/>
      <c r="B141" s="19"/>
      <c r="C141" s="19"/>
      <c r="D141" s="19"/>
      <c r="E141" s="19"/>
      <c r="F141" s="28"/>
      <c r="G141" s="30"/>
      <c r="H141" s="21" t="str">
        <f t="shared" si="1"/>
        <v/>
      </c>
      <c r="I141" s="19"/>
    </row>
    <row r="142" ht="15.75" customHeight="1">
      <c r="A142" s="3"/>
      <c r="B142" s="19"/>
      <c r="C142" s="19"/>
      <c r="D142" s="19"/>
      <c r="E142" s="19"/>
      <c r="F142" s="28"/>
      <c r="G142" s="30"/>
      <c r="H142" s="21" t="str">
        <f t="shared" si="1"/>
        <v/>
      </c>
      <c r="I142" s="19"/>
    </row>
    <row r="143" ht="15.75" customHeight="1">
      <c r="A143" s="3"/>
      <c r="B143" s="19"/>
      <c r="C143" s="19"/>
      <c r="D143" s="19"/>
      <c r="E143" s="19"/>
      <c r="F143" s="28"/>
      <c r="G143" s="30"/>
      <c r="H143" s="21" t="str">
        <f t="shared" si="1"/>
        <v/>
      </c>
      <c r="I143" s="19"/>
    </row>
    <row r="144" ht="15.75" customHeight="1">
      <c r="A144" s="3"/>
      <c r="B144" s="19"/>
      <c r="C144" s="19"/>
      <c r="D144" s="19"/>
      <c r="E144" s="19"/>
      <c r="F144" s="28"/>
      <c r="G144" s="30"/>
      <c r="H144" s="21" t="str">
        <f t="shared" si="1"/>
        <v/>
      </c>
      <c r="I144" s="19"/>
    </row>
    <row r="145" ht="15.75" customHeight="1">
      <c r="A145" s="3"/>
      <c r="B145" s="19"/>
      <c r="C145" s="19"/>
      <c r="D145" s="19"/>
      <c r="E145" s="19"/>
      <c r="F145" s="28"/>
      <c r="G145" s="30"/>
      <c r="H145" s="21" t="str">
        <f t="shared" si="1"/>
        <v/>
      </c>
      <c r="I145" s="19"/>
    </row>
    <row r="146" ht="15.75" customHeight="1">
      <c r="A146" s="3"/>
      <c r="B146" s="19"/>
      <c r="C146" s="19"/>
      <c r="D146" s="19"/>
      <c r="E146" s="19"/>
      <c r="F146" s="28"/>
      <c r="G146" s="30"/>
      <c r="H146" s="21" t="str">
        <f t="shared" si="1"/>
        <v/>
      </c>
      <c r="I146" s="19"/>
    </row>
    <row r="147" ht="15.75" customHeight="1">
      <c r="A147" s="3"/>
      <c r="B147" s="19"/>
      <c r="C147" s="19"/>
      <c r="D147" s="19"/>
      <c r="E147" s="19"/>
      <c r="F147" s="28"/>
      <c r="G147" s="30"/>
      <c r="H147" s="21" t="str">
        <f t="shared" si="1"/>
        <v/>
      </c>
      <c r="I147" s="19"/>
    </row>
    <row r="148" ht="15.75" customHeight="1">
      <c r="A148" s="3"/>
      <c r="B148" s="19"/>
      <c r="C148" s="19"/>
      <c r="D148" s="19"/>
      <c r="E148" s="19"/>
      <c r="F148" s="28"/>
      <c r="G148" s="30"/>
      <c r="H148" s="21" t="str">
        <f t="shared" si="1"/>
        <v/>
      </c>
      <c r="I148" s="19"/>
    </row>
    <row r="149" ht="15.75" customHeight="1">
      <c r="A149" s="3"/>
      <c r="B149" s="19"/>
      <c r="C149" s="19"/>
      <c r="D149" s="19"/>
      <c r="E149" s="19"/>
      <c r="F149" s="28"/>
      <c r="G149" s="30"/>
      <c r="H149" s="21" t="str">
        <f t="shared" si="1"/>
        <v/>
      </c>
      <c r="I149" s="19"/>
    </row>
    <row r="150" ht="15.75" customHeight="1">
      <c r="A150" s="3"/>
      <c r="B150" s="19"/>
      <c r="C150" s="19"/>
      <c r="D150" s="19"/>
      <c r="E150" s="19"/>
      <c r="F150" s="28"/>
      <c r="G150" s="30"/>
      <c r="H150" s="21" t="str">
        <f t="shared" si="1"/>
        <v/>
      </c>
      <c r="I150" s="19"/>
    </row>
    <row r="151" ht="15.75" customHeight="1">
      <c r="A151" s="3"/>
      <c r="B151" s="19"/>
      <c r="C151" s="19"/>
      <c r="D151" s="19"/>
      <c r="E151" s="19"/>
      <c r="F151" s="28"/>
      <c r="G151" s="30"/>
      <c r="H151" s="21" t="str">
        <f t="shared" si="1"/>
        <v/>
      </c>
      <c r="I151" s="19"/>
    </row>
    <row r="152" ht="15.75" customHeight="1">
      <c r="A152" s="3"/>
      <c r="B152" s="19"/>
      <c r="C152" s="19"/>
      <c r="D152" s="19"/>
      <c r="E152" s="19"/>
      <c r="F152" s="28"/>
      <c r="G152" s="30"/>
      <c r="H152" s="21" t="str">
        <f t="shared" si="1"/>
        <v/>
      </c>
      <c r="I152" s="19"/>
    </row>
    <row r="153" ht="15.75" customHeight="1">
      <c r="A153" s="3"/>
      <c r="B153" s="19"/>
      <c r="C153" s="19"/>
      <c r="D153" s="19"/>
      <c r="E153" s="19"/>
      <c r="F153" s="28"/>
      <c r="G153" s="30"/>
      <c r="H153" s="21" t="str">
        <f t="shared" si="1"/>
        <v/>
      </c>
      <c r="I153" s="19"/>
    </row>
    <row r="154" ht="15.75" customHeight="1">
      <c r="A154" s="3"/>
      <c r="B154" s="19"/>
      <c r="C154" s="19"/>
      <c r="D154" s="19"/>
      <c r="E154" s="19"/>
      <c r="F154" s="28"/>
      <c r="G154" s="30"/>
      <c r="H154" s="21" t="str">
        <f t="shared" si="1"/>
        <v/>
      </c>
      <c r="I154" s="19"/>
    </row>
    <row r="155" ht="15.75" customHeight="1">
      <c r="A155" s="3"/>
      <c r="B155" s="19"/>
      <c r="C155" s="19"/>
      <c r="D155" s="19"/>
      <c r="E155" s="19"/>
      <c r="F155" s="28"/>
      <c r="G155" s="30"/>
      <c r="H155" s="21" t="str">
        <f t="shared" si="1"/>
        <v/>
      </c>
      <c r="I155" s="19"/>
    </row>
    <row r="156" ht="15.75" customHeight="1">
      <c r="A156" s="3"/>
      <c r="B156" s="19"/>
      <c r="C156" s="19"/>
      <c r="D156" s="19"/>
      <c r="E156" s="19"/>
      <c r="F156" s="28"/>
      <c r="G156" s="30"/>
      <c r="H156" s="21" t="str">
        <f t="shared" si="1"/>
        <v/>
      </c>
      <c r="I156" s="19"/>
    </row>
    <row r="157" ht="15.75" customHeight="1">
      <c r="A157" s="3"/>
      <c r="B157" s="19"/>
      <c r="C157" s="19"/>
      <c r="D157" s="19"/>
      <c r="E157" s="19"/>
      <c r="F157" s="28"/>
      <c r="G157" s="30"/>
      <c r="H157" s="21" t="str">
        <f t="shared" si="1"/>
        <v/>
      </c>
      <c r="I157" s="19"/>
    </row>
    <row r="158" ht="15.75" customHeight="1">
      <c r="A158" s="3"/>
      <c r="B158" s="19"/>
      <c r="C158" s="19"/>
      <c r="D158" s="19"/>
      <c r="E158" s="19"/>
      <c r="F158" s="28"/>
      <c r="G158" s="30"/>
      <c r="H158" s="21" t="str">
        <f t="shared" si="1"/>
        <v/>
      </c>
      <c r="I158" s="19"/>
    </row>
    <row r="159" ht="15.75" customHeight="1">
      <c r="A159" s="3"/>
      <c r="B159" s="19"/>
      <c r="C159" s="19"/>
      <c r="D159" s="19"/>
      <c r="E159" s="19"/>
      <c r="F159" s="28"/>
      <c r="G159" s="30"/>
      <c r="H159" s="21" t="str">
        <f t="shared" si="1"/>
        <v/>
      </c>
      <c r="I159" s="19"/>
    </row>
    <row r="160" ht="15.75" customHeight="1">
      <c r="A160" s="3"/>
      <c r="B160" s="19"/>
      <c r="C160" s="19"/>
      <c r="D160" s="19"/>
      <c r="E160" s="19"/>
      <c r="F160" s="28"/>
      <c r="G160" s="30"/>
      <c r="H160" s="21" t="str">
        <f t="shared" si="1"/>
        <v/>
      </c>
      <c r="I160" s="19"/>
    </row>
    <row r="161" ht="15.75" customHeight="1">
      <c r="A161" s="3"/>
      <c r="B161" s="19"/>
      <c r="C161" s="19"/>
      <c r="D161" s="19"/>
      <c r="E161" s="19"/>
      <c r="F161" s="28"/>
      <c r="G161" s="30"/>
      <c r="H161" s="21" t="str">
        <f t="shared" si="1"/>
        <v/>
      </c>
      <c r="I161" s="19"/>
    </row>
    <row r="162" ht="15.75" customHeight="1">
      <c r="A162" s="3"/>
      <c r="B162" s="19"/>
      <c r="C162" s="19"/>
      <c r="D162" s="19"/>
      <c r="E162" s="19"/>
      <c r="F162" s="28"/>
      <c r="G162" s="30"/>
      <c r="H162" s="21" t="str">
        <f t="shared" si="1"/>
        <v/>
      </c>
      <c r="I162" s="19"/>
    </row>
    <row r="163" ht="15.75" customHeight="1">
      <c r="A163" s="3"/>
      <c r="B163" s="19"/>
      <c r="C163" s="19"/>
      <c r="D163" s="19"/>
      <c r="E163" s="19"/>
      <c r="F163" s="28"/>
      <c r="G163" s="30"/>
      <c r="H163" s="21" t="str">
        <f t="shared" si="1"/>
        <v/>
      </c>
      <c r="I163" s="19"/>
    </row>
    <row r="164" ht="15.75" customHeight="1">
      <c r="A164" s="3"/>
      <c r="B164" s="19"/>
      <c r="C164" s="19"/>
      <c r="D164" s="19"/>
      <c r="E164" s="19"/>
      <c r="F164" s="28"/>
      <c r="G164" s="30"/>
      <c r="H164" s="21" t="str">
        <f t="shared" si="1"/>
        <v/>
      </c>
      <c r="I164" s="19"/>
    </row>
    <row r="165" ht="15.75" customHeight="1">
      <c r="A165" s="3"/>
      <c r="B165" s="19"/>
      <c r="C165" s="19"/>
      <c r="D165" s="19"/>
      <c r="E165" s="19"/>
      <c r="F165" s="28"/>
      <c r="G165" s="30"/>
      <c r="H165" s="21" t="str">
        <f t="shared" si="1"/>
        <v/>
      </c>
      <c r="I165" s="19"/>
    </row>
    <row r="166" ht="15.75" customHeight="1">
      <c r="A166" s="3"/>
      <c r="B166" s="19"/>
      <c r="C166" s="19"/>
      <c r="D166" s="19"/>
      <c r="E166" s="19"/>
      <c r="F166" s="28"/>
      <c r="G166" s="30"/>
      <c r="H166" s="21" t="str">
        <f t="shared" si="1"/>
        <v/>
      </c>
      <c r="I166" s="19"/>
    </row>
    <row r="167" ht="15.75" customHeight="1">
      <c r="A167" s="3"/>
      <c r="B167" s="19"/>
      <c r="C167" s="19"/>
      <c r="D167" s="19"/>
      <c r="E167" s="19"/>
      <c r="F167" s="28"/>
      <c r="G167" s="30"/>
      <c r="H167" s="21" t="str">
        <f t="shared" si="1"/>
        <v/>
      </c>
      <c r="I167" s="19"/>
    </row>
    <row r="168" ht="15.75" customHeight="1">
      <c r="A168" s="3"/>
      <c r="B168" s="19"/>
      <c r="C168" s="19"/>
      <c r="D168" s="19"/>
      <c r="E168" s="19"/>
      <c r="F168" s="28"/>
      <c r="G168" s="30"/>
      <c r="H168" s="21" t="str">
        <f t="shared" si="1"/>
        <v/>
      </c>
      <c r="I168" s="19"/>
    </row>
    <row r="169" ht="15.75" customHeight="1">
      <c r="A169" s="3"/>
      <c r="B169" s="19"/>
      <c r="C169" s="19"/>
      <c r="D169" s="19"/>
      <c r="E169" s="19"/>
      <c r="F169" s="28"/>
      <c r="G169" s="30"/>
      <c r="H169" s="21" t="str">
        <f t="shared" si="1"/>
        <v/>
      </c>
      <c r="I169" s="19"/>
    </row>
    <row r="170" ht="15.75" customHeight="1">
      <c r="A170" s="3"/>
      <c r="B170" s="19"/>
      <c r="C170" s="19"/>
      <c r="D170" s="19"/>
      <c r="E170" s="19"/>
      <c r="F170" s="28"/>
      <c r="G170" s="30"/>
      <c r="H170" s="21" t="str">
        <f t="shared" si="1"/>
        <v/>
      </c>
      <c r="I170" s="19"/>
    </row>
    <row r="171" ht="15.75" customHeight="1">
      <c r="A171" s="3"/>
      <c r="B171" s="19"/>
      <c r="C171" s="19"/>
      <c r="D171" s="19"/>
      <c r="E171" s="19"/>
      <c r="F171" s="28"/>
      <c r="G171" s="30"/>
      <c r="H171" s="21" t="str">
        <f t="shared" si="1"/>
        <v/>
      </c>
      <c r="I171" s="19"/>
    </row>
    <row r="172" ht="15.75" customHeight="1">
      <c r="A172" s="3"/>
      <c r="B172" s="19"/>
      <c r="C172" s="19"/>
      <c r="D172" s="19"/>
      <c r="E172" s="19"/>
      <c r="F172" s="28"/>
      <c r="G172" s="30"/>
      <c r="H172" s="21" t="str">
        <f t="shared" si="1"/>
        <v/>
      </c>
      <c r="I172" s="19"/>
    </row>
    <row r="173" ht="15.75" customHeight="1">
      <c r="A173" s="3"/>
      <c r="B173" s="19"/>
      <c r="C173" s="19"/>
      <c r="D173" s="19"/>
      <c r="E173" s="19"/>
      <c r="F173" s="28"/>
      <c r="G173" s="30"/>
      <c r="H173" s="21" t="str">
        <f t="shared" si="1"/>
        <v/>
      </c>
      <c r="I173" s="19"/>
    </row>
    <row r="174" ht="15.75" customHeight="1">
      <c r="A174" s="3"/>
      <c r="B174" s="19"/>
      <c r="C174" s="19"/>
      <c r="D174" s="19"/>
      <c r="E174" s="19"/>
      <c r="F174" s="28"/>
      <c r="G174" s="30"/>
      <c r="H174" s="21" t="str">
        <f t="shared" si="1"/>
        <v/>
      </c>
      <c r="I174" s="19"/>
    </row>
    <row r="175" ht="15.75" customHeight="1">
      <c r="A175" s="3"/>
      <c r="B175" s="19"/>
      <c r="C175" s="19"/>
      <c r="D175" s="19"/>
      <c r="E175" s="19"/>
      <c r="F175" s="28"/>
      <c r="G175" s="30"/>
      <c r="H175" s="21" t="str">
        <f t="shared" si="1"/>
        <v/>
      </c>
      <c r="I175" s="19"/>
    </row>
    <row r="176" ht="15.75" customHeight="1">
      <c r="A176" s="3"/>
      <c r="B176" s="19"/>
      <c r="C176" s="19"/>
      <c r="D176" s="19"/>
      <c r="E176" s="19"/>
      <c r="F176" s="28"/>
      <c r="G176" s="30"/>
      <c r="H176" s="21" t="str">
        <f t="shared" si="1"/>
        <v/>
      </c>
      <c r="I176" s="19"/>
    </row>
    <row r="177" ht="15.75" customHeight="1">
      <c r="A177" s="3"/>
      <c r="B177" s="19"/>
      <c r="C177" s="19"/>
      <c r="D177" s="19"/>
      <c r="E177" s="19"/>
      <c r="F177" s="28"/>
      <c r="G177" s="30"/>
      <c r="H177" s="21" t="str">
        <f t="shared" si="1"/>
        <v/>
      </c>
      <c r="I177" s="19"/>
    </row>
    <row r="178" ht="15.75" customHeight="1">
      <c r="A178" s="3"/>
      <c r="B178" s="19"/>
      <c r="C178" s="19"/>
      <c r="D178" s="19"/>
      <c r="E178" s="19"/>
      <c r="F178" s="28"/>
      <c r="G178" s="30"/>
      <c r="H178" s="21" t="str">
        <f t="shared" si="1"/>
        <v/>
      </c>
      <c r="I178" s="19"/>
    </row>
    <row r="179" ht="15.75" customHeight="1">
      <c r="A179" s="3"/>
      <c r="B179" s="19"/>
      <c r="C179" s="19"/>
      <c r="D179" s="19"/>
      <c r="E179" s="19"/>
      <c r="F179" s="28"/>
      <c r="G179" s="30"/>
      <c r="H179" s="21" t="str">
        <f t="shared" si="1"/>
        <v/>
      </c>
      <c r="I179" s="19"/>
    </row>
    <row r="180" ht="15.75" customHeight="1">
      <c r="A180" s="3"/>
      <c r="B180" s="19"/>
      <c r="C180" s="19"/>
      <c r="D180" s="19"/>
      <c r="E180" s="19"/>
      <c r="F180" s="28"/>
      <c r="G180" s="30"/>
      <c r="H180" s="21" t="str">
        <f t="shared" si="1"/>
        <v/>
      </c>
      <c r="I180" s="19"/>
    </row>
    <row r="181" ht="15.75" customHeight="1">
      <c r="A181" s="3"/>
      <c r="B181" s="19"/>
      <c r="C181" s="19"/>
      <c r="D181" s="19"/>
      <c r="E181" s="19"/>
      <c r="F181" s="28"/>
      <c r="G181" s="30"/>
      <c r="H181" s="21" t="str">
        <f t="shared" si="1"/>
        <v/>
      </c>
      <c r="I181" s="19"/>
    </row>
    <row r="182" ht="15.75" customHeight="1">
      <c r="A182" s="3"/>
      <c r="B182" s="19"/>
      <c r="C182" s="19"/>
      <c r="D182" s="19"/>
      <c r="E182" s="19"/>
      <c r="F182" s="28"/>
      <c r="G182" s="30"/>
      <c r="H182" s="21" t="str">
        <f t="shared" si="1"/>
        <v/>
      </c>
      <c r="I182" s="19"/>
    </row>
    <row r="183" ht="15.75" customHeight="1">
      <c r="A183" s="3"/>
      <c r="B183" s="19"/>
      <c r="C183" s="19"/>
      <c r="D183" s="19"/>
      <c r="E183" s="19"/>
      <c r="F183" s="28"/>
      <c r="G183" s="30"/>
      <c r="H183" s="21" t="str">
        <f t="shared" si="1"/>
        <v/>
      </c>
      <c r="I183" s="19"/>
    </row>
    <row r="184" ht="15.75" customHeight="1">
      <c r="A184" s="3"/>
      <c r="B184" s="19"/>
      <c r="C184" s="19"/>
      <c r="D184" s="19"/>
      <c r="E184" s="19"/>
      <c r="F184" s="28"/>
      <c r="G184" s="30"/>
      <c r="H184" s="21" t="str">
        <f t="shared" si="1"/>
        <v/>
      </c>
      <c r="I184" s="19"/>
    </row>
    <row r="185" ht="15.75" customHeight="1">
      <c r="A185" s="3"/>
      <c r="B185" s="19"/>
      <c r="C185" s="19"/>
      <c r="D185" s="19"/>
      <c r="E185" s="19"/>
      <c r="F185" s="28"/>
      <c r="G185" s="30"/>
      <c r="H185" s="21" t="str">
        <f t="shared" si="1"/>
        <v/>
      </c>
      <c r="I185" s="19"/>
    </row>
    <row r="186" ht="15.75" customHeight="1">
      <c r="A186" s="3"/>
      <c r="B186" s="19"/>
      <c r="C186" s="19"/>
      <c r="D186" s="19"/>
      <c r="E186" s="19"/>
      <c r="F186" s="28"/>
      <c r="G186" s="30"/>
      <c r="H186" s="21" t="str">
        <f t="shared" si="1"/>
        <v/>
      </c>
      <c r="I186" s="19"/>
    </row>
    <row r="187" ht="15.75" customHeight="1">
      <c r="A187" s="3"/>
      <c r="B187" s="19"/>
      <c r="C187" s="19"/>
      <c r="D187" s="19"/>
      <c r="E187" s="19"/>
      <c r="F187" s="28"/>
      <c r="G187" s="30"/>
      <c r="H187" s="21" t="str">
        <f t="shared" si="1"/>
        <v/>
      </c>
      <c r="I187" s="19"/>
    </row>
    <row r="188" ht="15.75" customHeight="1">
      <c r="A188" s="3"/>
      <c r="B188" s="19"/>
      <c r="C188" s="19"/>
      <c r="D188" s="19"/>
      <c r="E188" s="19"/>
      <c r="F188" s="28"/>
      <c r="G188" s="30"/>
      <c r="H188" s="21" t="str">
        <f t="shared" si="1"/>
        <v/>
      </c>
      <c r="I188" s="19"/>
    </row>
    <row r="189" ht="15.75" customHeight="1">
      <c r="A189" s="3"/>
      <c r="B189" s="19"/>
      <c r="C189" s="19"/>
      <c r="D189" s="19"/>
      <c r="E189" s="19"/>
      <c r="F189" s="28"/>
      <c r="G189" s="30"/>
      <c r="H189" s="21" t="str">
        <f t="shared" si="1"/>
        <v/>
      </c>
      <c r="I189" s="19"/>
    </row>
    <row r="190" ht="15.75" customHeight="1">
      <c r="A190" s="3"/>
      <c r="B190" s="19"/>
      <c r="C190" s="19"/>
      <c r="D190" s="19"/>
      <c r="E190" s="19"/>
      <c r="F190" s="28"/>
      <c r="G190" s="30"/>
      <c r="H190" s="21" t="str">
        <f t="shared" si="1"/>
        <v/>
      </c>
      <c r="I190" s="19"/>
    </row>
    <row r="191" ht="15.75" customHeight="1">
      <c r="A191" s="3"/>
      <c r="B191" s="19"/>
      <c r="C191" s="19"/>
      <c r="D191" s="19"/>
      <c r="E191" s="19"/>
      <c r="F191" s="28"/>
      <c r="G191" s="30"/>
      <c r="H191" s="21" t="str">
        <f t="shared" si="1"/>
        <v/>
      </c>
      <c r="I191" s="19"/>
    </row>
    <row r="192" ht="15.75" customHeight="1">
      <c r="A192" s="3"/>
      <c r="B192" s="19"/>
      <c r="C192" s="19"/>
      <c r="D192" s="19"/>
      <c r="E192" s="19"/>
      <c r="F192" s="28"/>
      <c r="G192" s="30"/>
      <c r="H192" s="21" t="str">
        <f t="shared" si="1"/>
        <v/>
      </c>
      <c r="I192" s="19"/>
    </row>
    <row r="193" ht="15.75" customHeight="1">
      <c r="A193" s="3"/>
      <c r="B193" s="19"/>
      <c r="C193" s="19"/>
      <c r="D193" s="19"/>
      <c r="E193" s="19"/>
      <c r="F193" s="28"/>
      <c r="G193" s="30"/>
      <c r="H193" s="21" t="str">
        <f t="shared" si="1"/>
        <v/>
      </c>
      <c r="I193" s="19"/>
    </row>
    <row r="194" ht="15.75" customHeight="1">
      <c r="A194" s="3"/>
      <c r="B194" s="19"/>
      <c r="C194" s="19"/>
      <c r="D194" s="19"/>
      <c r="E194" s="19"/>
      <c r="F194" s="28"/>
      <c r="G194" s="30"/>
      <c r="H194" s="21" t="str">
        <f t="shared" si="1"/>
        <v/>
      </c>
      <c r="I194" s="19"/>
    </row>
    <row r="195" ht="15.75" customHeight="1">
      <c r="A195" s="3"/>
      <c r="B195" s="19"/>
      <c r="C195" s="19"/>
      <c r="D195" s="19"/>
      <c r="E195" s="19"/>
      <c r="F195" s="28"/>
      <c r="G195" s="30"/>
      <c r="H195" s="21" t="str">
        <f t="shared" si="1"/>
        <v/>
      </c>
      <c r="I195" s="19"/>
    </row>
    <row r="196" ht="15.75" customHeight="1">
      <c r="A196" s="3"/>
      <c r="B196" s="19"/>
      <c r="C196" s="19"/>
      <c r="D196" s="19"/>
      <c r="E196" s="19"/>
      <c r="F196" s="28"/>
      <c r="G196" s="30"/>
      <c r="H196" s="21" t="str">
        <f t="shared" si="1"/>
        <v/>
      </c>
      <c r="I196" s="19"/>
    </row>
    <row r="197" ht="15.75" customHeight="1">
      <c r="A197" s="3"/>
      <c r="B197" s="19"/>
      <c r="C197" s="19"/>
      <c r="D197" s="19"/>
      <c r="E197" s="19"/>
      <c r="F197" s="28"/>
      <c r="G197" s="30"/>
      <c r="H197" s="21" t="str">
        <f t="shared" si="1"/>
        <v/>
      </c>
      <c r="I197" s="19"/>
    </row>
    <row r="198" ht="15.75" customHeight="1">
      <c r="A198" s="3"/>
      <c r="B198" s="19"/>
      <c r="C198" s="19"/>
      <c r="D198" s="19"/>
      <c r="E198" s="19"/>
      <c r="F198" s="28"/>
      <c r="G198" s="30"/>
      <c r="H198" s="21" t="str">
        <f t="shared" si="1"/>
        <v/>
      </c>
      <c r="I198" s="19"/>
    </row>
    <row r="199" ht="15.75" customHeight="1">
      <c r="A199" s="3"/>
      <c r="B199" s="19"/>
      <c r="C199" s="19"/>
      <c r="D199" s="19"/>
      <c r="E199" s="19"/>
      <c r="F199" s="28"/>
      <c r="G199" s="30"/>
      <c r="H199" s="21" t="str">
        <f t="shared" si="1"/>
        <v/>
      </c>
      <c r="I199" s="19"/>
    </row>
    <row r="200" ht="15.75" customHeight="1">
      <c r="A200" s="3"/>
      <c r="B200" s="19"/>
      <c r="C200" s="19"/>
      <c r="D200" s="19"/>
      <c r="E200" s="19"/>
      <c r="F200" s="28"/>
      <c r="G200" s="30"/>
      <c r="H200" s="21" t="str">
        <f t="shared" si="1"/>
        <v/>
      </c>
      <c r="I200" s="19"/>
    </row>
    <row r="201" ht="15.75" customHeight="1">
      <c r="A201" s="3"/>
      <c r="B201" s="19"/>
      <c r="C201" s="19"/>
      <c r="D201" s="19"/>
      <c r="E201" s="19"/>
      <c r="F201" s="28"/>
      <c r="G201" s="30"/>
      <c r="H201" s="21" t="str">
        <f t="shared" si="1"/>
        <v/>
      </c>
      <c r="I201" s="19"/>
    </row>
    <row r="202" ht="15.75" customHeight="1">
      <c r="A202" s="3"/>
      <c r="B202" s="19"/>
      <c r="C202" s="19"/>
      <c r="D202" s="19"/>
      <c r="E202" s="19"/>
      <c r="F202" s="28"/>
      <c r="G202" s="30"/>
      <c r="H202" s="21" t="str">
        <f t="shared" si="1"/>
        <v/>
      </c>
      <c r="I202" s="19"/>
    </row>
    <row r="203" ht="15.75" customHeight="1">
      <c r="A203" s="3"/>
      <c r="B203" s="19"/>
      <c r="C203" s="19"/>
      <c r="D203" s="19"/>
      <c r="E203" s="19"/>
      <c r="F203" s="28"/>
      <c r="G203" s="30"/>
      <c r="H203" s="21" t="str">
        <f t="shared" si="1"/>
        <v/>
      </c>
      <c r="I203" s="19"/>
    </row>
    <row r="204" ht="15.75" customHeight="1">
      <c r="A204" s="3"/>
      <c r="B204" s="19"/>
      <c r="C204" s="19"/>
      <c r="D204" s="19"/>
      <c r="E204" s="19"/>
      <c r="F204" s="28"/>
      <c r="G204" s="30"/>
      <c r="H204" s="21" t="str">
        <f t="shared" si="1"/>
        <v/>
      </c>
      <c r="I204" s="19"/>
    </row>
    <row r="205" ht="15.75" customHeight="1">
      <c r="A205" s="3"/>
      <c r="B205" s="19"/>
      <c r="C205" s="19"/>
      <c r="D205" s="19"/>
      <c r="E205" s="19"/>
      <c r="F205" s="28"/>
      <c r="G205" s="30"/>
      <c r="H205" s="21" t="str">
        <f t="shared" si="1"/>
        <v/>
      </c>
      <c r="I205" s="19"/>
    </row>
    <row r="206" ht="15.75" customHeight="1">
      <c r="A206" s="3"/>
      <c r="B206" s="19"/>
      <c r="C206" s="19"/>
      <c r="D206" s="19"/>
      <c r="E206" s="19"/>
      <c r="F206" s="28"/>
      <c r="G206" s="30"/>
      <c r="H206" s="21" t="str">
        <f t="shared" si="1"/>
        <v/>
      </c>
      <c r="I206" s="19"/>
    </row>
    <row r="207" ht="15.75" customHeight="1">
      <c r="A207" s="3"/>
      <c r="B207" s="19"/>
      <c r="C207" s="19"/>
      <c r="D207" s="19"/>
      <c r="E207" s="19"/>
      <c r="F207" s="28"/>
      <c r="G207" s="30"/>
      <c r="H207" s="21" t="str">
        <f t="shared" si="1"/>
        <v/>
      </c>
      <c r="I207" s="19"/>
    </row>
    <row r="208" ht="15.75" customHeight="1">
      <c r="A208" s="3"/>
      <c r="B208" s="19"/>
      <c r="C208" s="19"/>
      <c r="D208" s="19"/>
      <c r="E208" s="19"/>
      <c r="F208" s="28"/>
      <c r="G208" s="30"/>
      <c r="H208" s="21" t="str">
        <f t="shared" si="1"/>
        <v/>
      </c>
      <c r="I208" s="19"/>
    </row>
    <row r="209" ht="15.75" customHeight="1">
      <c r="A209" s="3"/>
      <c r="B209" s="19"/>
      <c r="C209" s="19"/>
      <c r="D209" s="19"/>
      <c r="E209" s="19"/>
      <c r="F209" s="28"/>
      <c r="G209" s="30"/>
      <c r="H209" s="21" t="str">
        <f t="shared" si="1"/>
        <v/>
      </c>
      <c r="I209" s="19"/>
    </row>
    <row r="210" ht="15.75" customHeight="1">
      <c r="A210" s="3"/>
      <c r="B210" s="19"/>
      <c r="C210" s="19"/>
      <c r="D210" s="19"/>
      <c r="E210" s="19"/>
      <c r="F210" s="28"/>
      <c r="G210" s="30"/>
      <c r="H210" s="21" t="str">
        <f t="shared" si="1"/>
        <v/>
      </c>
      <c r="I210" s="19"/>
    </row>
    <row r="211" ht="15.75" customHeight="1">
      <c r="A211" s="3"/>
      <c r="B211" s="19"/>
      <c r="C211" s="19"/>
      <c r="D211" s="19"/>
      <c r="E211" s="19"/>
      <c r="F211" s="28"/>
      <c r="G211" s="30"/>
      <c r="H211" s="21" t="str">
        <f t="shared" si="1"/>
        <v/>
      </c>
      <c r="I211" s="19"/>
    </row>
    <row r="212" ht="15.75" customHeight="1">
      <c r="A212" s="3"/>
      <c r="B212" s="19"/>
      <c r="C212" s="19"/>
      <c r="D212" s="19"/>
      <c r="E212" s="19"/>
      <c r="F212" s="28"/>
      <c r="G212" s="30"/>
      <c r="H212" s="21" t="str">
        <f t="shared" si="1"/>
        <v/>
      </c>
      <c r="I212" s="19"/>
    </row>
    <row r="213" ht="15.75" customHeight="1">
      <c r="A213" s="3"/>
      <c r="B213" s="19"/>
      <c r="C213" s="19"/>
      <c r="D213" s="19"/>
      <c r="E213" s="19"/>
      <c r="F213" s="28"/>
      <c r="G213" s="30"/>
      <c r="H213" s="21" t="str">
        <f t="shared" si="1"/>
        <v/>
      </c>
      <c r="I213" s="19"/>
    </row>
    <row r="214" ht="15.75" customHeight="1">
      <c r="A214" s="3"/>
      <c r="B214" s="19"/>
      <c r="C214" s="19"/>
      <c r="D214" s="19"/>
      <c r="E214" s="19"/>
      <c r="F214" s="28"/>
      <c r="G214" s="30"/>
      <c r="H214" s="21" t="str">
        <f t="shared" si="1"/>
        <v/>
      </c>
      <c r="I214" s="19"/>
    </row>
    <row r="215" ht="15.75" customHeight="1">
      <c r="A215" s="3"/>
      <c r="B215" s="19"/>
      <c r="C215" s="19"/>
      <c r="D215" s="19"/>
      <c r="E215" s="19"/>
      <c r="F215" s="28"/>
      <c r="G215" s="30"/>
      <c r="H215" s="21" t="str">
        <f t="shared" si="1"/>
        <v/>
      </c>
      <c r="I215" s="19"/>
    </row>
    <row r="216" ht="15.75" customHeight="1">
      <c r="A216" s="3"/>
      <c r="B216" s="19"/>
      <c r="C216" s="19"/>
      <c r="D216" s="19"/>
      <c r="E216" s="19"/>
      <c r="F216" s="28"/>
      <c r="G216" s="30"/>
      <c r="H216" s="21" t="str">
        <f t="shared" si="1"/>
        <v/>
      </c>
      <c r="I216" s="19"/>
    </row>
    <row r="217" ht="15.75" customHeight="1">
      <c r="A217" s="3"/>
      <c r="B217" s="19"/>
      <c r="C217" s="19"/>
      <c r="D217" s="19"/>
      <c r="E217" s="19"/>
      <c r="F217" s="28"/>
      <c r="G217" s="30"/>
      <c r="H217" s="21" t="str">
        <f t="shared" si="1"/>
        <v/>
      </c>
      <c r="I217" s="19"/>
    </row>
    <row r="218" ht="15.75" customHeight="1">
      <c r="A218" s="3"/>
      <c r="B218" s="19"/>
      <c r="C218" s="19"/>
      <c r="D218" s="19"/>
      <c r="E218" s="19"/>
      <c r="F218" s="28"/>
      <c r="G218" s="30"/>
      <c r="H218" s="21" t="str">
        <f t="shared" si="1"/>
        <v/>
      </c>
      <c r="I218" s="19"/>
    </row>
    <row r="219" ht="15.75" customHeight="1">
      <c r="A219" s="3"/>
      <c r="B219" s="19"/>
      <c r="C219" s="19"/>
      <c r="D219" s="19"/>
      <c r="E219" s="19"/>
      <c r="F219" s="28"/>
      <c r="G219" s="30"/>
      <c r="H219" s="21" t="str">
        <f t="shared" si="1"/>
        <v/>
      </c>
      <c r="I219" s="19"/>
    </row>
    <row r="220" ht="15.75" customHeight="1">
      <c r="A220" s="3"/>
      <c r="B220" s="19"/>
      <c r="C220" s="19"/>
      <c r="D220" s="19"/>
      <c r="E220" s="19"/>
      <c r="F220" s="28"/>
      <c r="G220" s="30"/>
      <c r="H220" s="21" t="str">
        <f t="shared" si="1"/>
        <v/>
      </c>
      <c r="I220" s="19"/>
    </row>
    <row r="221" ht="15.75" customHeight="1">
      <c r="A221" s="3"/>
      <c r="B221" s="19"/>
      <c r="C221" s="19"/>
      <c r="D221" s="19"/>
      <c r="E221" s="19"/>
      <c r="F221" s="28"/>
      <c r="G221" s="30"/>
      <c r="H221" s="21" t="str">
        <f t="shared" si="1"/>
        <v/>
      </c>
      <c r="I221" s="19"/>
    </row>
    <row r="222" ht="15.75" customHeight="1">
      <c r="A222" s="3"/>
      <c r="B222" s="19"/>
      <c r="C222" s="19"/>
      <c r="D222" s="19"/>
      <c r="E222" s="19"/>
      <c r="F222" s="28"/>
      <c r="G222" s="30"/>
      <c r="H222" s="21" t="str">
        <f t="shared" si="1"/>
        <v/>
      </c>
      <c r="I222" s="19"/>
    </row>
    <row r="223" ht="15.75" customHeight="1">
      <c r="A223" s="3"/>
      <c r="B223" s="19"/>
      <c r="C223" s="19"/>
      <c r="D223" s="19"/>
      <c r="E223" s="19"/>
      <c r="F223" s="28"/>
      <c r="G223" s="30"/>
      <c r="H223" s="21" t="str">
        <f t="shared" si="1"/>
        <v/>
      </c>
      <c r="I223" s="19"/>
    </row>
    <row r="224" ht="15.75" customHeight="1">
      <c r="A224" s="3"/>
      <c r="B224" s="19"/>
      <c r="C224" s="19"/>
      <c r="D224" s="19"/>
      <c r="E224" s="19"/>
      <c r="F224" s="28"/>
      <c r="G224" s="30"/>
      <c r="H224" s="21" t="str">
        <f t="shared" si="1"/>
        <v/>
      </c>
      <c r="I224" s="19"/>
    </row>
    <row r="225" ht="15.75" customHeight="1">
      <c r="A225" s="3"/>
      <c r="B225" s="19"/>
      <c r="C225" s="19"/>
      <c r="D225" s="19"/>
      <c r="E225" s="19"/>
      <c r="F225" s="28"/>
      <c r="G225" s="30"/>
      <c r="H225" s="21" t="str">
        <f t="shared" si="1"/>
        <v/>
      </c>
      <c r="I225" s="19"/>
    </row>
    <row r="226" ht="15.75" customHeight="1">
      <c r="A226" s="3"/>
      <c r="B226" s="19"/>
      <c r="C226" s="19"/>
      <c r="D226" s="19"/>
      <c r="E226" s="19"/>
      <c r="F226" s="28"/>
      <c r="G226" s="30"/>
      <c r="H226" s="21" t="str">
        <f t="shared" si="1"/>
        <v/>
      </c>
      <c r="I226" s="19"/>
    </row>
    <row r="227" ht="15.75" customHeight="1">
      <c r="A227" s="3"/>
      <c r="B227" s="19"/>
      <c r="C227" s="19"/>
      <c r="D227" s="19"/>
      <c r="E227" s="19"/>
      <c r="F227" s="28"/>
      <c r="G227" s="30"/>
      <c r="H227" s="21" t="str">
        <f t="shared" si="1"/>
        <v/>
      </c>
      <c r="I227" s="19"/>
    </row>
    <row r="228" ht="15.75" customHeight="1">
      <c r="A228" s="3"/>
      <c r="B228" s="19"/>
      <c r="C228" s="19"/>
      <c r="D228" s="19"/>
      <c r="E228" s="19"/>
      <c r="F228" s="28"/>
      <c r="G228" s="30"/>
      <c r="H228" s="21" t="str">
        <f t="shared" si="1"/>
        <v/>
      </c>
      <c r="I228" s="19"/>
    </row>
    <row r="229" ht="15.75" customHeight="1">
      <c r="A229" s="3"/>
      <c r="B229" s="19"/>
      <c r="C229" s="19"/>
      <c r="D229" s="19"/>
      <c r="E229" s="19"/>
      <c r="F229" s="28"/>
      <c r="G229" s="30"/>
      <c r="H229" s="21" t="str">
        <f t="shared" si="1"/>
        <v/>
      </c>
      <c r="I229" s="19"/>
    </row>
    <row r="230" ht="15.75" customHeight="1">
      <c r="A230" s="3"/>
      <c r="B230" s="19"/>
      <c r="C230" s="19"/>
      <c r="D230" s="19"/>
      <c r="E230" s="19"/>
      <c r="F230" s="28"/>
      <c r="G230" s="30"/>
      <c r="H230" s="21" t="str">
        <f t="shared" si="1"/>
        <v/>
      </c>
      <c r="I230" s="19"/>
    </row>
    <row r="231" ht="15.75" customHeight="1">
      <c r="A231" s="3"/>
      <c r="B231" s="19"/>
      <c r="C231" s="19"/>
      <c r="D231" s="19"/>
      <c r="E231" s="19"/>
      <c r="F231" s="28"/>
      <c r="G231" s="30"/>
      <c r="H231" s="21" t="str">
        <f t="shared" si="1"/>
        <v/>
      </c>
      <c r="I231" s="19"/>
    </row>
    <row r="232" ht="15.75" customHeight="1">
      <c r="A232" s="3"/>
      <c r="B232" s="19"/>
      <c r="C232" s="19"/>
      <c r="D232" s="19"/>
      <c r="E232" s="19"/>
      <c r="F232" s="28"/>
      <c r="G232" s="30"/>
      <c r="H232" s="21" t="str">
        <f t="shared" si="1"/>
        <v/>
      </c>
      <c r="I232" s="19"/>
    </row>
    <row r="233" ht="15.75" customHeight="1">
      <c r="A233" s="3"/>
      <c r="B233" s="19"/>
      <c r="C233" s="19"/>
      <c r="D233" s="19"/>
      <c r="E233" s="19"/>
      <c r="F233" s="28"/>
      <c r="G233" s="30"/>
      <c r="H233" s="21" t="str">
        <f t="shared" si="1"/>
        <v/>
      </c>
      <c r="I233" s="19"/>
    </row>
    <row r="234" ht="15.75" customHeight="1">
      <c r="A234" s="3"/>
      <c r="B234" s="19"/>
      <c r="C234" s="19"/>
      <c r="D234" s="19"/>
      <c r="E234" s="19"/>
      <c r="F234" s="28"/>
      <c r="G234" s="30"/>
      <c r="H234" s="21" t="str">
        <f t="shared" si="1"/>
        <v/>
      </c>
      <c r="I234" s="19"/>
    </row>
    <row r="235" ht="15.75" customHeight="1">
      <c r="A235" s="3"/>
      <c r="B235" s="19"/>
      <c r="C235" s="19"/>
      <c r="D235" s="19"/>
      <c r="E235" s="19"/>
      <c r="F235" s="28"/>
      <c r="G235" s="30"/>
      <c r="H235" s="21" t="str">
        <f t="shared" si="1"/>
        <v/>
      </c>
      <c r="I235" s="19"/>
    </row>
    <row r="236" ht="15.75" customHeight="1">
      <c r="A236" s="3"/>
      <c r="B236" s="19"/>
      <c r="C236" s="19"/>
      <c r="D236" s="19"/>
      <c r="E236" s="19"/>
      <c r="F236" s="28"/>
      <c r="G236" s="30"/>
      <c r="H236" s="21" t="str">
        <f t="shared" si="1"/>
        <v/>
      </c>
      <c r="I236" s="19"/>
    </row>
    <row r="237" ht="15.75" customHeight="1">
      <c r="A237" s="3"/>
      <c r="B237" s="19"/>
      <c r="C237" s="19"/>
      <c r="D237" s="19"/>
      <c r="E237" s="19"/>
      <c r="F237" s="28"/>
      <c r="G237" s="30"/>
      <c r="H237" s="21" t="str">
        <f t="shared" si="1"/>
        <v/>
      </c>
      <c r="I237" s="19"/>
    </row>
    <row r="238" ht="15.75" customHeight="1">
      <c r="A238" s="3"/>
      <c r="B238" s="19"/>
      <c r="C238" s="19"/>
      <c r="D238" s="19"/>
      <c r="E238" s="19"/>
      <c r="F238" s="28"/>
      <c r="G238" s="30"/>
      <c r="H238" s="21" t="str">
        <f t="shared" si="1"/>
        <v/>
      </c>
      <c r="I238" s="19"/>
    </row>
    <row r="239" ht="15.75" customHeight="1">
      <c r="A239" s="3"/>
      <c r="B239" s="19"/>
      <c r="C239" s="19"/>
      <c r="D239" s="19"/>
      <c r="E239" s="19"/>
      <c r="F239" s="28"/>
      <c r="G239" s="30"/>
      <c r="H239" s="21" t="str">
        <f t="shared" si="1"/>
        <v/>
      </c>
      <c r="I239" s="19"/>
    </row>
    <row r="240" ht="15.75" customHeight="1">
      <c r="A240" s="3"/>
      <c r="B240" s="19"/>
      <c r="C240" s="19"/>
      <c r="D240" s="19"/>
      <c r="E240" s="19"/>
      <c r="F240" s="28"/>
      <c r="G240" s="30"/>
      <c r="H240" s="21" t="str">
        <f t="shared" si="1"/>
        <v/>
      </c>
      <c r="I240" s="19"/>
    </row>
    <row r="241" ht="15.75" customHeight="1">
      <c r="A241" s="3"/>
      <c r="B241" s="19"/>
      <c r="C241" s="19"/>
      <c r="D241" s="19"/>
      <c r="E241" s="19"/>
      <c r="F241" s="28"/>
      <c r="G241" s="30"/>
      <c r="H241" s="21" t="str">
        <f t="shared" si="1"/>
        <v/>
      </c>
      <c r="I241" s="19"/>
    </row>
    <row r="242" ht="15.75" customHeight="1">
      <c r="A242" s="3"/>
      <c r="B242" s="19"/>
      <c r="C242" s="19"/>
      <c r="D242" s="19"/>
      <c r="E242" s="19"/>
      <c r="F242" s="28"/>
      <c r="G242" s="30"/>
      <c r="H242" s="21" t="str">
        <f t="shared" si="1"/>
        <v/>
      </c>
      <c r="I242" s="19"/>
    </row>
    <row r="243" ht="15.75" customHeight="1">
      <c r="A243" s="3"/>
      <c r="B243" s="19"/>
      <c r="C243" s="19"/>
      <c r="D243" s="19"/>
      <c r="E243" s="19"/>
      <c r="F243" s="28"/>
      <c r="G243" s="30"/>
      <c r="H243" s="21" t="str">
        <f t="shared" si="1"/>
        <v/>
      </c>
      <c r="I243" s="19"/>
    </row>
    <row r="244" ht="15.75" customHeight="1">
      <c r="A244" s="3"/>
      <c r="B244" s="19"/>
      <c r="C244" s="19"/>
      <c r="D244" s="19"/>
      <c r="E244" s="19"/>
      <c r="F244" s="28"/>
      <c r="G244" s="30"/>
      <c r="H244" s="21" t="str">
        <f t="shared" si="1"/>
        <v/>
      </c>
      <c r="I244" s="19"/>
    </row>
    <row r="245" ht="15.75" customHeight="1">
      <c r="A245" s="3"/>
      <c r="B245" s="19"/>
      <c r="C245" s="19"/>
      <c r="D245" s="19"/>
      <c r="E245" s="19"/>
      <c r="F245" s="28"/>
      <c r="G245" s="30"/>
      <c r="H245" s="21" t="str">
        <f t="shared" si="1"/>
        <v/>
      </c>
      <c r="I245" s="19"/>
    </row>
    <row r="246" ht="15.75" customHeight="1">
      <c r="A246" s="3"/>
      <c r="B246" s="19"/>
      <c r="C246" s="19"/>
      <c r="D246" s="19"/>
      <c r="E246" s="19"/>
      <c r="F246" s="28"/>
      <c r="G246" s="30"/>
      <c r="H246" s="21" t="str">
        <f t="shared" si="1"/>
        <v/>
      </c>
      <c r="I246" s="19"/>
    </row>
    <row r="247" ht="15.75" customHeight="1">
      <c r="A247" s="3"/>
      <c r="B247" s="19"/>
      <c r="C247" s="19"/>
      <c r="D247" s="19"/>
      <c r="E247" s="19"/>
      <c r="F247" s="28"/>
      <c r="G247" s="30"/>
      <c r="H247" s="21" t="str">
        <f t="shared" si="1"/>
        <v/>
      </c>
      <c r="I247" s="19"/>
    </row>
    <row r="248" ht="15.75" customHeight="1">
      <c r="A248" s="3"/>
      <c r="B248" s="19"/>
      <c r="C248" s="19"/>
      <c r="D248" s="19"/>
      <c r="E248" s="19"/>
      <c r="F248" s="28"/>
      <c r="G248" s="30"/>
      <c r="H248" s="21" t="str">
        <f t="shared" si="1"/>
        <v/>
      </c>
      <c r="I248" s="19"/>
    </row>
    <row r="249" ht="15.75" customHeight="1">
      <c r="A249" s="3"/>
      <c r="B249" s="19"/>
      <c r="C249" s="19"/>
      <c r="D249" s="19"/>
      <c r="E249" s="19"/>
      <c r="F249" s="28"/>
      <c r="G249" s="30"/>
      <c r="H249" s="21" t="str">
        <f t="shared" si="1"/>
        <v/>
      </c>
      <c r="I249" s="19"/>
    </row>
    <row r="250" ht="15.75" customHeight="1">
      <c r="A250" s="3"/>
      <c r="B250" s="19"/>
      <c r="C250" s="19"/>
      <c r="D250" s="19"/>
      <c r="E250" s="19"/>
      <c r="F250" s="28"/>
      <c r="G250" s="30"/>
      <c r="H250" s="21" t="str">
        <f t="shared" si="1"/>
        <v/>
      </c>
      <c r="I250" s="19"/>
    </row>
    <row r="251" ht="15.75" customHeight="1">
      <c r="A251" s="3"/>
      <c r="B251" s="19"/>
      <c r="C251" s="19"/>
      <c r="D251" s="19"/>
      <c r="E251" s="19"/>
      <c r="F251" s="28"/>
      <c r="G251" s="30"/>
      <c r="H251" s="21" t="str">
        <f t="shared" si="1"/>
        <v/>
      </c>
      <c r="I251" s="19"/>
    </row>
    <row r="252" ht="15.75" customHeight="1">
      <c r="A252" s="3"/>
      <c r="B252" s="19"/>
      <c r="C252" s="19"/>
      <c r="D252" s="19"/>
      <c r="E252" s="19"/>
      <c r="F252" s="28"/>
      <c r="G252" s="30"/>
      <c r="H252" s="21" t="str">
        <f t="shared" si="1"/>
        <v/>
      </c>
      <c r="I252" s="19"/>
    </row>
    <row r="253" ht="15.75" customHeight="1">
      <c r="A253" s="3"/>
      <c r="B253" s="19"/>
      <c r="C253" s="19"/>
      <c r="D253" s="19"/>
      <c r="E253" s="19"/>
      <c r="F253" s="28"/>
      <c r="G253" s="30"/>
      <c r="H253" s="21" t="str">
        <f t="shared" si="1"/>
        <v/>
      </c>
      <c r="I253" s="19"/>
    </row>
    <row r="254" ht="15.75" customHeight="1">
      <c r="A254" s="3"/>
      <c r="B254" s="19"/>
      <c r="C254" s="19"/>
      <c r="D254" s="19"/>
      <c r="E254" s="19"/>
      <c r="F254" s="28"/>
      <c r="G254" s="30"/>
      <c r="H254" s="21" t="str">
        <f t="shared" si="1"/>
        <v/>
      </c>
      <c r="I254" s="19"/>
    </row>
    <row r="255" ht="15.75" customHeight="1">
      <c r="A255" s="3"/>
      <c r="B255" s="19"/>
      <c r="C255" s="19"/>
      <c r="D255" s="19"/>
      <c r="E255" s="19"/>
      <c r="F255" s="28"/>
      <c r="G255" s="30"/>
      <c r="H255" s="21" t="str">
        <f t="shared" si="1"/>
        <v/>
      </c>
      <c r="I255" s="19"/>
    </row>
    <row r="256" ht="15.75" customHeight="1">
      <c r="A256" s="3"/>
      <c r="B256" s="19"/>
      <c r="C256" s="19"/>
      <c r="D256" s="19"/>
      <c r="E256" s="19"/>
      <c r="F256" s="28"/>
      <c r="G256" s="30"/>
      <c r="H256" s="21" t="str">
        <f t="shared" si="1"/>
        <v/>
      </c>
      <c r="I256" s="19"/>
    </row>
    <row r="257" ht="15.75" customHeight="1">
      <c r="A257" s="3"/>
      <c r="B257" s="19"/>
      <c r="C257" s="19"/>
      <c r="D257" s="19"/>
      <c r="E257" s="19"/>
      <c r="F257" s="28"/>
      <c r="G257" s="30"/>
      <c r="H257" s="21" t="str">
        <f t="shared" si="1"/>
        <v/>
      </c>
      <c r="I257" s="19"/>
    </row>
    <row r="258" ht="15.75" customHeight="1">
      <c r="A258" s="3"/>
      <c r="B258" s="19"/>
      <c r="C258" s="19"/>
      <c r="D258" s="19"/>
      <c r="E258" s="19"/>
      <c r="F258" s="28"/>
      <c r="G258" s="30"/>
      <c r="H258" s="21" t="str">
        <f t="shared" si="1"/>
        <v/>
      </c>
      <c r="I258" s="19"/>
    </row>
    <row r="259" ht="15.75" customHeight="1">
      <c r="A259" s="3"/>
      <c r="B259" s="19"/>
      <c r="C259" s="19"/>
      <c r="D259" s="19"/>
      <c r="E259" s="19"/>
      <c r="F259" s="28"/>
      <c r="G259" s="30"/>
      <c r="H259" s="21" t="str">
        <f t="shared" si="1"/>
        <v/>
      </c>
      <c r="I259" s="19"/>
    </row>
    <row r="260" ht="15.75" customHeight="1">
      <c r="A260" s="3"/>
      <c r="B260" s="19"/>
      <c r="C260" s="19"/>
      <c r="D260" s="19"/>
      <c r="E260" s="19"/>
      <c r="F260" s="28"/>
      <c r="G260" s="30"/>
      <c r="H260" s="21" t="str">
        <f t="shared" si="1"/>
        <v/>
      </c>
      <c r="I260" s="19"/>
    </row>
    <row r="261" ht="15.75" customHeight="1">
      <c r="A261" s="3"/>
      <c r="B261" s="19"/>
      <c r="C261" s="19"/>
      <c r="D261" s="19"/>
      <c r="E261" s="19"/>
      <c r="F261" s="28"/>
      <c r="G261" s="30"/>
      <c r="H261" s="21" t="str">
        <f t="shared" si="1"/>
        <v/>
      </c>
      <c r="I261" s="19"/>
    </row>
    <row r="262" ht="15.75" customHeight="1">
      <c r="A262" s="3"/>
      <c r="B262" s="19"/>
      <c r="C262" s="19"/>
      <c r="D262" s="19"/>
      <c r="E262" s="19"/>
      <c r="F262" s="28"/>
      <c r="G262" s="30"/>
      <c r="H262" s="21" t="str">
        <f t="shared" si="1"/>
        <v/>
      </c>
      <c r="I262" s="19"/>
    </row>
    <row r="263" ht="15.75" customHeight="1">
      <c r="A263" s="3"/>
      <c r="B263" s="19"/>
      <c r="C263" s="19"/>
      <c r="D263" s="19"/>
      <c r="E263" s="19"/>
      <c r="F263" s="28"/>
      <c r="G263" s="30"/>
      <c r="H263" s="21" t="str">
        <f t="shared" si="1"/>
        <v/>
      </c>
      <c r="I263" s="19"/>
    </row>
    <row r="264" ht="15.75" customHeight="1">
      <c r="A264" s="3"/>
      <c r="B264" s="19"/>
      <c r="C264" s="19"/>
      <c r="D264" s="19"/>
      <c r="E264" s="19"/>
      <c r="F264" s="28"/>
      <c r="G264" s="30"/>
      <c r="H264" s="21" t="str">
        <f t="shared" si="1"/>
        <v/>
      </c>
      <c r="I264" s="19"/>
    </row>
    <row r="265" ht="15.75" customHeight="1">
      <c r="A265" s="3"/>
      <c r="B265" s="19"/>
      <c r="C265" s="19"/>
      <c r="D265" s="19"/>
      <c r="E265" s="19"/>
      <c r="F265" s="28"/>
      <c r="G265" s="30"/>
      <c r="H265" s="21" t="str">
        <f t="shared" si="1"/>
        <v/>
      </c>
      <c r="I265" s="19"/>
    </row>
    <row r="266" ht="15.75" customHeight="1">
      <c r="A266" s="3"/>
      <c r="B266" s="19"/>
      <c r="C266" s="19"/>
      <c r="D266" s="19"/>
      <c r="E266" s="19"/>
      <c r="F266" s="28"/>
      <c r="G266" s="30"/>
      <c r="H266" s="21" t="str">
        <f t="shared" si="1"/>
        <v/>
      </c>
      <c r="I266" s="19"/>
    </row>
    <row r="267" ht="15.75" customHeight="1">
      <c r="A267" s="3"/>
      <c r="B267" s="19"/>
      <c r="C267" s="19"/>
      <c r="D267" s="19"/>
      <c r="E267" s="19"/>
      <c r="F267" s="28"/>
      <c r="G267" s="30"/>
      <c r="H267" s="21" t="str">
        <f t="shared" si="1"/>
        <v/>
      </c>
      <c r="I267" s="19"/>
    </row>
    <row r="268" ht="15.75" customHeight="1">
      <c r="A268" s="3"/>
      <c r="B268" s="19"/>
      <c r="C268" s="19"/>
      <c r="D268" s="19"/>
      <c r="E268" s="19"/>
      <c r="F268" s="28"/>
      <c r="G268" s="30"/>
      <c r="H268" s="21" t="str">
        <f t="shared" si="1"/>
        <v/>
      </c>
      <c r="I268" s="19"/>
    </row>
    <row r="269" ht="15.75" customHeight="1">
      <c r="A269" s="3"/>
      <c r="B269" s="19"/>
      <c r="C269" s="19"/>
      <c r="D269" s="19"/>
      <c r="E269" s="19"/>
      <c r="F269" s="28"/>
      <c r="G269" s="30"/>
      <c r="H269" s="21" t="str">
        <f t="shared" si="1"/>
        <v/>
      </c>
      <c r="I269" s="19"/>
    </row>
    <row r="270" ht="15.75" customHeight="1">
      <c r="A270" s="3"/>
      <c r="B270" s="19"/>
      <c r="C270" s="19"/>
      <c r="D270" s="19"/>
      <c r="E270" s="19"/>
      <c r="F270" s="28"/>
      <c r="G270" s="30"/>
      <c r="H270" s="21" t="str">
        <f t="shared" si="1"/>
        <v/>
      </c>
      <c r="I270" s="19"/>
    </row>
    <row r="271" ht="15.75" customHeight="1">
      <c r="A271" s="3"/>
      <c r="B271" s="19"/>
      <c r="C271" s="19"/>
      <c r="D271" s="19"/>
      <c r="E271" s="19"/>
      <c r="F271" s="28"/>
      <c r="G271" s="30"/>
      <c r="H271" s="21" t="str">
        <f t="shared" si="1"/>
        <v/>
      </c>
      <c r="I271" s="19"/>
    </row>
    <row r="272" ht="15.75" customHeight="1">
      <c r="A272" s="3"/>
      <c r="B272" s="19"/>
      <c r="C272" s="19"/>
      <c r="D272" s="19"/>
      <c r="E272" s="19"/>
      <c r="F272" s="28"/>
      <c r="G272" s="30"/>
      <c r="H272" s="21" t="str">
        <f t="shared" si="1"/>
        <v/>
      </c>
      <c r="I272" s="19"/>
    </row>
    <row r="273" ht="15.75" customHeight="1">
      <c r="A273" s="3"/>
      <c r="B273" s="19"/>
      <c r="C273" s="19"/>
      <c r="D273" s="19"/>
      <c r="E273" s="19"/>
      <c r="F273" s="28"/>
      <c r="G273" s="30"/>
      <c r="H273" s="21" t="str">
        <f t="shared" si="1"/>
        <v/>
      </c>
      <c r="I273" s="19"/>
    </row>
    <row r="274" ht="15.75" customHeight="1">
      <c r="A274" s="3"/>
      <c r="B274" s="19"/>
      <c r="C274" s="19"/>
      <c r="D274" s="19"/>
      <c r="E274" s="19"/>
      <c r="F274" s="28"/>
      <c r="G274" s="30"/>
      <c r="H274" s="21" t="str">
        <f t="shared" si="1"/>
        <v/>
      </c>
      <c r="I274" s="19"/>
    </row>
    <row r="275" ht="15.75" customHeight="1">
      <c r="A275" s="3"/>
      <c r="B275" s="19"/>
      <c r="C275" s="19"/>
      <c r="D275" s="19"/>
      <c r="E275" s="19"/>
      <c r="F275" s="28"/>
      <c r="G275" s="30"/>
      <c r="H275" s="21" t="str">
        <f t="shared" si="1"/>
        <v/>
      </c>
      <c r="I275" s="19"/>
    </row>
    <row r="276" ht="15.75" customHeight="1">
      <c r="A276" s="3"/>
      <c r="B276" s="19"/>
      <c r="C276" s="19"/>
      <c r="D276" s="19"/>
      <c r="E276" s="19"/>
      <c r="F276" s="28"/>
      <c r="G276" s="30"/>
      <c r="H276" s="21" t="str">
        <f t="shared" si="1"/>
        <v/>
      </c>
      <c r="I276" s="19"/>
    </row>
    <row r="277" ht="15.75" customHeight="1">
      <c r="A277" s="3"/>
      <c r="B277" s="19"/>
      <c r="C277" s="19"/>
      <c r="D277" s="19"/>
      <c r="E277" s="19"/>
      <c r="F277" s="28"/>
      <c r="G277" s="30"/>
      <c r="H277" s="21" t="str">
        <f t="shared" si="1"/>
        <v/>
      </c>
      <c r="I277" s="19"/>
    </row>
    <row r="278" ht="15.75" customHeight="1">
      <c r="A278" s="3"/>
      <c r="B278" s="19"/>
      <c r="C278" s="19"/>
      <c r="D278" s="19"/>
      <c r="E278" s="19"/>
      <c r="F278" s="28"/>
      <c r="G278" s="30"/>
      <c r="H278" s="21" t="str">
        <f t="shared" si="1"/>
        <v/>
      </c>
      <c r="I278" s="19"/>
    </row>
    <row r="279" ht="15.75" customHeight="1">
      <c r="A279" s="3"/>
      <c r="B279" s="19"/>
      <c r="C279" s="19"/>
      <c r="D279" s="19"/>
      <c r="E279" s="19"/>
      <c r="F279" s="28"/>
      <c r="G279" s="30"/>
      <c r="H279" s="21" t="str">
        <f t="shared" si="1"/>
        <v/>
      </c>
      <c r="I279" s="19"/>
    </row>
    <row r="280" ht="15.75" customHeight="1">
      <c r="A280" s="3"/>
      <c r="B280" s="19"/>
      <c r="C280" s="19"/>
      <c r="D280" s="19"/>
      <c r="E280" s="19"/>
      <c r="F280" s="28"/>
      <c r="G280" s="30"/>
      <c r="H280" s="21" t="str">
        <f t="shared" si="1"/>
        <v/>
      </c>
      <c r="I280" s="19"/>
    </row>
    <row r="281" ht="15.75" customHeight="1">
      <c r="A281" s="3"/>
      <c r="B281" s="19"/>
      <c r="C281" s="19"/>
      <c r="D281" s="19"/>
      <c r="E281" s="19"/>
      <c r="F281" s="28"/>
      <c r="G281" s="30"/>
      <c r="H281" s="21" t="str">
        <f t="shared" si="1"/>
        <v/>
      </c>
      <c r="I281" s="19"/>
    </row>
    <row r="282" ht="15.75" customHeight="1">
      <c r="A282" s="3"/>
      <c r="B282" s="19"/>
      <c r="C282" s="19"/>
      <c r="D282" s="19"/>
      <c r="E282" s="19"/>
      <c r="F282" s="28"/>
      <c r="G282" s="30"/>
      <c r="H282" s="21" t="str">
        <f t="shared" si="1"/>
        <v/>
      </c>
      <c r="I282" s="19"/>
    </row>
    <row r="283" ht="15.75" customHeight="1">
      <c r="A283" s="3"/>
      <c r="B283" s="19"/>
      <c r="C283" s="19"/>
      <c r="D283" s="19"/>
      <c r="E283" s="19"/>
      <c r="F283" s="28"/>
      <c r="G283" s="30"/>
      <c r="H283" s="21" t="str">
        <f t="shared" si="1"/>
        <v/>
      </c>
      <c r="I283" s="19"/>
    </row>
    <row r="284" ht="15.75" customHeight="1">
      <c r="A284" s="3"/>
      <c r="B284" s="19"/>
      <c r="C284" s="19"/>
      <c r="D284" s="19"/>
      <c r="E284" s="19"/>
      <c r="F284" s="28"/>
      <c r="G284" s="30"/>
      <c r="H284" s="21" t="str">
        <f t="shared" si="1"/>
        <v/>
      </c>
      <c r="I284" s="19"/>
    </row>
    <row r="285" ht="15.75" customHeight="1">
      <c r="A285" s="3"/>
      <c r="B285" s="19"/>
      <c r="C285" s="19"/>
      <c r="D285" s="19"/>
      <c r="E285" s="19"/>
      <c r="F285" s="28"/>
      <c r="G285" s="30"/>
      <c r="H285" s="21" t="str">
        <f t="shared" si="1"/>
        <v/>
      </c>
      <c r="I285" s="19"/>
    </row>
    <row r="286" ht="15.75" customHeight="1">
      <c r="A286" s="3"/>
      <c r="B286" s="19"/>
      <c r="C286" s="19"/>
      <c r="D286" s="19"/>
      <c r="E286" s="19"/>
      <c r="F286" s="28"/>
      <c r="G286" s="30"/>
      <c r="H286" s="21" t="str">
        <f t="shared" si="1"/>
        <v/>
      </c>
      <c r="I286" s="19"/>
    </row>
    <row r="287" ht="15.75" customHeight="1">
      <c r="A287" s="3"/>
      <c r="B287" s="19"/>
      <c r="C287" s="19"/>
      <c r="D287" s="19"/>
      <c r="E287" s="19"/>
      <c r="F287" s="28"/>
      <c r="G287" s="30"/>
      <c r="H287" s="21" t="str">
        <f t="shared" si="1"/>
        <v/>
      </c>
      <c r="I287" s="19"/>
    </row>
    <row r="288" ht="15.75" customHeight="1">
      <c r="A288" s="3"/>
      <c r="B288" s="19"/>
      <c r="C288" s="19"/>
      <c r="D288" s="19"/>
      <c r="E288" s="19"/>
      <c r="F288" s="28"/>
      <c r="G288" s="30"/>
      <c r="H288" s="21" t="str">
        <f t="shared" si="1"/>
        <v/>
      </c>
      <c r="I288" s="19"/>
    </row>
    <row r="289" ht="15.75" customHeight="1">
      <c r="A289" s="3"/>
      <c r="B289" s="19"/>
      <c r="C289" s="19"/>
      <c r="D289" s="19"/>
      <c r="E289" s="19"/>
      <c r="F289" s="28"/>
      <c r="G289" s="30"/>
      <c r="H289" s="21" t="str">
        <f t="shared" si="1"/>
        <v/>
      </c>
      <c r="I289" s="19"/>
    </row>
    <row r="290" ht="15.75" customHeight="1">
      <c r="A290" s="3"/>
      <c r="B290" s="19"/>
      <c r="C290" s="19"/>
      <c r="D290" s="19"/>
      <c r="E290" s="19"/>
      <c r="F290" s="28"/>
      <c r="G290" s="30"/>
      <c r="H290" s="21" t="str">
        <f t="shared" si="1"/>
        <v/>
      </c>
      <c r="I290" s="19"/>
    </row>
    <row r="291" ht="15.75" customHeight="1">
      <c r="A291" s="3"/>
      <c r="B291" s="19"/>
      <c r="C291" s="19"/>
      <c r="D291" s="19"/>
      <c r="E291" s="19"/>
      <c r="F291" s="28"/>
      <c r="G291" s="30"/>
      <c r="H291" s="21" t="str">
        <f t="shared" si="1"/>
        <v/>
      </c>
      <c r="I291" s="19"/>
    </row>
    <row r="292" ht="15.75" customHeight="1">
      <c r="A292" s="3"/>
      <c r="B292" s="19"/>
      <c r="C292" s="19"/>
      <c r="D292" s="19"/>
      <c r="E292" s="19"/>
      <c r="F292" s="28"/>
      <c r="G292" s="30"/>
      <c r="H292" s="21" t="str">
        <f t="shared" si="1"/>
        <v/>
      </c>
      <c r="I292" s="19"/>
    </row>
    <row r="293" ht="15.75" customHeight="1">
      <c r="A293" s="3"/>
      <c r="B293" s="19"/>
      <c r="C293" s="19"/>
      <c r="D293" s="19"/>
      <c r="E293" s="19"/>
      <c r="F293" s="28"/>
      <c r="G293" s="30"/>
      <c r="H293" s="21" t="str">
        <f t="shared" si="1"/>
        <v/>
      </c>
      <c r="I293" s="19"/>
    </row>
    <row r="294" ht="15.75" customHeight="1">
      <c r="A294" s="3"/>
      <c r="B294" s="19"/>
      <c r="C294" s="19"/>
      <c r="D294" s="19"/>
      <c r="E294" s="19"/>
      <c r="F294" s="28"/>
      <c r="G294" s="30"/>
      <c r="H294" s="21" t="str">
        <f t="shared" si="1"/>
        <v/>
      </c>
      <c r="I294" s="19"/>
    </row>
    <row r="295" ht="15.75" customHeight="1">
      <c r="A295" s="3"/>
      <c r="B295" s="19"/>
      <c r="C295" s="19"/>
      <c r="D295" s="19"/>
      <c r="E295" s="19"/>
      <c r="F295" s="28"/>
      <c r="G295" s="30"/>
      <c r="H295" s="21" t="str">
        <f t="shared" si="1"/>
        <v/>
      </c>
      <c r="I295" s="19"/>
    </row>
    <row r="296" ht="15.75" customHeight="1">
      <c r="A296" s="3"/>
      <c r="B296" s="19"/>
      <c r="C296" s="19"/>
      <c r="D296" s="19"/>
      <c r="E296" s="19"/>
      <c r="F296" s="28"/>
      <c r="G296" s="30"/>
      <c r="H296" s="21" t="str">
        <f t="shared" si="1"/>
        <v/>
      </c>
      <c r="I296" s="19"/>
    </row>
    <row r="297" ht="15.75" customHeight="1">
      <c r="A297" s="3"/>
      <c r="B297" s="19"/>
      <c r="C297" s="19"/>
      <c r="D297" s="19"/>
      <c r="E297" s="19"/>
      <c r="F297" s="28"/>
      <c r="G297" s="30"/>
      <c r="H297" s="21" t="str">
        <f t="shared" si="1"/>
        <v/>
      </c>
      <c r="I297" s="19"/>
    </row>
    <row r="298" ht="15.75" customHeight="1">
      <c r="A298" s="3"/>
      <c r="B298" s="19"/>
      <c r="C298" s="19"/>
      <c r="D298" s="19"/>
      <c r="E298" s="19"/>
      <c r="F298" s="28"/>
      <c r="G298" s="30"/>
      <c r="H298" s="21" t="str">
        <f t="shared" si="1"/>
        <v/>
      </c>
      <c r="I298" s="19"/>
    </row>
    <row r="299" ht="15.75" customHeight="1">
      <c r="A299" s="3"/>
      <c r="B299" s="19"/>
      <c r="C299" s="19"/>
      <c r="D299" s="19"/>
      <c r="E299" s="19"/>
      <c r="F299" s="28"/>
      <c r="G299" s="30"/>
      <c r="H299" s="21" t="str">
        <f t="shared" si="1"/>
        <v/>
      </c>
      <c r="I299" s="19"/>
    </row>
    <row r="300" ht="15.75" customHeight="1">
      <c r="A300" s="3"/>
      <c r="B300" s="19"/>
      <c r="C300" s="19"/>
      <c r="D300" s="19"/>
      <c r="E300" s="19"/>
      <c r="F300" s="28"/>
      <c r="G300" s="30"/>
      <c r="H300" s="21" t="str">
        <f t="shared" si="1"/>
        <v/>
      </c>
      <c r="I300" s="19"/>
    </row>
    <row r="301" ht="15.75" customHeight="1">
      <c r="A301" s="3"/>
      <c r="B301" s="19"/>
      <c r="C301" s="19"/>
      <c r="D301" s="19"/>
      <c r="E301" s="19"/>
      <c r="F301" s="28"/>
      <c r="G301" s="30"/>
      <c r="H301" s="21" t="str">
        <f t="shared" si="1"/>
        <v/>
      </c>
      <c r="I301" s="19"/>
    </row>
    <row r="302" ht="15.75" customHeight="1">
      <c r="A302" s="3"/>
      <c r="B302" s="19"/>
      <c r="C302" s="19"/>
      <c r="D302" s="19"/>
      <c r="E302" s="19"/>
      <c r="F302" s="28"/>
      <c r="G302" s="30"/>
      <c r="H302" s="21" t="str">
        <f t="shared" si="1"/>
        <v/>
      </c>
      <c r="I302" s="19"/>
    </row>
    <row r="303" ht="15.75" customHeight="1">
      <c r="A303" s="3"/>
      <c r="B303" s="19"/>
      <c r="C303" s="19"/>
      <c r="D303" s="19"/>
      <c r="E303" s="19"/>
      <c r="F303" s="28"/>
      <c r="G303" s="30"/>
      <c r="H303" s="21" t="str">
        <f t="shared" si="1"/>
        <v/>
      </c>
      <c r="I303" s="19"/>
    </row>
    <row r="304" ht="15.75" customHeight="1">
      <c r="A304" s="3"/>
      <c r="B304" s="19"/>
      <c r="C304" s="19"/>
      <c r="D304" s="19"/>
      <c r="E304" s="19"/>
      <c r="F304" s="28"/>
      <c r="G304" s="30"/>
      <c r="H304" s="21" t="str">
        <f t="shared" si="1"/>
        <v/>
      </c>
      <c r="I304" s="19"/>
    </row>
    <row r="305" ht="15.75" customHeight="1">
      <c r="A305" s="3"/>
      <c r="B305" s="19"/>
      <c r="C305" s="19"/>
      <c r="D305" s="19"/>
      <c r="E305" s="19"/>
      <c r="F305" s="28"/>
      <c r="G305" s="30"/>
      <c r="H305" s="21" t="str">
        <f t="shared" si="1"/>
        <v/>
      </c>
      <c r="I305" s="19"/>
    </row>
    <row r="306" ht="15.75" customHeight="1">
      <c r="A306" s="3"/>
      <c r="B306" s="19"/>
      <c r="C306" s="19"/>
      <c r="D306" s="19"/>
      <c r="E306" s="19"/>
      <c r="F306" s="28"/>
      <c r="G306" s="30"/>
      <c r="H306" s="21" t="str">
        <f t="shared" si="1"/>
        <v/>
      </c>
      <c r="I306" s="19"/>
    </row>
    <row r="307" ht="15.75" customHeight="1">
      <c r="A307" s="3"/>
      <c r="B307" s="19"/>
      <c r="C307" s="19"/>
      <c r="D307" s="19"/>
      <c r="E307" s="19"/>
      <c r="F307" s="28"/>
      <c r="G307" s="30"/>
      <c r="H307" s="21" t="str">
        <f t="shared" si="1"/>
        <v/>
      </c>
      <c r="I307" s="19"/>
    </row>
    <row r="308" ht="15.75" customHeight="1">
      <c r="A308" s="3"/>
      <c r="B308" s="19"/>
      <c r="C308" s="19"/>
      <c r="D308" s="19"/>
      <c r="E308" s="19"/>
      <c r="F308" s="28"/>
      <c r="G308" s="30"/>
      <c r="H308" s="21" t="str">
        <f t="shared" si="1"/>
        <v/>
      </c>
      <c r="I308" s="19"/>
    </row>
    <row r="309" ht="15.75" customHeight="1">
      <c r="A309" s="3"/>
      <c r="B309" s="19"/>
      <c r="C309" s="19"/>
      <c r="D309" s="19"/>
      <c r="E309" s="19"/>
      <c r="F309" s="28"/>
      <c r="G309" s="30"/>
      <c r="H309" s="21" t="str">
        <f t="shared" si="1"/>
        <v/>
      </c>
      <c r="I309" s="19"/>
    </row>
    <row r="310" ht="15.75" customHeight="1">
      <c r="A310" s="3"/>
      <c r="B310" s="19"/>
      <c r="C310" s="19"/>
      <c r="D310" s="19"/>
      <c r="E310" s="19"/>
      <c r="F310" s="28"/>
      <c r="G310" s="30"/>
      <c r="H310" s="21" t="str">
        <f t="shared" si="1"/>
        <v/>
      </c>
      <c r="I310" s="19"/>
    </row>
    <row r="311" ht="15.75" customHeight="1">
      <c r="A311" s="3"/>
      <c r="B311" s="19"/>
      <c r="C311" s="19"/>
      <c r="D311" s="19"/>
      <c r="E311" s="19"/>
      <c r="F311" s="28"/>
      <c r="G311" s="30"/>
      <c r="H311" s="21" t="str">
        <f t="shared" si="1"/>
        <v/>
      </c>
      <c r="I311" s="19"/>
    </row>
    <row r="312" ht="15.75" customHeight="1">
      <c r="A312" s="3"/>
      <c r="B312" s="19"/>
      <c r="C312" s="19"/>
      <c r="D312" s="19"/>
      <c r="E312" s="19"/>
      <c r="F312" s="28"/>
      <c r="G312" s="30"/>
      <c r="H312" s="21" t="str">
        <f t="shared" si="1"/>
        <v/>
      </c>
      <c r="I312" s="19"/>
    </row>
    <row r="313" ht="15.75" customHeight="1">
      <c r="A313" s="3"/>
      <c r="B313" s="19"/>
      <c r="C313" s="19"/>
      <c r="D313" s="19"/>
      <c r="E313" s="19"/>
      <c r="F313" s="28"/>
      <c r="G313" s="30"/>
      <c r="H313" s="21" t="str">
        <f t="shared" si="1"/>
        <v/>
      </c>
      <c r="I313" s="19"/>
    </row>
    <row r="314" ht="15.75" customHeight="1">
      <c r="A314" s="3"/>
      <c r="B314" s="19"/>
      <c r="C314" s="19"/>
      <c r="D314" s="19"/>
      <c r="E314" s="19"/>
      <c r="F314" s="28"/>
      <c r="G314" s="30"/>
      <c r="H314" s="21" t="str">
        <f t="shared" si="1"/>
        <v/>
      </c>
      <c r="I314" s="19"/>
    </row>
    <row r="315" ht="15.75" customHeight="1">
      <c r="A315" s="3"/>
      <c r="B315" s="19"/>
      <c r="C315" s="19"/>
      <c r="D315" s="19"/>
      <c r="E315" s="19"/>
      <c r="F315" s="28"/>
      <c r="G315" s="30"/>
      <c r="H315" s="21" t="str">
        <f t="shared" si="1"/>
        <v/>
      </c>
      <c r="I315" s="19"/>
    </row>
    <row r="316" ht="15.75" customHeight="1">
      <c r="A316" s="3"/>
      <c r="B316" s="19"/>
      <c r="C316" s="19"/>
      <c r="D316" s="19"/>
      <c r="E316" s="19"/>
      <c r="F316" s="28"/>
      <c r="G316" s="30"/>
      <c r="H316" s="21" t="str">
        <f t="shared" si="1"/>
        <v/>
      </c>
      <c r="I316" s="19"/>
    </row>
    <row r="317" ht="15.75" customHeight="1">
      <c r="A317" s="3"/>
      <c r="B317" s="19"/>
      <c r="C317" s="19"/>
      <c r="D317" s="19"/>
      <c r="E317" s="19"/>
      <c r="F317" s="28"/>
      <c r="G317" s="30"/>
      <c r="H317" s="21" t="str">
        <f t="shared" si="1"/>
        <v/>
      </c>
      <c r="I317" s="19"/>
    </row>
    <row r="318" ht="15.75" customHeight="1">
      <c r="A318" s="3"/>
      <c r="B318" s="19"/>
      <c r="C318" s="19"/>
      <c r="D318" s="19"/>
      <c r="E318" s="19"/>
      <c r="F318" s="28"/>
      <c r="G318" s="30"/>
      <c r="H318" s="21" t="str">
        <f t="shared" si="1"/>
        <v/>
      </c>
      <c r="I318" s="19"/>
    </row>
    <row r="319" ht="15.75" customHeight="1">
      <c r="A319" s="3"/>
      <c r="B319" s="19"/>
      <c r="C319" s="19"/>
      <c r="D319" s="19"/>
      <c r="E319" s="19"/>
      <c r="F319" s="28"/>
      <c r="G319" s="30"/>
      <c r="H319" s="21" t="str">
        <f t="shared" si="1"/>
        <v/>
      </c>
      <c r="I319" s="19"/>
    </row>
    <row r="320" ht="15.75" customHeight="1">
      <c r="A320" s="3"/>
      <c r="B320" s="19"/>
      <c r="C320" s="19"/>
      <c r="D320" s="19"/>
      <c r="E320" s="19"/>
      <c r="F320" s="28"/>
      <c r="G320" s="30"/>
      <c r="H320" s="21" t="str">
        <f t="shared" si="1"/>
        <v/>
      </c>
      <c r="I320" s="19"/>
    </row>
    <row r="321" ht="15.75" customHeight="1">
      <c r="A321" s="3"/>
      <c r="B321" s="19"/>
      <c r="C321" s="19"/>
      <c r="D321" s="19"/>
      <c r="E321" s="19"/>
      <c r="F321" s="28"/>
      <c r="G321" s="30"/>
      <c r="H321" s="21" t="str">
        <f t="shared" si="1"/>
        <v/>
      </c>
      <c r="I321" s="19"/>
    </row>
    <row r="322" ht="15.75" customHeight="1">
      <c r="A322" s="3"/>
      <c r="B322" s="19"/>
      <c r="C322" s="19"/>
      <c r="D322" s="19"/>
      <c r="E322" s="19"/>
      <c r="F322" s="28"/>
      <c r="G322" s="30"/>
      <c r="H322" s="21" t="str">
        <f t="shared" si="1"/>
        <v/>
      </c>
      <c r="I322" s="19"/>
    </row>
    <row r="323" ht="15.75" customHeight="1">
      <c r="A323" s="3"/>
      <c r="B323" s="19"/>
      <c r="C323" s="19"/>
      <c r="D323" s="19"/>
      <c r="E323" s="19"/>
      <c r="F323" s="28"/>
      <c r="G323" s="30"/>
      <c r="H323" s="21" t="str">
        <f t="shared" si="1"/>
        <v/>
      </c>
      <c r="I323" s="19"/>
    </row>
    <row r="324" ht="15.75" customHeight="1">
      <c r="A324" s="3"/>
      <c r="B324" s="19"/>
      <c r="C324" s="19"/>
      <c r="D324" s="19"/>
      <c r="E324" s="19"/>
      <c r="F324" s="28"/>
      <c r="G324" s="30"/>
      <c r="H324" s="21" t="str">
        <f t="shared" si="1"/>
        <v/>
      </c>
      <c r="I324" s="19"/>
    </row>
    <row r="325" ht="15.75" customHeight="1">
      <c r="A325" s="3"/>
      <c r="B325" s="19"/>
      <c r="C325" s="19"/>
      <c r="D325" s="19"/>
      <c r="E325" s="19"/>
      <c r="F325" s="28"/>
      <c r="G325" s="30"/>
      <c r="H325" s="21" t="str">
        <f t="shared" si="1"/>
        <v/>
      </c>
      <c r="I325" s="19"/>
    </row>
    <row r="326" ht="15.75" customHeight="1">
      <c r="A326" s="3"/>
      <c r="B326" s="19"/>
      <c r="C326" s="19"/>
      <c r="D326" s="19"/>
      <c r="E326" s="19"/>
      <c r="F326" s="28"/>
      <c r="G326" s="30"/>
      <c r="H326" s="21" t="str">
        <f t="shared" si="1"/>
        <v/>
      </c>
      <c r="I326" s="19"/>
    </row>
    <row r="327" ht="15.75" customHeight="1">
      <c r="A327" s="3"/>
      <c r="B327" s="19"/>
      <c r="C327" s="19"/>
      <c r="D327" s="19"/>
      <c r="E327" s="19"/>
      <c r="F327" s="28"/>
      <c r="G327" s="30"/>
      <c r="H327" s="21" t="str">
        <f t="shared" si="1"/>
        <v/>
      </c>
      <c r="I327" s="19"/>
    </row>
    <row r="328" ht="15.75" customHeight="1">
      <c r="A328" s="3"/>
      <c r="B328" s="19"/>
      <c r="C328" s="19"/>
      <c r="D328" s="19"/>
      <c r="E328" s="19"/>
      <c r="F328" s="28"/>
      <c r="G328" s="30"/>
      <c r="H328" s="21" t="str">
        <f t="shared" si="1"/>
        <v/>
      </c>
      <c r="I328" s="19"/>
    </row>
    <row r="329" ht="15.75" customHeight="1">
      <c r="A329" s="3"/>
      <c r="B329" s="19"/>
      <c r="C329" s="19"/>
      <c r="D329" s="19"/>
      <c r="E329" s="19"/>
      <c r="F329" s="28"/>
      <c r="G329" s="30"/>
      <c r="H329" s="21" t="str">
        <f t="shared" si="1"/>
        <v/>
      </c>
      <c r="I329" s="19"/>
    </row>
    <row r="330" ht="15.75" customHeight="1">
      <c r="A330" s="3"/>
      <c r="B330" s="19"/>
      <c r="C330" s="19"/>
      <c r="D330" s="19"/>
      <c r="E330" s="19"/>
      <c r="F330" s="28"/>
      <c r="G330" s="30"/>
      <c r="H330" s="21" t="str">
        <f t="shared" si="1"/>
        <v/>
      </c>
      <c r="I330" s="19"/>
    </row>
    <row r="331" ht="15.75" customHeight="1">
      <c r="A331" s="3"/>
      <c r="B331" s="19"/>
      <c r="C331" s="19"/>
      <c r="D331" s="19"/>
      <c r="E331" s="19"/>
      <c r="F331" s="28"/>
      <c r="G331" s="30"/>
      <c r="H331" s="21" t="str">
        <f t="shared" si="1"/>
        <v/>
      </c>
      <c r="I331" s="19"/>
    </row>
    <row r="332" ht="15.75" customHeight="1">
      <c r="A332" s="3"/>
      <c r="B332" s="19"/>
      <c r="C332" s="19"/>
      <c r="D332" s="19"/>
      <c r="E332" s="19"/>
      <c r="F332" s="28"/>
      <c r="G332" s="30"/>
      <c r="H332" s="21" t="str">
        <f t="shared" si="1"/>
        <v/>
      </c>
      <c r="I332" s="19"/>
    </row>
    <row r="333" ht="15.75" customHeight="1">
      <c r="A333" s="3"/>
      <c r="B333" s="19"/>
      <c r="C333" s="19"/>
      <c r="D333" s="19"/>
      <c r="E333" s="19"/>
      <c r="F333" s="28"/>
      <c r="G333" s="30"/>
      <c r="H333" s="21" t="str">
        <f t="shared" si="1"/>
        <v/>
      </c>
      <c r="I333" s="19"/>
    </row>
    <row r="334" ht="15.75" customHeight="1">
      <c r="A334" s="3"/>
      <c r="B334" s="19"/>
      <c r="C334" s="19"/>
      <c r="D334" s="19"/>
      <c r="E334" s="19"/>
      <c r="F334" s="28"/>
      <c r="G334" s="30"/>
      <c r="H334" s="21" t="str">
        <f t="shared" si="1"/>
        <v/>
      </c>
      <c r="I334" s="19"/>
    </row>
    <row r="335" ht="15.75" customHeight="1">
      <c r="A335" s="3"/>
      <c r="B335" s="19"/>
      <c r="C335" s="19"/>
      <c r="D335" s="19"/>
      <c r="E335" s="19"/>
      <c r="F335" s="28"/>
      <c r="G335" s="30"/>
      <c r="H335" s="21" t="str">
        <f t="shared" si="1"/>
        <v/>
      </c>
      <c r="I335" s="19"/>
    </row>
    <row r="336" ht="15.75" customHeight="1">
      <c r="A336" s="3"/>
      <c r="B336" s="19"/>
      <c r="C336" s="19"/>
      <c r="D336" s="19"/>
      <c r="E336" s="19"/>
      <c r="F336" s="28"/>
      <c r="G336" s="30"/>
      <c r="H336" s="21" t="str">
        <f t="shared" si="1"/>
        <v/>
      </c>
      <c r="I336" s="19"/>
    </row>
    <row r="337" ht="15.75" customHeight="1">
      <c r="A337" s="3"/>
      <c r="B337" s="19"/>
      <c r="C337" s="19"/>
      <c r="D337" s="19"/>
      <c r="E337" s="19"/>
      <c r="F337" s="28"/>
      <c r="G337" s="30"/>
      <c r="H337" s="21" t="str">
        <f t="shared" si="1"/>
        <v/>
      </c>
      <c r="I337" s="19"/>
    </row>
    <row r="338" ht="15.75" customHeight="1">
      <c r="A338" s="3"/>
      <c r="B338" s="19"/>
      <c r="C338" s="19"/>
      <c r="D338" s="19"/>
      <c r="E338" s="19"/>
      <c r="F338" s="28"/>
      <c r="G338" s="30"/>
      <c r="H338" s="21" t="str">
        <f t="shared" si="1"/>
        <v/>
      </c>
      <c r="I338" s="19"/>
    </row>
    <row r="339" ht="15.75" customHeight="1">
      <c r="A339" s="3"/>
      <c r="B339" s="19"/>
      <c r="C339" s="19"/>
      <c r="D339" s="19"/>
      <c r="E339" s="19"/>
      <c r="F339" s="28"/>
      <c r="G339" s="30"/>
      <c r="H339" s="21" t="str">
        <f t="shared" si="1"/>
        <v/>
      </c>
      <c r="I339" s="19"/>
    </row>
    <row r="340" ht="15.75" customHeight="1">
      <c r="A340" s="3"/>
      <c r="B340" s="19"/>
      <c r="C340" s="19"/>
      <c r="D340" s="19"/>
      <c r="E340" s="19"/>
      <c r="F340" s="28"/>
      <c r="G340" s="30"/>
      <c r="H340" s="21" t="str">
        <f t="shared" si="1"/>
        <v/>
      </c>
      <c r="I340" s="19"/>
    </row>
    <row r="341" ht="15.75" customHeight="1">
      <c r="A341" s="3"/>
      <c r="B341" s="19"/>
      <c r="C341" s="19"/>
      <c r="D341" s="19"/>
      <c r="E341" s="19"/>
      <c r="F341" s="28"/>
      <c r="G341" s="30"/>
      <c r="H341" s="21" t="str">
        <f t="shared" si="1"/>
        <v/>
      </c>
      <c r="I341" s="19"/>
    </row>
    <row r="342" ht="15.75" customHeight="1">
      <c r="A342" s="3"/>
      <c r="B342" s="19"/>
      <c r="C342" s="19"/>
      <c r="D342" s="19"/>
      <c r="E342" s="19"/>
      <c r="F342" s="28"/>
      <c r="G342" s="30"/>
      <c r="H342" s="21" t="str">
        <f t="shared" si="1"/>
        <v/>
      </c>
      <c r="I342" s="19"/>
    </row>
    <row r="343" ht="15.75" customHeight="1">
      <c r="A343" s="3"/>
      <c r="B343" s="19"/>
      <c r="C343" s="19"/>
      <c r="D343" s="19"/>
      <c r="E343" s="19"/>
      <c r="F343" s="28"/>
      <c r="G343" s="30"/>
      <c r="H343" s="21" t="str">
        <f t="shared" si="1"/>
        <v/>
      </c>
      <c r="I343" s="19"/>
    </row>
    <row r="344" ht="15.75" customHeight="1">
      <c r="A344" s="3"/>
      <c r="B344" s="19"/>
      <c r="C344" s="19"/>
      <c r="D344" s="19"/>
      <c r="E344" s="19"/>
      <c r="F344" s="28"/>
      <c r="G344" s="30"/>
      <c r="H344" s="21" t="str">
        <f t="shared" si="1"/>
        <v/>
      </c>
      <c r="I344" s="19"/>
    </row>
    <row r="345" ht="15.75" customHeight="1">
      <c r="A345" s="3"/>
      <c r="B345" s="19"/>
      <c r="C345" s="19"/>
      <c r="D345" s="19"/>
      <c r="E345" s="19"/>
      <c r="F345" s="28"/>
      <c r="G345" s="30"/>
      <c r="H345" s="21" t="str">
        <f t="shared" si="1"/>
        <v/>
      </c>
      <c r="I345" s="19"/>
    </row>
    <row r="346" ht="15.75" customHeight="1">
      <c r="A346" s="3"/>
      <c r="B346" s="19"/>
      <c r="C346" s="19"/>
      <c r="D346" s="19"/>
      <c r="E346" s="19"/>
      <c r="F346" s="28"/>
      <c r="G346" s="30"/>
      <c r="H346" s="21" t="str">
        <f t="shared" si="1"/>
        <v/>
      </c>
      <c r="I346" s="19"/>
    </row>
    <row r="347" ht="15.75" customHeight="1">
      <c r="A347" s="3"/>
      <c r="B347" s="19"/>
      <c r="C347" s="19"/>
      <c r="D347" s="19"/>
      <c r="E347" s="19"/>
      <c r="F347" s="28"/>
      <c r="G347" s="30"/>
      <c r="H347" s="21" t="str">
        <f t="shared" si="1"/>
        <v/>
      </c>
      <c r="I347" s="19"/>
    </row>
    <row r="348" ht="15.75" customHeight="1">
      <c r="A348" s="3"/>
      <c r="B348" s="19"/>
      <c r="C348" s="19"/>
      <c r="D348" s="19"/>
      <c r="E348" s="19"/>
      <c r="F348" s="28"/>
      <c r="G348" s="30"/>
      <c r="H348" s="21" t="str">
        <f t="shared" si="1"/>
        <v/>
      </c>
      <c r="I348" s="19"/>
    </row>
    <row r="349" ht="15.75" customHeight="1">
      <c r="A349" s="3"/>
      <c r="B349" s="19"/>
      <c r="C349" s="19"/>
      <c r="D349" s="19"/>
      <c r="E349" s="19"/>
      <c r="F349" s="28"/>
      <c r="G349" s="30"/>
      <c r="H349" s="21" t="str">
        <f t="shared" si="1"/>
        <v/>
      </c>
      <c r="I349" s="19"/>
    </row>
    <row r="350" ht="15.75" customHeight="1">
      <c r="A350" s="3"/>
      <c r="B350" s="19"/>
      <c r="C350" s="19"/>
      <c r="D350" s="19"/>
      <c r="E350" s="19"/>
      <c r="F350" s="28"/>
      <c r="G350" s="30"/>
      <c r="H350" s="21" t="str">
        <f t="shared" si="1"/>
        <v/>
      </c>
      <c r="I350" s="19"/>
    </row>
    <row r="351" ht="15.75" customHeight="1">
      <c r="A351" s="3"/>
      <c r="B351" s="19"/>
      <c r="C351" s="19"/>
      <c r="D351" s="19"/>
      <c r="E351" s="19"/>
      <c r="F351" s="28"/>
      <c r="G351" s="30"/>
      <c r="H351" s="21" t="str">
        <f t="shared" si="1"/>
        <v/>
      </c>
      <c r="I351" s="19"/>
    </row>
    <row r="352" ht="15.75" customHeight="1">
      <c r="A352" s="3"/>
      <c r="B352" s="19"/>
      <c r="C352" s="19"/>
      <c r="D352" s="19"/>
      <c r="E352" s="19"/>
      <c r="F352" s="28"/>
      <c r="G352" s="30"/>
      <c r="H352" s="21" t="str">
        <f t="shared" si="1"/>
        <v/>
      </c>
      <c r="I352" s="19"/>
    </row>
    <row r="353" ht="15.75" customHeight="1">
      <c r="A353" s="3"/>
      <c r="B353" s="19"/>
      <c r="C353" s="19"/>
      <c r="D353" s="19"/>
      <c r="E353" s="19"/>
      <c r="F353" s="28"/>
      <c r="G353" s="30"/>
      <c r="H353" s="21" t="str">
        <f t="shared" si="1"/>
        <v/>
      </c>
      <c r="I353" s="19"/>
    </row>
    <row r="354" ht="15.75" customHeight="1">
      <c r="A354" s="3"/>
      <c r="B354" s="19"/>
      <c r="C354" s="19"/>
      <c r="D354" s="19"/>
      <c r="E354" s="19"/>
      <c r="F354" s="28"/>
      <c r="G354" s="30"/>
      <c r="H354" s="21" t="str">
        <f t="shared" si="1"/>
        <v/>
      </c>
      <c r="I354" s="19"/>
    </row>
    <row r="355" ht="15.75" customHeight="1">
      <c r="A355" s="3"/>
      <c r="B355" s="19"/>
      <c r="C355" s="19"/>
      <c r="D355" s="19"/>
      <c r="E355" s="19"/>
      <c r="F355" s="28"/>
      <c r="G355" s="30"/>
      <c r="H355" s="21" t="str">
        <f t="shared" si="1"/>
        <v/>
      </c>
      <c r="I355" s="19"/>
    </row>
    <row r="356" ht="15.75" customHeight="1">
      <c r="A356" s="3"/>
      <c r="B356" s="19"/>
      <c r="C356" s="19"/>
      <c r="D356" s="19"/>
      <c r="E356" s="19"/>
      <c r="F356" s="28"/>
      <c r="G356" s="30"/>
      <c r="H356" s="21" t="str">
        <f t="shared" si="1"/>
        <v/>
      </c>
      <c r="I356" s="19"/>
    </row>
    <row r="357" ht="15.75" customHeight="1">
      <c r="A357" s="3"/>
      <c r="B357" s="19"/>
      <c r="C357" s="19"/>
      <c r="D357" s="19"/>
      <c r="E357" s="19"/>
      <c r="F357" s="28"/>
      <c r="G357" s="30"/>
      <c r="H357" s="21" t="str">
        <f t="shared" si="1"/>
        <v/>
      </c>
      <c r="I357" s="19"/>
    </row>
    <row r="358" ht="15.75" customHeight="1">
      <c r="A358" s="3"/>
      <c r="B358" s="19"/>
      <c r="C358" s="19"/>
      <c r="D358" s="19"/>
      <c r="E358" s="19"/>
      <c r="F358" s="28"/>
      <c r="G358" s="30"/>
      <c r="H358" s="21" t="str">
        <f t="shared" si="1"/>
        <v/>
      </c>
      <c r="I358" s="19"/>
    </row>
    <row r="359" ht="15.75" customHeight="1">
      <c r="A359" s="3"/>
      <c r="B359" s="19"/>
      <c r="C359" s="19"/>
      <c r="D359" s="19"/>
      <c r="E359" s="19"/>
      <c r="F359" s="28"/>
      <c r="G359" s="30"/>
      <c r="H359" s="21" t="str">
        <f t="shared" si="1"/>
        <v/>
      </c>
      <c r="I359" s="19"/>
    </row>
    <row r="360" ht="15.75" customHeight="1">
      <c r="A360" s="3"/>
      <c r="B360" s="19"/>
      <c r="C360" s="19"/>
      <c r="D360" s="19"/>
      <c r="E360" s="19"/>
      <c r="F360" s="28"/>
      <c r="G360" s="30"/>
      <c r="H360" s="21" t="str">
        <f t="shared" si="1"/>
        <v/>
      </c>
      <c r="I360" s="19"/>
    </row>
    <row r="361" ht="15.75" customHeight="1">
      <c r="A361" s="3"/>
      <c r="B361" s="19"/>
      <c r="C361" s="19"/>
      <c r="D361" s="19"/>
      <c r="E361" s="19"/>
      <c r="F361" s="28"/>
      <c r="G361" s="30"/>
      <c r="H361" s="21" t="str">
        <f t="shared" si="1"/>
        <v/>
      </c>
      <c r="I361" s="19"/>
    </row>
    <row r="362" ht="15.75" customHeight="1">
      <c r="A362" s="3"/>
      <c r="B362" s="19"/>
      <c r="C362" s="19"/>
      <c r="D362" s="19"/>
      <c r="E362" s="19"/>
      <c r="F362" s="28"/>
      <c r="G362" s="30"/>
      <c r="H362" s="21" t="str">
        <f t="shared" si="1"/>
        <v/>
      </c>
      <c r="I362" s="19"/>
    </row>
    <row r="363" ht="15.75" customHeight="1">
      <c r="A363" s="3"/>
      <c r="B363" s="19"/>
      <c r="C363" s="19"/>
      <c r="D363" s="19"/>
      <c r="E363" s="19"/>
      <c r="F363" s="28"/>
      <c r="G363" s="30"/>
      <c r="H363" s="21" t="str">
        <f t="shared" si="1"/>
        <v/>
      </c>
      <c r="I363" s="19"/>
    </row>
    <row r="364" ht="15.75" customHeight="1">
      <c r="A364" s="3"/>
      <c r="B364" s="19"/>
      <c r="C364" s="19"/>
      <c r="D364" s="19"/>
      <c r="E364" s="19"/>
      <c r="F364" s="28"/>
      <c r="G364" s="30"/>
      <c r="H364" s="21" t="str">
        <f t="shared" si="1"/>
        <v/>
      </c>
      <c r="I364" s="19"/>
    </row>
    <row r="365" ht="15.75" customHeight="1">
      <c r="A365" s="3"/>
      <c r="B365" s="19"/>
      <c r="C365" s="19"/>
      <c r="D365" s="19"/>
      <c r="E365" s="19"/>
      <c r="F365" s="28"/>
      <c r="G365" s="30"/>
      <c r="H365" s="21" t="str">
        <f t="shared" si="1"/>
        <v/>
      </c>
      <c r="I365" s="19"/>
    </row>
    <row r="366" ht="15.75" customHeight="1">
      <c r="A366" s="3"/>
      <c r="B366" s="19"/>
      <c r="C366" s="19"/>
      <c r="D366" s="19"/>
      <c r="E366" s="19"/>
      <c r="F366" s="28"/>
      <c r="G366" s="30"/>
      <c r="H366" s="21" t="str">
        <f t="shared" si="1"/>
        <v/>
      </c>
      <c r="I366" s="19"/>
    </row>
    <row r="367" ht="15.75" customHeight="1">
      <c r="A367" s="3"/>
      <c r="B367" s="19"/>
      <c r="C367" s="19"/>
      <c r="D367" s="19"/>
      <c r="E367" s="19"/>
      <c r="F367" s="28"/>
      <c r="G367" s="30"/>
      <c r="H367" s="21" t="str">
        <f t="shared" si="1"/>
        <v/>
      </c>
      <c r="I367" s="19"/>
    </row>
    <row r="368" ht="15.75" customHeight="1">
      <c r="A368" s="3"/>
      <c r="B368" s="19"/>
      <c r="C368" s="19"/>
      <c r="D368" s="19"/>
      <c r="E368" s="19"/>
      <c r="F368" s="28"/>
      <c r="G368" s="30"/>
      <c r="H368" s="21" t="str">
        <f t="shared" si="1"/>
        <v/>
      </c>
      <c r="I368" s="19"/>
    </row>
    <row r="369" ht="15.75" customHeight="1">
      <c r="A369" s="3"/>
      <c r="B369" s="19"/>
      <c r="C369" s="19"/>
      <c r="D369" s="19"/>
      <c r="E369" s="19"/>
      <c r="F369" s="28"/>
      <c r="G369" s="30"/>
      <c r="H369" s="21" t="str">
        <f t="shared" si="1"/>
        <v/>
      </c>
      <c r="I369" s="19"/>
    </row>
    <row r="370" ht="15.75" customHeight="1">
      <c r="A370" s="3"/>
      <c r="B370" s="19"/>
      <c r="C370" s="19"/>
      <c r="D370" s="19"/>
      <c r="E370" s="19"/>
      <c r="F370" s="28"/>
      <c r="G370" s="30"/>
      <c r="H370" s="21" t="str">
        <f t="shared" si="1"/>
        <v/>
      </c>
      <c r="I370" s="19"/>
    </row>
    <row r="371" ht="15.75" customHeight="1">
      <c r="A371" s="3"/>
      <c r="B371" s="19"/>
      <c r="C371" s="19"/>
      <c r="D371" s="19"/>
      <c r="E371" s="19"/>
      <c r="F371" s="28"/>
      <c r="G371" s="30"/>
      <c r="H371" s="21" t="str">
        <f t="shared" si="1"/>
        <v/>
      </c>
      <c r="I371" s="19"/>
    </row>
    <row r="372" ht="15.75" customHeight="1">
      <c r="A372" s="3"/>
      <c r="B372" s="19"/>
      <c r="C372" s="19"/>
      <c r="D372" s="19"/>
      <c r="E372" s="19"/>
      <c r="F372" s="28"/>
      <c r="G372" s="30"/>
      <c r="H372" s="21" t="str">
        <f t="shared" si="1"/>
        <v/>
      </c>
      <c r="I372" s="19"/>
    </row>
    <row r="373" ht="15.75" customHeight="1">
      <c r="A373" s="3"/>
      <c r="B373" s="19"/>
      <c r="C373" s="19"/>
      <c r="D373" s="19"/>
      <c r="E373" s="19"/>
      <c r="F373" s="28"/>
      <c r="G373" s="30"/>
      <c r="H373" s="21" t="str">
        <f t="shared" si="1"/>
        <v/>
      </c>
      <c r="I373" s="19"/>
    </row>
    <row r="374" ht="15.75" customHeight="1">
      <c r="A374" s="3"/>
      <c r="B374" s="19"/>
      <c r="C374" s="19"/>
      <c r="D374" s="19"/>
      <c r="E374" s="19"/>
      <c r="F374" s="28"/>
      <c r="G374" s="30"/>
      <c r="H374" s="21" t="str">
        <f t="shared" si="1"/>
        <v/>
      </c>
      <c r="I374" s="19"/>
    </row>
    <row r="375" ht="15.75" customHeight="1">
      <c r="A375" s="3"/>
      <c r="B375" s="19"/>
      <c r="C375" s="19"/>
      <c r="D375" s="19"/>
      <c r="E375" s="19"/>
      <c r="F375" s="28"/>
      <c r="G375" s="30"/>
      <c r="H375" s="21" t="str">
        <f t="shared" si="1"/>
        <v/>
      </c>
      <c r="I375" s="19"/>
    </row>
    <row r="376" ht="15.75" customHeight="1">
      <c r="A376" s="3"/>
      <c r="B376" s="19"/>
      <c r="C376" s="19"/>
      <c r="D376" s="19"/>
      <c r="E376" s="19"/>
      <c r="F376" s="28"/>
      <c r="G376" s="30"/>
      <c r="H376" s="21" t="str">
        <f t="shared" si="1"/>
        <v/>
      </c>
      <c r="I376" s="19"/>
    </row>
    <row r="377" ht="15.75" customHeight="1">
      <c r="A377" s="3"/>
      <c r="B377" s="19"/>
      <c r="C377" s="19"/>
      <c r="D377" s="19"/>
      <c r="E377" s="19"/>
      <c r="F377" s="28"/>
      <c r="G377" s="30"/>
      <c r="H377" s="21" t="str">
        <f t="shared" si="1"/>
        <v/>
      </c>
      <c r="I377" s="19"/>
    </row>
    <row r="378" ht="15.75" customHeight="1">
      <c r="A378" s="3"/>
      <c r="B378" s="19"/>
      <c r="C378" s="19"/>
      <c r="D378" s="19"/>
      <c r="E378" s="19"/>
      <c r="F378" s="28"/>
      <c r="G378" s="30"/>
      <c r="H378" s="21" t="str">
        <f t="shared" si="1"/>
        <v/>
      </c>
      <c r="I378" s="19"/>
    </row>
    <row r="379" ht="15.75" customHeight="1">
      <c r="A379" s="3"/>
      <c r="B379" s="19"/>
      <c r="C379" s="19"/>
      <c r="D379" s="19"/>
      <c r="E379" s="19"/>
      <c r="F379" s="28"/>
      <c r="G379" s="30"/>
      <c r="H379" s="21" t="str">
        <f t="shared" si="1"/>
        <v/>
      </c>
      <c r="I379" s="19"/>
    </row>
    <row r="380" ht="15.75" customHeight="1">
      <c r="A380" s="3"/>
      <c r="B380" s="19"/>
      <c r="C380" s="19"/>
      <c r="D380" s="19"/>
      <c r="E380" s="19"/>
      <c r="F380" s="28"/>
      <c r="G380" s="30"/>
      <c r="H380" s="21" t="str">
        <f t="shared" si="1"/>
        <v/>
      </c>
      <c r="I380" s="19"/>
    </row>
    <row r="381" ht="15.75" customHeight="1">
      <c r="A381" s="3"/>
      <c r="B381" s="19"/>
      <c r="C381" s="19"/>
      <c r="D381" s="19"/>
      <c r="E381" s="19"/>
      <c r="F381" s="28"/>
      <c r="G381" s="30"/>
      <c r="H381" s="21" t="str">
        <f t="shared" si="1"/>
        <v/>
      </c>
      <c r="I381" s="19"/>
    </row>
    <row r="382" ht="15.75" customHeight="1">
      <c r="A382" s="3"/>
      <c r="B382" s="19"/>
      <c r="C382" s="19"/>
      <c r="D382" s="19"/>
      <c r="E382" s="19"/>
      <c r="F382" s="28"/>
      <c r="G382" s="30"/>
      <c r="H382" s="21" t="str">
        <f t="shared" si="1"/>
        <v/>
      </c>
      <c r="I382" s="19"/>
    </row>
    <row r="383" ht="15.75" customHeight="1">
      <c r="A383" s="3"/>
      <c r="B383" s="19"/>
      <c r="C383" s="19"/>
      <c r="D383" s="19"/>
      <c r="E383" s="19"/>
      <c r="F383" s="28"/>
      <c r="G383" s="30"/>
      <c r="H383" s="21" t="str">
        <f t="shared" si="1"/>
        <v/>
      </c>
      <c r="I383" s="19"/>
    </row>
    <row r="384" ht="15.75" customHeight="1">
      <c r="A384" s="3"/>
      <c r="B384" s="19"/>
      <c r="C384" s="19"/>
      <c r="D384" s="19"/>
      <c r="E384" s="19"/>
      <c r="F384" s="28"/>
      <c r="G384" s="30"/>
      <c r="H384" s="21" t="str">
        <f t="shared" si="1"/>
        <v/>
      </c>
      <c r="I384" s="19"/>
    </row>
    <row r="385" ht="15.75" customHeight="1">
      <c r="A385" s="3"/>
      <c r="B385" s="19"/>
      <c r="C385" s="19"/>
      <c r="D385" s="19"/>
      <c r="E385" s="19"/>
      <c r="F385" s="28"/>
      <c r="G385" s="30"/>
      <c r="H385" s="21" t="str">
        <f t="shared" si="1"/>
        <v/>
      </c>
      <c r="I385" s="19"/>
    </row>
    <row r="386" ht="15.75" customHeight="1">
      <c r="A386" s="3"/>
      <c r="B386" s="19"/>
      <c r="C386" s="19"/>
      <c r="D386" s="19"/>
      <c r="E386" s="19"/>
      <c r="F386" s="28"/>
      <c r="G386" s="30"/>
      <c r="H386" s="21" t="str">
        <f t="shared" si="1"/>
        <v/>
      </c>
      <c r="I386" s="19"/>
    </row>
    <row r="387" ht="15.75" customHeight="1">
      <c r="A387" s="3"/>
      <c r="B387" s="19"/>
      <c r="C387" s="19"/>
      <c r="D387" s="19"/>
      <c r="E387" s="19"/>
      <c r="F387" s="28"/>
      <c r="G387" s="30"/>
      <c r="H387" s="21" t="str">
        <f t="shared" si="1"/>
        <v/>
      </c>
      <c r="I387" s="19"/>
    </row>
    <row r="388" ht="15.75" customHeight="1">
      <c r="A388" s="3"/>
      <c r="B388" s="19"/>
      <c r="C388" s="19"/>
      <c r="D388" s="19"/>
      <c r="E388" s="19"/>
      <c r="F388" s="28"/>
      <c r="G388" s="30"/>
      <c r="H388" s="21" t="str">
        <f t="shared" si="1"/>
        <v/>
      </c>
      <c r="I388" s="19"/>
    </row>
    <row r="389" ht="15.75" customHeight="1">
      <c r="A389" s="3"/>
      <c r="B389" s="19"/>
      <c r="C389" s="19"/>
      <c r="D389" s="19"/>
      <c r="E389" s="19"/>
      <c r="F389" s="28"/>
      <c r="G389" s="30"/>
      <c r="H389" s="21" t="str">
        <f t="shared" si="1"/>
        <v/>
      </c>
      <c r="I389" s="19"/>
    </row>
    <row r="390" ht="15.75" customHeight="1">
      <c r="A390" s="3"/>
      <c r="B390" s="19"/>
      <c r="C390" s="19"/>
      <c r="D390" s="19"/>
      <c r="E390" s="19"/>
      <c r="F390" s="28"/>
      <c r="G390" s="30"/>
      <c r="H390" s="21" t="str">
        <f t="shared" si="1"/>
        <v/>
      </c>
      <c r="I390" s="19"/>
    </row>
    <row r="391" ht="15.75" customHeight="1">
      <c r="A391" s="3"/>
      <c r="B391" s="19"/>
      <c r="C391" s="19"/>
      <c r="D391" s="19"/>
      <c r="E391" s="19"/>
      <c r="F391" s="28"/>
      <c r="G391" s="30"/>
      <c r="H391" s="21" t="str">
        <f t="shared" si="1"/>
        <v/>
      </c>
      <c r="I391" s="19"/>
    </row>
    <row r="392" ht="15.75" customHeight="1">
      <c r="A392" s="3"/>
      <c r="B392" s="19"/>
      <c r="C392" s="19"/>
      <c r="D392" s="19"/>
      <c r="E392" s="19"/>
      <c r="F392" s="28"/>
      <c r="G392" s="30"/>
      <c r="H392" s="21" t="str">
        <f t="shared" si="1"/>
        <v/>
      </c>
      <c r="I392" s="19"/>
    </row>
    <row r="393" ht="15.75" customHeight="1">
      <c r="A393" s="3"/>
      <c r="B393" s="19"/>
      <c r="C393" s="19"/>
      <c r="D393" s="19"/>
      <c r="E393" s="19"/>
      <c r="F393" s="28"/>
      <c r="G393" s="30"/>
      <c r="H393" s="21" t="str">
        <f t="shared" si="1"/>
        <v/>
      </c>
      <c r="I393" s="19"/>
    </row>
    <row r="394" ht="15.75" customHeight="1">
      <c r="A394" s="3"/>
      <c r="B394" s="19"/>
      <c r="C394" s="19"/>
      <c r="D394" s="19"/>
      <c r="E394" s="19"/>
      <c r="F394" s="28"/>
      <c r="G394" s="30"/>
      <c r="H394" s="21" t="str">
        <f t="shared" si="1"/>
        <v/>
      </c>
      <c r="I394" s="19"/>
    </row>
    <row r="395" ht="15.75" customHeight="1">
      <c r="A395" s="3"/>
      <c r="B395" s="19"/>
      <c r="C395" s="19"/>
      <c r="D395" s="19"/>
      <c r="E395" s="19"/>
      <c r="F395" s="28"/>
      <c r="G395" s="30"/>
      <c r="H395" s="21" t="str">
        <f t="shared" si="1"/>
        <v/>
      </c>
      <c r="I395" s="19"/>
    </row>
    <row r="396" ht="15.75" customHeight="1">
      <c r="A396" s="3"/>
      <c r="B396" s="19"/>
      <c r="C396" s="19"/>
      <c r="D396" s="19"/>
      <c r="E396" s="19"/>
      <c r="F396" s="28"/>
      <c r="G396" s="30"/>
      <c r="H396" s="21" t="str">
        <f t="shared" si="1"/>
        <v/>
      </c>
      <c r="I396" s="19"/>
    </row>
    <row r="397" ht="15.75" customHeight="1">
      <c r="A397" s="3"/>
      <c r="B397" s="19"/>
      <c r="C397" s="19"/>
      <c r="D397" s="19"/>
      <c r="E397" s="19"/>
      <c r="F397" s="28"/>
      <c r="G397" s="30"/>
      <c r="H397" s="21" t="str">
        <f t="shared" si="1"/>
        <v/>
      </c>
      <c r="I397" s="19"/>
    </row>
    <row r="398" ht="15.75" customHeight="1">
      <c r="A398" s="3"/>
      <c r="B398" s="19"/>
      <c r="C398" s="19"/>
      <c r="D398" s="19"/>
      <c r="E398" s="19"/>
      <c r="F398" s="28"/>
      <c r="G398" s="30"/>
      <c r="H398" s="21" t="str">
        <f t="shared" si="1"/>
        <v/>
      </c>
      <c r="I398" s="19"/>
    </row>
    <row r="399" ht="15.75" customHeight="1">
      <c r="A399" s="3"/>
      <c r="B399" s="19"/>
      <c r="C399" s="19"/>
      <c r="D399" s="19"/>
      <c r="E399" s="19"/>
      <c r="F399" s="28"/>
      <c r="G399" s="30"/>
      <c r="H399" s="21" t="str">
        <f t="shared" si="1"/>
        <v/>
      </c>
      <c r="I399" s="19"/>
    </row>
    <row r="400" ht="15.75" customHeight="1">
      <c r="A400" s="3"/>
      <c r="B400" s="19"/>
      <c r="C400" s="19"/>
      <c r="D400" s="19"/>
      <c r="E400" s="19"/>
      <c r="F400" s="28"/>
      <c r="G400" s="30"/>
      <c r="H400" s="21" t="str">
        <f t="shared" si="1"/>
        <v/>
      </c>
      <c r="I400" s="19"/>
    </row>
    <row r="401" ht="15.75" customHeight="1">
      <c r="A401" s="3"/>
      <c r="B401" s="19"/>
      <c r="C401" s="19"/>
      <c r="D401" s="19"/>
      <c r="E401" s="19"/>
      <c r="F401" s="28"/>
      <c r="G401" s="30"/>
      <c r="H401" s="21" t="str">
        <f t="shared" si="1"/>
        <v/>
      </c>
      <c r="I401" s="19"/>
    </row>
    <row r="402" ht="15.75" customHeight="1">
      <c r="A402" s="3"/>
      <c r="B402" s="19"/>
      <c r="C402" s="19"/>
      <c r="D402" s="19"/>
      <c r="E402" s="19"/>
      <c r="F402" s="28"/>
      <c r="G402" s="30"/>
      <c r="H402" s="21" t="str">
        <f t="shared" si="1"/>
        <v/>
      </c>
      <c r="I402" s="19"/>
    </row>
    <row r="403" ht="15.75" customHeight="1">
      <c r="A403" s="3"/>
      <c r="B403" s="19"/>
      <c r="C403" s="19"/>
      <c r="D403" s="19"/>
      <c r="E403" s="19"/>
      <c r="F403" s="28"/>
      <c r="G403" s="30"/>
      <c r="H403" s="21" t="str">
        <f t="shared" si="1"/>
        <v/>
      </c>
      <c r="I403" s="19"/>
    </row>
    <row r="404" ht="15.75" customHeight="1">
      <c r="A404" s="3"/>
      <c r="B404" s="19"/>
      <c r="C404" s="19"/>
      <c r="D404" s="19"/>
      <c r="E404" s="19"/>
      <c r="F404" s="28"/>
      <c r="G404" s="30"/>
      <c r="H404" s="21" t="str">
        <f t="shared" si="1"/>
        <v/>
      </c>
      <c r="I404" s="19"/>
    </row>
    <row r="405" ht="15.75" customHeight="1">
      <c r="A405" s="3"/>
      <c r="B405" s="19"/>
      <c r="C405" s="19"/>
      <c r="D405" s="19"/>
      <c r="E405" s="19"/>
      <c r="F405" s="28"/>
      <c r="G405" s="30"/>
      <c r="H405" s="21" t="str">
        <f t="shared" si="1"/>
        <v/>
      </c>
      <c r="I405" s="19"/>
    </row>
    <row r="406" ht="15.75" customHeight="1">
      <c r="A406" s="3"/>
      <c r="B406" s="19"/>
      <c r="C406" s="19"/>
      <c r="D406" s="19"/>
      <c r="E406" s="19"/>
      <c r="F406" s="28"/>
      <c r="G406" s="30"/>
      <c r="H406" s="21" t="str">
        <f t="shared" si="1"/>
        <v/>
      </c>
      <c r="I406" s="19"/>
    </row>
    <row r="407" ht="15.75" customHeight="1">
      <c r="A407" s="3"/>
      <c r="B407" s="19"/>
      <c r="C407" s="19"/>
      <c r="D407" s="19"/>
      <c r="E407" s="19"/>
      <c r="F407" s="28"/>
      <c r="G407" s="30"/>
      <c r="H407" s="21" t="str">
        <f t="shared" si="1"/>
        <v/>
      </c>
      <c r="I407" s="19"/>
    </row>
    <row r="408" ht="15.75" customHeight="1">
      <c r="A408" s="3"/>
      <c r="B408" s="19"/>
      <c r="C408" s="19"/>
      <c r="D408" s="19"/>
      <c r="E408" s="19"/>
      <c r="F408" s="28"/>
      <c r="G408" s="30"/>
      <c r="H408" s="21" t="str">
        <f t="shared" si="1"/>
        <v/>
      </c>
      <c r="I408" s="19"/>
    </row>
    <row r="409" ht="15.75" customHeight="1">
      <c r="A409" s="3"/>
      <c r="B409" s="19"/>
      <c r="C409" s="19"/>
      <c r="D409" s="19"/>
      <c r="E409" s="19"/>
      <c r="F409" s="28"/>
      <c r="G409" s="30"/>
      <c r="H409" s="21" t="str">
        <f t="shared" si="1"/>
        <v/>
      </c>
      <c r="I409" s="19"/>
    </row>
    <row r="410" ht="15.75" customHeight="1">
      <c r="A410" s="3"/>
      <c r="B410" s="19"/>
      <c r="C410" s="19"/>
      <c r="D410" s="19"/>
      <c r="E410" s="19"/>
      <c r="F410" s="28"/>
      <c r="G410" s="30"/>
      <c r="H410" s="21" t="str">
        <f t="shared" si="1"/>
        <v/>
      </c>
      <c r="I410" s="19"/>
    </row>
    <row r="411" ht="15.75" customHeight="1">
      <c r="A411" s="3"/>
      <c r="B411" s="19"/>
      <c r="C411" s="19"/>
      <c r="D411" s="19"/>
      <c r="E411" s="19"/>
      <c r="F411" s="28"/>
      <c r="G411" s="30"/>
      <c r="H411" s="21" t="str">
        <f t="shared" si="1"/>
        <v/>
      </c>
      <c r="I411" s="19"/>
    </row>
    <row r="412" ht="15.75" customHeight="1">
      <c r="A412" s="3"/>
      <c r="B412" s="19"/>
      <c r="C412" s="19"/>
      <c r="D412" s="19"/>
      <c r="E412" s="19"/>
      <c r="F412" s="28"/>
      <c r="G412" s="30"/>
      <c r="H412" s="21" t="str">
        <f t="shared" si="1"/>
        <v/>
      </c>
      <c r="I412" s="19"/>
    </row>
    <row r="413" ht="15.75" customHeight="1">
      <c r="A413" s="3"/>
      <c r="B413" s="19"/>
      <c r="C413" s="19"/>
      <c r="D413" s="19"/>
      <c r="E413" s="19"/>
      <c r="F413" s="28"/>
      <c r="G413" s="30"/>
      <c r="H413" s="21" t="str">
        <f t="shared" si="1"/>
        <v/>
      </c>
      <c r="I413" s="19"/>
    </row>
    <row r="414" ht="15.75" customHeight="1">
      <c r="A414" s="3"/>
      <c r="B414" s="19"/>
      <c r="C414" s="19"/>
      <c r="D414" s="19"/>
      <c r="E414" s="19"/>
      <c r="F414" s="28"/>
      <c r="G414" s="30"/>
      <c r="H414" s="21" t="str">
        <f t="shared" si="1"/>
        <v/>
      </c>
      <c r="I414" s="19"/>
    </row>
    <row r="415" ht="15.75" customHeight="1">
      <c r="A415" s="3"/>
      <c r="B415" s="19"/>
      <c r="C415" s="19"/>
      <c r="D415" s="19"/>
      <c r="E415" s="19"/>
      <c r="F415" s="28"/>
      <c r="G415" s="30"/>
      <c r="H415" s="21" t="str">
        <f t="shared" si="1"/>
        <v/>
      </c>
      <c r="I415" s="19"/>
    </row>
    <row r="416" ht="15.75" customHeight="1">
      <c r="A416" s="3"/>
      <c r="B416" s="19"/>
      <c r="C416" s="19"/>
      <c r="D416" s="19"/>
      <c r="E416" s="19"/>
      <c r="F416" s="28"/>
      <c r="G416" s="30"/>
      <c r="H416" s="21" t="str">
        <f t="shared" si="1"/>
        <v/>
      </c>
      <c r="I416" s="19"/>
    </row>
    <row r="417" ht="15.75" customHeight="1">
      <c r="A417" s="3"/>
      <c r="B417" s="19"/>
      <c r="C417" s="19"/>
      <c r="D417" s="19"/>
      <c r="E417" s="19"/>
      <c r="F417" s="28"/>
      <c r="G417" s="30"/>
      <c r="H417" s="21" t="str">
        <f t="shared" si="1"/>
        <v/>
      </c>
      <c r="I417" s="19"/>
    </row>
    <row r="418" ht="15.75" customHeight="1">
      <c r="A418" s="3"/>
      <c r="B418" s="19"/>
      <c r="C418" s="19"/>
      <c r="D418" s="19"/>
      <c r="E418" s="19"/>
      <c r="F418" s="28"/>
      <c r="G418" s="30"/>
      <c r="H418" s="21" t="str">
        <f t="shared" si="1"/>
        <v/>
      </c>
      <c r="I418" s="19"/>
    </row>
    <row r="419" ht="15.75" customHeight="1">
      <c r="A419" s="3"/>
      <c r="B419" s="19"/>
      <c r="C419" s="19"/>
      <c r="D419" s="19"/>
      <c r="E419" s="19"/>
      <c r="F419" s="28"/>
      <c r="G419" s="30"/>
      <c r="H419" s="21" t="str">
        <f t="shared" si="1"/>
        <v/>
      </c>
      <c r="I419" s="19"/>
    </row>
    <row r="420" ht="15.75" customHeight="1">
      <c r="A420" s="3"/>
      <c r="B420" s="19"/>
      <c r="C420" s="19"/>
      <c r="D420" s="19"/>
      <c r="E420" s="19"/>
      <c r="F420" s="28"/>
      <c r="G420" s="30"/>
      <c r="H420" s="21" t="str">
        <f t="shared" si="1"/>
        <v/>
      </c>
      <c r="I420" s="19"/>
    </row>
    <row r="421" ht="15.75" customHeight="1">
      <c r="A421" s="3"/>
      <c r="B421" s="19"/>
      <c r="C421" s="19"/>
      <c r="D421" s="19"/>
      <c r="E421" s="19"/>
      <c r="F421" s="28"/>
      <c r="G421" s="30"/>
      <c r="H421" s="21" t="str">
        <f t="shared" si="1"/>
        <v/>
      </c>
      <c r="I421" s="19"/>
    </row>
    <row r="422" ht="15.75" customHeight="1">
      <c r="A422" s="3"/>
      <c r="B422" s="19"/>
      <c r="C422" s="19"/>
      <c r="D422" s="19"/>
      <c r="E422" s="19"/>
      <c r="F422" s="28"/>
      <c r="G422" s="30"/>
      <c r="H422" s="21" t="str">
        <f t="shared" si="1"/>
        <v/>
      </c>
      <c r="I422" s="19"/>
    </row>
    <row r="423" ht="15.75" customHeight="1">
      <c r="A423" s="3"/>
      <c r="B423" s="19"/>
      <c r="C423" s="19"/>
      <c r="D423" s="19"/>
      <c r="E423" s="19"/>
      <c r="F423" s="28"/>
      <c r="G423" s="30"/>
      <c r="H423" s="21" t="str">
        <f t="shared" si="1"/>
        <v/>
      </c>
      <c r="I423" s="19"/>
    </row>
    <row r="424" ht="15.75" customHeight="1">
      <c r="A424" s="3"/>
      <c r="B424" s="19"/>
      <c r="C424" s="19"/>
      <c r="D424" s="19"/>
      <c r="E424" s="19"/>
      <c r="F424" s="28"/>
      <c r="G424" s="30"/>
      <c r="H424" s="21" t="str">
        <f t="shared" si="1"/>
        <v/>
      </c>
      <c r="I424" s="19"/>
    </row>
    <row r="425" ht="15.75" customHeight="1">
      <c r="A425" s="3"/>
      <c r="B425" s="19"/>
      <c r="C425" s="19"/>
      <c r="D425" s="19"/>
      <c r="E425" s="19"/>
      <c r="F425" s="28"/>
      <c r="G425" s="30"/>
      <c r="H425" s="21" t="str">
        <f t="shared" si="1"/>
        <v/>
      </c>
      <c r="I425" s="19"/>
    </row>
    <row r="426" ht="15.75" customHeight="1">
      <c r="A426" s="3"/>
      <c r="B426" s="19"/>
      <c r="C426" s="19"/>
      <c r="D426" s="19"/>
      <c r="E426" s="19"/>
      <c r="F426" s="28"/>
      <c r="G426" s="30"/>
      <c r="H426" s="21" t="str">
        <f t="shared" si="1"/>
        <v/>
      </c>
      <c r="I426" s="19"/>
    </row>
    <row r="427" ht="15.75" customHeight="1">
      <c r="A427" s="3"/>
      <c r="B427" s="19"/>
      <c r="C427" s="19"/>
      <c r="D427" s="19"/>
      <c r="E427" s="19"/>
      <c r="F427" s="28"/>
      <c r="G427" s="30"/>
      <c r="H427" s="21" t="str">
        <f t="shared" si="1"/>
        <v/>
      </c>
      <c r="I427" s="19"/>
    </row>
    <row r="428" ht="15.75" customHeight="1">
      <c r="A428" s="3"/>
      <c r="B428" s="19"/>
      <c r="C428" s="19"/>
      <c r="D428" s="19"/>
      <c r="E428" s="19"/>
      <c r="F428" s="28"/>
      <c r="G428" s="30"/>
      <c r="H428" s="21" t="str">
        <f t="shared" si="1"/>
        <v/>
      </c>
      <c r="I428" s="19"/>
    </row>
    <row r="429" ht="15.75" customHeight="1">
      <c r="A429" s="3"/>
      <c r="B429" s="19"/>
      <c r="C429" s="19"/>
      <c r="D429" s="19"/>
      <c r="E429" s="19"/>
      <c r="F429" s="28"/>
      <c r="G429" s="30"/>
      <c r="H429" s="21" t="str">
        <f t="shared" si="1"/>
        <v/>
      </c>
      <c r="I429" s="19"/>
    </row>
    <row r="430" ht="15.75" customHeight="1">
      <c r="A430" s="3"/>
      <c r="B430" s="19"/>
      <c r="C430" s="19"/>
      <c r="D430" s="19"/>
      <c r="E430" s="19"/>
      <c r="F430" s="28"/>
      <c r="G430" s="30"/>
      <c r="H430" s="21" t="str">
        <f t="shared" si="1"/>
        <v/>
      </c>
      <c r="I430" s="19"/>
    </row>
    <row r="431" ht="15.75" customHeight="1">
      <c r="A431" s="3"/>
      <c r="B431" s="19"/>
      <c r="C431" s="19"/>
      <c r="D431" s="19"/>
      <c r="E431" s="19"/>
      <c r="F431" s="28"/>
      <c r="G431" s="30"/>
      <c r="H431" s="21" t="str">
        <f t="shared" si="1"/>
        <v/>
      </c>
      <c r="I431" s="19"/>
    </row>
    <row r="432" ht="15.75" customHeight="1">
      <c r="A432" s="3"/>
      <c r="B432" s="19"/>
      <c r="C432" s="19"/>
      <c r="D432" s="19"/>
      <c r="E432" s="19"/>
      <c r="F432" s="28"/>
      <c r="G432" s="30"/>
      <c r="H432" s="21" t="str">
        <f t="shared" si="1"/>
        <v/>
      </c>
      <c r="I432" s="19"/>
    </row>
    <row r="433" ht="15.75" customHeight="1">
      <c r="A433" s="3"/>
      <c r="B433" s="19"/>
      <c r="C433" s="19"/>
      <c r="D433" s="19"/>
      <c r="E433" s="19"/>
      <c r="F433" s="28"/>
      <c r="G433" s="30"/>
      <c r="H433" s="21" t="str">
        <f t="shared" si="1"/>
        <v/>
      </c>
      <c r="I433" s="19"/>
    </row>
    <row r="434" ht="15.75" customHeight="1">
      <c r="A434" s="3"/>
      <c r="B434" s="19"/>
      <c r="C434" s="19"/>
      <c r="D434" s="19"/>
      <c r="E434" s="19"/>
      <c r="F434" s="28"/>
      <c r="G434" s="30"/>
      <c r="H434" s="21" t="str">
        <f t="shared" si="1"/>
        <v/>
      </c>
      <c r="I434" s="19"/>
    </row>
    <row r="435" ht="15.75" customHeight="1">
      <c r="A435" s="3"/>
      <c r="B435" s="19"/>
      <c r="C435" s="19"/>
      <c r="D435" s="19"/>
      <c r="E435" s="19"/>
      <c r="F435" s="28"/>
      <c r="G435" s="30"/>
      <c r="H435" s="21" t="str">
        <f t="shared" si="1"/>
        <v/>
      </c>
      <c r="I435" s="19"/>
    </row>
    <row r="436" ht="15.75" customHeight="1">
      <c r="A436" s="3"/>
      <c r="B436" s="19"/>
      <c r="C436" s="19"/>
      <c r="D436" s="19"/>
      <c r="E436" s="19"/>
      <c r="F436" s="28"/>
      <c r="G436" s="30"/>
      <c r="H436" s="21" t="str">
        <f t="shared" si="1"/>
        <v/>
      </c>
      <c r="I436" s="19"/>
    </row>
    <row r="437" ht="15.75" customHeight="1">
      <c r="A437" s="3"/>
      <c r="B437" s="19"/>
      <c r="C437" s="19"/>
      <c r="D437" s="19"/>
      <c r="E437" s="19"/>
      <c r="F437" s="28"/>
      <c r="G437" s="30"/>
      <c r="H437" s="21" t="str">
        <f t="shared" si="1"/>
        <v/>
      </c>
      <c r="I437" s="19"/>
    </row>
    <row r="438" ht="15.75" customHeight="1">
      <c r="A438" s="3"/>
      <c r="B438" s="19"/>
      <c r="C438" s="19"/>
      <c r="D438" s="19"/>
      <c r="E438" s="19"/>
      <c r="F438" s="28"/>
      <c r="G438" s="30"/>
      <c r="H438" s="21" t="str">
        <f t="shared" si="1"/>
        <v/>
      </c>
      <c r="I438" s="19"/>
    </row>
    <row r="439" ht="15.75" customHeight="1">
      <c r="A439" s="3"/>
      <c r="B439" s="19"/>
      <c r="C439" s="19"/>
      <c r="D439" s="19"/>
      <c r="E439" s="19"/>
      <c r="F439" s="28"/>
      <c r="G439" s="30"/>
      <c r="H439" s="21" t="str">
        <f t="shared" si="1"/>
        <v/>
      </c>
      <c r="I439" s="19"/>
    </row>
    <row r="440" ht="15.75" customHeight="1">
      <c r="A440" s="3"/>
      <c r="B440" s="19"/>
      <c r="C440" s="19"/>
      <c r="D440" s="19"/>
      <c r="E440" s="19"/>
      <c r="F440" s="28"/>
      <c r="G440" s="30"/>
      <c r="H440" s="21" t="str">
        <f t="shared" si="1"/>
        <v/>
      </c>
      <c r="I440" s="19"/>
    </row>
    <row r="441" ht="15.75" customHeight="1">
      <c r="A441" s="3"/>
      <c r="B441" s="19"/>
      <c r="C441" s="19"/>
      <c r="D441" s="19"/>
      <c r="E441" s="19"/>
      <c r="F441" s="28"/>
      <c r="G441" s="30"/>
      <c r="H441" s="21" t="str">
        <f t="shared" si="1"/>
        <v/>
      </c>
      <c r="I441" s="19"/>
    </row>
    <row r="442" ht="15.75" customHeight="1">
      <c r="A442" s="3"/>
      <c r="B442" s="19"/>
      <c r="C442" s="19"/>
      <c r="D442" s="19"/>
      <c r="E442" s="19"/>
      <c r="F442" s="28"/>
      <c r="G442" s="30"/>
      <c r="H442" s="21" t="str">
        <f t="shared" si="1"/>
        <v/>
      </c>
      <c r="I442" s="19"/>
    </row>
    <row r="443" ht="15.75" customHeight="1">
      <c r="A443" s="3"/>
      <c r="B443" s="19"/>
      <c r="C443" s="19"/>
      <c r="D443" s="19"/>
      <c r="E443" s="19"/>
      <c r="F443" s="28"/>
      <c r="G443" s="30"/>
      <c r="H443" s="21" t="str">
        <f t="shared" si="1"/>
        <v/>
      </c>
      <c r="I443" s="19"/>
    </row>
    <row r="444" ht="15.75" customHeight="1">
      <c r="A444" s="3"/>
      <c r="B444" s="19"/>
      <c r="C444" s="19"/>
      <c r="D444" s="19"/>
      <c r="E444" s="19"/>
      <c r="F444" s="28"/>
      <c r="G444" s="30"/>
      <c r="H444" s="21" t="str">
        <f t="shared" si="1"/>
        <v/>
      </c>
      <c r="I444" s="19"/>
    </row>
    <row r="445" ht="15.75" customHeight="1">
      <c r="A445" s="3"/>
      <c r="B445" s="19"/>
      <c r="C445" s="19"/>
      <c r="D445" s="19"/>
      <c r="E445" s="19"/>
      <c r="F445" s="28"/>
      <c r="G445" s="30"/>
      <c r="H445" s="21" t="str">
        <f t="shared" si="1"/>
        <v/>
      </c>
      <c r="I445" s="19"/>
    </row>
    <row r="446" ht="15.75" customHeight="1">
      <c r="A446" s="3"/>
      <c r="B446" s="19"/>
      <c r="C446" s="19"/>
      <c r="D446" s="19"/>
      <c r="E446" s="19"/>
      <c r="F446" s="28"/>
      <c r="G446" s="30"/>
      <c r="H446" s="21" t="str">
        <f t="shared" si="1"/>
        <v/>
      </c>
      <c r="I446" s="19"/>
    </row>
    <row r="447" ht="15.75" customHeight="1">
      <c r="A447" s="3"/>
      <c r="B447" s="19"/>
      <c r="C447" s="19"/>
      <c r="D447" s="19"/>
      <c r="E447" s="19"/>
      <c r="F447" s="28"/>
      <c r="G447" s="30"/>
      <c r="H447" s="21" t="str">
        <f t="shared" si="1"/>
        <v/>
      </c>
      <c r="I447" s="19"/>
    </row>
    <row r="448" ht="15.75" customHeight="1">
      <c r="A448" s="3"/>
      <c r="B448" s="19"/>
      <c r="C448" s="19"/>
      <c r="D448" s="19"/>
      <c r="E448" s="19"/>
      <c r="F448" s="28"/>
      <c r="G448" s="30"/>
      <c r="H448" s="21" t="str">
        <f t="shared" si="1"/>
        <v/>
      </c>
      <c r="I448" s="19"/>
    </row>
    <row r="449" ht="15.75" customHeight="1">
      <c r="A449" s="3"/>
      <c r="B449" s="19"/>
      <c r="C449" s="19"/>
      <c r="D449" s="19"/>
      <c r="E449" s="19"/>
      <c r="F449" s="28"/>
      <c r="G449" s="30"/>
      <c r="H449" s="21" t="str">
        <f t="shared" si="1"/>
        <v/>
      </c>
      <c r="I449" s="19"/>
    </row>
    <row r="450" ht="15.75" customHeight="1">
      <c r="A450" s="3"/>
      <c r="B450" s="19"/>
      <c r="C450" s="19"/>
      <c r="D450" s="19"/>
      <c r="E450" s="19"/>
      <c r="F450" s="28"/>
      <c r="G450" s="30"/>
      <c r="H450" s="21" t="str">
        <f t="shared" si="1"/>
        <v/>
      </c>
      <c r="I450" s="19"/>
    </row>
    <row r="451" ht="15.75" customHeight="1">
      <c r="A451" s="3"/>
      <c r="B451" s="19"/>
      <c r="C451" s="19"/>
      <c r="D451" s="19"/>
      <c r="E451" s="19"/>
      <c r="F451" s="28"/>
      <c r="G451" s="30"/>
      <c r="H451" s="21" t="str">
        <f t="shared" si="1"/>
        <v/>
      </c>
      <c r="I451" s="19"/>
    </row>
    <row r="452" ht="15.75" customHeight="1">
      <c r="A452" s="3"/>
      <c r="B452" s="19"/>
      <c r="C452" s="19"/>
      <c r="D452" s="19"/>
      <c r="E452" s="19"/>
      <c r="F452" s="28"/>
      <c r="G452" s="30"/>
      <c r="H452" s="21" t="str">
        <f t="shared" si="1"/>
        <v/>
      </c>
      <c r="I452" s="19"/>
    </row>
    <row r="453" ht="15.75" customHeight="1">
      <c r="A453" s="3"/>
      <c r="B453" s="19"/>
      <c r="C453" s="19"/>
      <c r="D453" s="19"/>
      <c r="E453" s="19"/>
      <c r="F453" s="28"/>
      <c r="G453" s="30"/>
      <c r="H453" s="21" t="str">
        <f t="shared" si="1"/>
        <v/>
      </c>
      <c r="I453" s="19"/>
    </row>
    <row r="454" ht="15.75" customHeight="1">
      <c r="A454" s="3"/>
      <c r="B454" s="19"/>
      <c r="C454" s="19"/>
      <c r="D454" s="19"/>
      <c r="E454" s="19"/>
      <c r="F454" s="28"/>
      <c r="G454" s="30"/>
      <c r="H454" s="21" t="str">
        <f t="shared" si="1"/>
        <v/>
      </c>
      <c r="I454" s="19"/>
    </row>
    <row r="455" ht="15.75" customHeight="1">
      <c r="A455" s="3"/>
      <c r="B455" s="19"/>
      <c r="C455" s="19"/>
      <c r="D455" s="19"/>
      <c r="E455" s="19"/>
      <c r="F455" s="28"/>
      <c r="G455" s="30"/>
      <c r="H455" s="21" t="str">
        <f t="shared" si="1"/>
        <v/>
      </c>
      <c r="I455" s="19"/>
    </row>
    <row r="456" ht="15.75" customHeight="1">
      <c r="A456" s="3"/>
      <c r="B456" s="19"/>
      <c r="C456" s="19"/>
      <c r="D456" s="19"/>
      <c r="E456" s="19"/>
      <c r="F456" s="28"/>
      <c r="G456" s="30"/>
      <c r="H456" s="21" t="str">
        <f t="shared" si="1"/>
        <v/>
      </c>
      <c r="I456" s="19"/>
    </row>
    <row r="457" ht="15.75" customHeight="1">
      <c r="A457" s="3"/>
      <c r="B457" s="19"/>
      <c r="C457" s="19"/>
      <c r="D457" s="19"/>
      <c r="E457" s="19"/>
      <c r="F457" s="28"/>
      <c r="G457" s="30"/>
      <c r="H457" s="21" t="str">
        <f t="shared" si="1"/>
        <v/>
      </c>
      <c r="I457" s="19"/>
    </row>
    <row r="458" ht="15.75" customHeight="1">
      <c r="A458" s="3"/>
      <c r="B458" s="19"/>
      <c r="C458" s="19"/>
      <c r="D458" s="19"/>
      <c r="E458" s="19"/>
      <c r="F458" s="28"/>
      <c r="G458" s="30"/>
      <c r="H458" s="21" t="str">
        <f t="shared" si="1"/>
        <v/>
      </c>
      <c r="I458" s="19"/>
    </row>
    <row r="459" ht="15.75" customHeight="1">
      <c r="A459" s="3"/>
      <c r="B459" s="19"/>
      <c r="C459" s="19"/>
      <c r="D459" s="19"/>
      <c r="E459" s="19"/>
      <c r="F459" s="28"/>
      <c r="G459" s="30"/>
      <c r="H459" s="21" t="str">
        <f t="shared" si="1"/>
        <v/>
      </c>
      <c r="I459" s="19"/>
    </row>
    <row r="460" ht="15.75" customHeight="1">
      <c r="A460" s="3"/>
      <c r="B460" s="19"/>
      <c r="C460" s="19"/>
      <c r="D460" s="19"/>
      <c r="E460" s="19"/>
      <c r="F460" s="28"/>
      <c r="G460" s="30"/>
      <c r="H460" s="21" t="str">
        <f t="shared" si="1"/>
        <v/>
      </c>
      <c r="I460" s="19"/>
    </row>
    <row r="461" ht="15.75" customHeight="1">
      <c r="A461" s="3"/>
      <c r="B461" s="19"/>
      <c r="C461" s="19"/>
      <c r="D461" s="19"/>
      <c r="E461" s="19"/>
      <c r="F461" s="28"/>
      <c r="G461" s="30"/>
      <c r="H461" s="21" t="str">
        <f t="shared" si="1"/>
        <v/>
      </c>
      <c r="I461" s="19"/>
    </row>
    <row r="462" ht="15.75" customHeight="1">
      <c r="A462" s="3"/>
      <c r="B462" s="19"/>
      <c r="C462" s="19"/>
      <c r="D462" s="19"/>
      <c r="E462" s="19"/>
      <c r="F462" s="28"/>
      <c r="G462" s="30"/>
      <c r="H462" s="21" t="str">
        <f t="shared" si="1"/>
        <v/>
      </c>
      <c r="I462" s="19"/>
    </row>
    <row r="463" ht="15.75" customHeight="1">
      <c r="A463" s="3"/>
      <c r="B463" s="19"/>
      <c r="C463" s="19"/>
      <c r="D463" s="19"/>
      <c r="E463" s="19"/>
      <c r="F463" s="28"/>
      <c r="G463" s="30"/>
      <c r="H463" s="21" t="str">
        <f t="shared" si="1"/>
        <v/>
      </c>
      <c r="I463" s="19"/>
    </row>
    <row r="464" ht="15.75" customHeight="1">
      <c r="A464" s="3"/>
      <c r="B464" s="19"/>
      <c r="C464" s="19"/>
      <c r="D464" s="19"/>
      <c r="E464" s="19"/>
      <c r="F464" s="28"/>
      <c r="G464" s="30"/>
      <c r="H464" s="21" t="str">
        <f t="shared" si="1"/>
        <v/>
      </c>
      <c r="I464" s="19"/>
    </row>
    <row r="465" ht="15.75" customHeight="1">
      <c r="A465" s="3"/>
      <c r="B465" s="19"/>
      <c r="C465" s="19"/>
      <c r="D465" s="19"/>
      <c r="E465" s="19"/>
      <c r="F465" s="28"/>
      <c r="G465" s="30"/>
      <c r="H465" s="21" t="str">
        <f t="shared" si="1"/>
        <v/>
      </c>
      <c r="I465" s="19"/>
    </row>
    <row r="466" ht="15.75" customHeight="1">
      <c r="A466" s="3"/>
      <c r="B466" s="19"/>
      <c r="C466" s="19"/>
      <c r="D466" s="19"/>
      <c r="E466" s="19"/>
      <c r="F466" s="28"/>
      <c r="G466" s="30"/>
      <c r="H466" s="21" t="str">
        <f t="shared" si="1"/>
        <v/>
      </c>
      <c r="I466" s="19"/>
    </row>
    <row r="467" ht="15.75" customHeight="1">
      <c r="A467" s="3"/>
      <c r="B467" s="19"/>
      <c r="C467" s="19"/>
      <c r="D467" s="19"/>
      <c r="E467" s="19"/>
      <c r="F467" s="28"/>
      <c r="G467" s="30"/>
      <c r="H467" s="21" t="str">
        <f t="shared" si="1"/>
        <v/>
      </c>
      <c r="I467" s="19"/>
    </row>
    <row r="468" ht="15.75" customHeight="1">
      <c r="A468" s="3"/>
      <c r="B468" s="19"/>
      <c r="C468" s="19"/>
      <c r="D468" s="19"/>
      <c r="E468" s="19"/>
      <c r="F468" s="28"/>
      <c r="G468" s="30"/>
      <c r="H468" s="21" t="str">
        <f t="shared" si="1"/>
        <v/>
      </c>
      <c r="I468" s="19"/>
    </row>
    <row r="469" ht="15.75" customHeight="1">
      <c r="A469" s="3"/>
      <c r="B469" s="19"/>
      <c r="C469" s="19"/>
      <c r="D469" s="19"/>
      <c r="E469" s="19"/>
      <c r="F469" s="28"/>
      <c r="G469" s="30"/>
      <c r="H469" s="21" t="str">
        <f t="shared" si="1"/>
        <v/>
      </c>
      <c r="I469" s="19"/>
    </row>
    <row r="470" ht="15.75" customHeight="1">
      <c r="A470" s="3"/>
      <c r="B470" s="19"/>
      <c r="C470" s="19"/>
      <c r="D470" s="19"/>
      <c r="E470" s="19"/>
      <c r="F470" s="28"/>
      <c r="G470" s="30"/>
      <c r="H470" s="21" t="str">
        <f t="shared" si="1"/>
        <v/>
      </c>
      <c r="I470" s="19"/>
    </row>
    <row r="471" ht="15.75" customHeight="1">
      <c r="A471" s="3"/>
      <c r="B471" s="19"/>
      <c r="C471" s="19"/>
      <c r="D471" s="19"/>
      <c r="E471" s="19"/>
      <c r="F471" s="28"/>
      <c r="G471" s="30"/>
      <c r="H471" s="21" t="str">
        <f t="shared" si="1"/>
        <v/>
      </c>
      <c r="I471" s="19"/>
    </row>
    <row r="472" ht="15.75" customHeight="1">
      <c r="A472" s="3"/>
      <c r="B472" s="19"/>
      <c r="C472" s="19"/>
      <c r="D472" s="19"/>
      <c r="E472" s="19"/>
      <c r="F472" s="28"/>
      <c r="G472" s="30"/>
      <c r="H472" s="21" t="str">
        <f t="shared" si="1"/>
        <v/>
      </c>
      <c r="I472" s="19"/>
    </row>
    <row r="473" ht="15.75" customHeight="1">
      <c r="A473" s="3"/>
      <c r="B473" s="19"/>
      <c r="C473" s="19"/>
      <c r="D473" s="19"/>
      <c r="E473" s="19"/>
      <c r="F473" s="28"/>
      <c r="G473" s="30"/>
      <c r="H473" s="21" t="str">
        <f t="shared" si="1"/>
        <v/>
      </c>
      <c r="I473" s="19"/>
    </row>
    <row r="474" ht="15.75" customHeight="1">
      <c r="A474" s="3"/>
      <c r="B474" s="19"/>
      <c r="C474" s="19"/>
      <c r="D474" s="19"/>
      <c r="E474" s="19"/>
      <c r="F474" s="28"/>
      <c r="G474" s="30"/>
      <c r="H474" s="21" t="str">
        <f t="shared" si="1"/>
        <v/>
      </c>
      <c r="I474" s="19"/>
    </row>
    <row r="475" ht="15.75" customHeight="1">
      <c r="A475" s="3"/>
      <c r="B475" s="19"/>
      <c r="C475" s="19"/>
      <c r="D475" s="19"/>
      <c r="E475" s="19"/>
      <c r="F475" s="28"/>
      <c r="G475" s="30"/>
      <c r="H475" s="21" t="str">
        <f t="shared" si="1"/>
        <v/>
      </c>
      <c r="I475" s="19"/>
    </row>
    <row r="476" ht="15.75" customHeight="1">
      <c r="A476" s="3"/>
      <c r="B476" s="19"/>
      <c r="C476" s="19"/>
      <c r="D476" s="19"/>
      <c r="E476" s="19"/>
      <c r="F476" s="28"/>
      <c r="G476" s="30"/>
      <c r="H476" s="21" t="str">
        <f t="shared" si="1"/>
        <v/>
      </c>
      <c r="I476" s="19"/>
    </row>
    <row r="477" ht="15.75" customHeight="1">
      <c r="A477" s="3"/>
      <c r="B477" s="19"/>
      <c r="C477" s="19"/>
      <c r="D477" s="19"/>
      <c r="E477" s="19"/>
      <c r="F477" s="28"/>
      <c r="G477" s="30"/>
      <c r="H477" s="21" t="str">
        <f t="shared" si="1"/>
        <v/>
      </c>
      <c r="I477" s="19"/>
    </row>
    <row r="478" ht="15.75" customHeight="1">
      <c r="A478" s="3"/>
      <c r="B478" s="19"/>
      <c r="C478" s="19"/>
      <c r="D478" s="19"/>
      <c r="E478" s="19"/>
      <c r="F478" s="28"/>
      <c r="G478" s="30"/>
      <c r="H478" s="21" t="str">
        <f t="shared" si="1"/>
        <v/>
      </c>
      <c r="I478" s="19"/>
    </row>
    <row r="479" ht="15.75" customHeight="1">
      <c r="A479" s="3"/>
      <c r="B479" s="19"/>
      <c r="C479" s="19"/>
      <c r="D479" s="19"/>
      <c r="E479" s="19"/>
      <c r="F479" s="28"/>
      <c r="G479" s="30"/>
      <c r="H479" s="21" t="str">
        <f t="shared" si="1"/>
        <v/>
      </c>
      <c r="I479" s="19"/>
    </row>
    <row r="480" ht="15.75" customHeight="1">
      <c r="A480" s="3"/>
      <c r="B480" s="19"/>
      <c r="C480" s="19"/>
      <c r="D480" s="19"/>
      <c r="E480" s="19"/>
      <c r="F480" s="28"/>
      <c r="G480" s="30"/>
      <c r="H480" s="21" t="str">
        <f t="shared" si="1"/>
        <v/>
      </c>
      <c r="I480" s="19"/>
    </row>
    <row r="481" ht="15.75" customHeight="1">
      <c r="A481" s="3"/>
      <c r="B481" s="19"/>
      <c r="C481" s="19"/>
      <c r="D481" s="19"/>
      <c r="E481" s="19"/>
      <c r="F481" s="28"/>
      <c r="G481" s="30"/>
      <c r="H481" s="21" t="str">
        <f t="shared" si="1"/>
        <v/>
      </c>
      <c r="I481" s="19"/>
    </row>
    <row r="482" ht="15.75" customHeight="1">
      <c r="A482" s="3"/>
      <c r="B482" s="19"/>
      <c r="C482" s="19"/>
      <c r="D482" s="19"/>
      <c r="E482" s="19"/>
      <c r="F482" s="28"/>
      <c r="G482" s="30"/>
      <c r="H482" s="21" t="str">
        <f t="shared" si="1"/>
        <v/>
      </c>
      <c r="I482" s="19"/>
    </row>
    <row r="483" ht="15.75" customHeight="1">
      <c r="A483" s="3"/>
      <c r="B483" s="19"/>
      <c r="C483" s="19"/>
      <c r="D483" s="19"/>
      <c r="E483" s="19"/>
      <c r="F483" s="28"/>
      <c r="G483" s="30"/>
      <c r="H483" s="21" t="str">
        <f t="shared" si="1"/>
        <v/>
      </c>
      <c r="I483" s="19"/>
    </row>
    <row r="484" ht="15.75" customHeight="1">
      <c r="A484" s="3"/>
      <c r="B484" s="19"/>
      <c r="C484" s="19"/>
      <c r="D484" s="19"/>
      <c r="E484" s="19"/>
      <c r="F484" s="28"/>
      <c r="G484" s="30"/>
      <c r="H484" s="21" t="str">
        <f t="shared" si="1"/>
        <v/>
      </c>
      <c r="I484" s="19"/>
    </row>
    <row r="485" ht="15.75" customHeight="1">
      <c r="A485" s="3"/>
      <c r="B485" s="19"/>
      <c r="C485" s="19"/>
      <c r="D485" s="19"/>
      <c r="E485" s="19"/>
      <c r="F485" s="28"/>
      <c r="G485" s="30"/>
      <c r="H485" s="21" t="str">
        <f t="shared" si="1"/>
        <v/>
      </c>
      <c r="I485" s="19"/>
    </row>
    <row r="486" ht="15.75" customHeight="1">
      <c r="A486" s="3"/>
      <c r="B486" s="19"/>
      <c r="C486" s="19"/>
      <c r="D486" s="19"/>
      <c r="E486" s="19"/>
      <c r="F486" s="28"/>
      <c r="G486" s="30"/>
      <c r="H486" s="21" t="str">
        <f t="shared" si="1"/>
        <v/>
      </c>
      <c r="I486" s="19"/>
    </row>
    <row r="487" ht="15.75" customHeight="1">
      <c r="A487" s="3"/>
      <c r="B487" s="19"/>
      <c r="C487" s="19"/>
      <c r="D487" s="19"/>
      <c r="E487" s="19"/>
      <c r="F487" s="28"/>
      <c r="G487" s="30"/>
      <c r="H487" s="21" t="str">
        <f t="shared" si="1"/>
        <v/>
      </c>
      <c r="I487" s="19"/>
    </row>
    <row r="488" ht="15.75" customHeight="1">
      <c r="A488" s="3"/>
      <c r="B488" s="19"/>
      <c r="C488" s="19"/>
      <c r="D488" s="19"/>
      <c r="E488" s="19"/>
      <c r="F488" s="28"/>
      <c r="G488" s="30"/>
      <c r="H488" s="21" t="str">
        <f t="shared" si="1"/>
        <v/>
      </c>
      <c r="I488" s="19"/>
    </row>
    <row r="489" ht="15.75" customHeight="1">
      <c r="A489" s="3"/>
      <c r="B489" s="19"/>
      <c r="C489" s="19"/>
      <c r="D489" s="19"/>
      <c r="E489" s="19"/>
      <c r="F489" s="28"/>
      <c r="G489" s="30"/>
      <c r="H489" s="21" t="str">
        <f t="shared" si="1"/>
        <v/>
      </c>
      <c r="I489" s="19"/>
    </row>
    <row r="490" ht="15.75" customHeight="1">
      <c r="A490" s="3"/>
      <c r="B490" s="19"/>
      <c r="C490" s="19"/>
      <c r="D490" s="19"/>
      <c r="E490" s="19"/>
      <c r="F490" s="28"/>
      <c r="G490" s="30"/>
      <c r="H490" s="21" t="str">
        <f t="shared" si="1"/>
        <v/>
      </c>
      <c r="I490" s="19"/>
    </row>
    <row r="491" ht="15.75" customHeight="1">
      <c r="A491" s="3"/>
      <c r="B491" s="19"/>
      <c r="C491" s="19"/>
      <c r="D491" s="19"/>
      <c r="E491" s="19"/>
      <c r="F491" s="28"/>
      <c r="G491" s="30"/>
      <c r="H491" s="21" t="str">
        <f t="shared" si="1"/>
        <v/>
      </c>
      <c r="I491" s="19"/>
    </row>
    <row r="492" ht="15.75" customHeight="1">
      <c r="A492" s="3"/>
      <c r="B492" s="19"/>
      <c r="C492" s="19"/>
      <c r="D492" s="19"/>
      <c r="E492" s="19"/>
      <c r="F492" s="28"/>
      <c r="G492" s="30"/>
      <c r="H492" s="21" t="str">
        <f t="shared" si="1"/>
        <v/>
      </c>
      <c r="I492" s="19"/>
    </row>
    <row r="493" ht="15.75" customHeight="1">
      <c r="A493" s="3"/>
      <c r="B493" s="19"/>
      <c r="C493" s="19"/>
      <c r="D493" s="19"/>
      <c r="E493" s="19"/>
      <c r="F493" s="28"/>
      <c r="G493" s="30"/>
      <c r="H493" s="21" t="str">
        <f t="shared" si="1"/>
        <v/>
      </c>
      <c r="I493" s="19"/>
    </row>
    <row r="494" ht="15.75" customHeight="1">
      <c r="A494" s="3"/>
      <c r="B494" s="19"/>
      <c r="C494" s="19"/>
      <c r="D494" s="19"/>
      <c r="E494" s="19"/>
      <c r="F494" s="28"/>
      <c r="G494" s="30"/>
      <c r="H494" s="21" t="str">
        <f t="shared" si="1"/>
        <v/>
      </c>
      <c r="I494" s="19"/>
    </row>
    <row r="495" ht="15.75" customHeight="1">
      <c r="A495" s="3"/>
      <c r="B495" s="19"/>
      <c r="C495" s="19"/>
      <c r="D495" s="19"/>
      <c r="E495" s="19"/>
      <c r="F495" s="28"/>
      <c r="G495" s="30"/>
      <c r="H495" s="21" t="str">
        <f t="shared" si="1"/>
        <v/>
      </c>
      <c r="I495" s="19"/>
    </row>
    <row r="496" ht="15.75" customHeight="1">
      <c r="A496" s="3"/>
      <c r="B496" s="19"/>
      <c r="C496" s="19"/>
      <c r="D496" s="19"/>
      <c r="E496" s="19"/>
      <c r="F496" s="28"/>
      <c r="G496" s="30"/>
      <c r="H496" s="21" t="str">
        <f t="shared" si="1"/>
        <v/>
      </c>
      <c r="I496" s="19"/>
    </row>
    <row r="497" ht="15.75" customHeight="1">
      <c r="A497" s="3"/>
      <c r="B497" s="19"/>
      <c r="C497" s="19"/>
      <c r="D497" s="19"/>
      <c r="E497" s="19"/>
      <c r="F497" s="28"/>
      <c r="G497" s="30"/>
      <c r="H497" s="21" t="str">
        <f t="shared" si="1"/>
        <v/>
      </c>
      <c r="I497" s="19"/>
    </row>
    <row r="498" ht="15.75" customHeight="1">
      <c r="A498" s="3"/>
      <c r="B498" s="19"/>
      <c r="C498" s="19"/>
      <c r="D498" s="19"/>
      <c r="E498" s="19"/>
      <c r="F498" s="28"/>
      <c r="G498" s="30"/>
      <c r="H498" s="21" t="str">
        <f t="shared" si="1"/>
        <v/>
      </c>
      <c r="I498" s="19"/>
    </row>
    <row r="499" ht="15.75" customHeight="1">
      <c r="A499" s="3"/>
      <c r="B499" s="19"/>
      <c r="C499" s="19"/>
      <c r="D499" s="19"/>
      <c r="E499" s="19"/>
      <c r="F499" s="28"/>
      <c r="G499" s="30"/>
      <c r="H499" s="21" t="str">
        <f t="shared" si="1"/>
        <v/>
      </c>
      <c r="I499" s="19"/>
    </row>
    <row r="500" ht="15.75" customHeight="1">
      <c r="A500" s="3"/>
      <c r="B500" s="19"/>
      <c r="C500" s="19"/>
      <c r="D500" s="19"/>
      <c r="E500" s="19"/>
      <c r="F500" s="28"/>
      <c r="G500" s="30"/>
      <c r="H500" s="21" t="str">
        <f t="shared" si="1"/>
        <v/>
      </c>
      <c r="I500" s="19"/>
    </row>
    <row r="501" ht="15.75" customHeight="1">
      <c r="A501" s="3"/>
      <c r="B501" s="19"/>
      <c r="C501" s="19"/>
      <c r="D501" s="19"/>
      <c r="E501" s="19"/>
      <c r="F501" s="28"/>
      <c r="G501" s="30"/>
      <c r="H501" s="21" t="str">
        <f t="shared" si="1"/>
        <v/>
      </c>
      <c r="I501" s="19"/>
    </row>
    <row r="502" ht="15.75" customHeight="1">
      <c r="A502" s="3"/>
      <c r="B502" s="19"/>
      <c r="C502" s="19"/>
      <c r="D502" s="19"/>
      <c r="E502" s="19"/>
      <c r="F502" s="28"/>
      <c r="G502" s="30"/>
      <c r="H502" s="21" t="str">
        <f t="shared" si="1"/>
        <v/>
      </c>
      <c r="I502" s="19"/>
    </row>
    <row r="503" ht="15.75" customHeight="1">
      <c r="A503" s="3"/>
      <c r="B503" s="19"/>
      <c r="C503" s="19"/>
      <c r="D503" s="19"/>
      <c r="E503" s="19"/>
      <c r="F503" s="28"/>
      <c r="G503" s="30"/>
      <c r="H503" s="21" t="str">
        <f t="shared" si="1"/>
        <v/>
      </c>
      <c r="I503" s="19"/>
    </row>
    <row r="504" ht="15.75" customHeight="1">
      <c r="A504" s="3"/>
      <c r="B504" s="19"/>
      <c r="C504" s="19"/>
      <c r="D504" s="19"/>
      <c r="E504" s="19"/>
      <c r="F504" s="28"/>
      <c r="G504" s="30"/>
      <c r="H504" s="21" t="str">
        <f t="shared" si="1"/>
        <v/>
      </c>
      <c r="I504" s="19"/>
    </row>
    <row r="505" ht="15.75" customHeight="1">
      <c r="A505" s="3"/>
      <c r="B505" s="19"/>
      <c r="C505" s="19"/>
      <c r="D505" s="19"/>
      <c r="E505" s="19"/>
      <c r="F505" s="28"/>
      <c r="G505" s="30"/>
      <c r="H505" s="21" t="str">
        <f t="shared" si="1"/>
        <v/>
      </c>
      <c r="I505" s="19"/>
    </row>
    <row r="506" ht="15.75" customHeight="1">
      <c r="A506" s="3"/>
      <c r="B506" s="19"/>
      <c r="C506" s="19"/>
      <c r="D506" s="19"/>
      <c r="E506" s="19"/>
      <c r="F506" s="28"/>
      <c r="G506" s="30"/>
      <c r="H506" s="21" t="str">
        <f t="shared" si="1"/>
        <v/>
      </c>
      <c r="I506" s="19"/>
    </row>
    <row r="507" ht="15.75" customHeight="1">
      <c r="A507" s="3"/>
      <c r="B507" s="19"/>
      <c r="C507" s="19"/>
      <c r="D507" s="19"/>
      <c r="E507" s="19"/>
      <c r="F507" s="28"/>
      <c r="G507" s="30"/>
      <c r="H507" s="21" t="str">
        <f t="shared" si="1"/>
        <v/>
      </c>
      <c r="I507" s="19"/>
    </row>
    <row r="508" ht="15.75" customHeight="1">
      <c r="A508" s="3"/>
      <c r="B508" s="19"/>
      <c r="C508" s="19"/>
      <c r="D508" s="19"/>
      <c r="E508" s="19"/>
      <c r="F508" s="28"/>
      <c r="G508" s="30"/>
      <c r="H508" s="21" t="str">
        <f t="shared" si="1"/>
        <v/>
      </c>
      <c r="I508" s="19"/>
    </row>
    <row r="509" ht="15.75" customHeight="1">
      <c r="A509" s="3"/>
      <c r="B509" s="19"/>
      <c r="C509" s="19"/>
      <c r="D509" s="19"/>
      <c r="E509" s="19"/>
      <c r="F509" s="28"/>
      <c r="G509" s="30"/>
      <c r="H509" s="21" t="str">
        <f t="shared" si="1"/>
        <v/>
      </c>
      <c r="I509" s="19"/>
    </row>
    <row r="510" ht="15.75" customHeight="1">
      <c r="A510" s="3"/>
      <c r="B510" s="19"/>
      <c r="C510" s="19"/>
      <c r="D510" s="19"/>
      <c r="E510" s="19"/>
      <c r="F510" s="28"/>
      <c r="G510" s="30"/>
      <c r="H510" s="21" t="str">
        <f t="shared" si="1"/>
        <v/>
      </c>
      <c r="I510" s="19"/>
    </row>
    <row r="511" ht="15.75" customHeight="1">
      <c r="A511" s="3"/>
      <c r="B511" s="19"/>
      <c r="C511" s="19"/>
      <c r="D511" s="19"/>
      <c r="E511" s="19"/>
      <c r="F511" s="28"/>
      <c r="G511" s="30"/>
      <c r="H511" s="21" t="str">
        <f t="shared" si="1"/>
        <v/>
      </c>
      <c r="I511" s="19"/>
    </row>
    <row r="512" ht="15.75" customHeight="1">
      <c r="A512" s="3"/>
      <c r="B512" s="19"/>
      <c r="C512" s="19"/>
      <c r="D512" s="19"/>
      <c r="E512" s="19"/>
      <c r="F512" s="28"/>
      <c r="G512" s="30"/>
      <c r="H512" s="21" t="str">
        <f t="shared" si="1"/>
        <v/>
      </c>
      <c r="I512" s="19"/>
    </row>
    <row r="513" ht="15.75" customHeight="1">
      <c r="A513" s="3"/>
      <c r="B513" s="19"/>
      <c r="C513" s="19"/>
      <c r="D513" s="19"/>
      <c r="E513" s="19"/>
      <c r="F513" s="28"/>
      <c r="G513" s="30"/>
      <c r="H513" s="21" t="str">
        <f t="shared" si="1"/>
        <v/>
      </c>
      <c r="I513" s="19"/>
    </row>
    <row r="514" ht="15.75" customHeight="1">
      <c r="A514" s="3"/>
      <c r="B514" s="19"/>
      <c r="C514" s="19"/>
      <c r="D514" s="19"/>
      <c r="E514" s="19"/>
      <c r="F514" s="28"/>
      <c r="G514" s="30"/>
      <c r="H514" s="21" t="str">
        <f t="shared" si="1"/>
        <v/>
      </c>
      <c r="I514" s="19"/>
    </row>
    <row r="515" ht="15.75" customHeight="1">
      <c r="A515" s="3"/>
      <c r="B515" s="19"/>
      <c r="C515" s="19"/>
      <c r="D515" s="19"/>
      <c r="E515" s="19"/>
      <c r="F515" s="28"/>
      <c r="G515" s="30"/>
      <c r="H515" s="21" t="str">
        <f t="shared" si="1"/>
        <v/>
      </c>
      <c r="I515" s="19"/>
    </row>
    <row r="516" ht="15.75" customHeight="1">
      <c r="A516" s="3"/>
      <c r="B516" s="19"/>
      <c r="C516" s="19"/>
      <c r="D516" s="19"/>
      <c r="E516" s="19"/>
      <c r="F516" s="28"/>
      <c r="G516" s="30"/>
      <c r="H516" s="21" t="str">
        <f t="shared" si="1"/>
        <v/>
      </c>
      <c r="I516" s="19"/>
    </row>
    <row r="517" ht="15.75" customHeight="1">
      <c r="A517" s="3"/>
      <c r="B517" s="19"/>
      <c r="C517" s="19"/>
      <c r="D517" s="19"/>
      <c r="E517" s="19"/>
      <c r="F517" s="28"/>
      <c r="G517" s="30"/>
      <c r="H517" s="21" t="str">
        <f t="shared" si="1"/>
        <v/>
      </c>
      <c r="I517" s="19"/>
    </row>
    <row r="518" ht="15.75" customHeight="1">
      <c r="A518" s="3"/>
      <c r="B518" s="19"/>
      <c r="C518" s="19"/>
      <c r="D518" s="19"/>
      <c r="E518" s="19"/>
      <c r="F518" s="28"/>
      <c r="G518" s="30"/>
      <c r="H518" s="21" t="str">
        <f t="shared" si="1"/>
        <v/>
      </c>
      <c r="I518" s="19"/>
    </row>
    <row r="519" ht="15.75" customHeight="1">
      <c r="A519" s="3"/>
      <c r="B519" s="19"/>
      <c r="C519" s="19"/>
      <c r="D519" s="19"/>
      <c r="E519" s="19"/>
      <c r="F519" s="28"/>
      <c r="G519" s="30"/>
      <c r="H519" s="21" t="str">
        <f t="shared" si="1"/>
        <v/>
      </c>
      <c r="I519" s="19"/>
    </row>
    <row r="520" ht="15.75" customHeight="1">
      <c r="A520" s="3"/>
      <c r="B520" s="19"/>
      <c r="C520" s="19"/>
      <c r="D520" s="19"/>
      <c r="E520" s="19"/>
      <c r="F520" s="28"/>
      <c r="G520" s="30"/>
      <c r="H520" s="21" t="str">
        <f t="shared" si="1"/>
        <v/>
      </c>
      <c r="I520" s="19"/>
    </row>
    <row r="521" ht="15.75" customHeight="1">
      <c r="A521" s="3"/>
      <c r="B521" s="19"/>
      <c r="C521" s="19"/>
      <c r="D521" s="19"/>
      <c r="E521" s="19"/>
      <c r="F521" s="28"/>
      <c r="G521" s="30"/>
      <c r="H521" s="21" t="str">
        <f t="shared" si="1"/>
        <v/>
      </c>
      <c r="I521" s="19"/>
    </row>
    <row r="522" ht="15.75" customHeight="1">
      <c r="A522" s="3"/>
      <c r="B522" s="19"/>
      <c r="C522" s="19"/>
      <c r="D522" s="19"/>
      <c r="E522" s="19"/>
      <c r="F522" s="28"/>
      <c r="G522" s="30"/>
      <c r="H522" s="21" t="str">
        <f t="shared" si="1"/>
        <v/>
      </c>
      <c r="I522" s="19"/>
    </row>
    <row r="523" ht="15.75" customHeight="1">
      <c r="A523" s="3"/>
      <c r="B523" s="19"/>
      <c r="C523" s="19"/>
      <c r="D523" s="19"/>
      <c r="E523" s="19"/>
      <c r="F523" s="28"/>
      <c r="G523" s="30"/>
      <c r="H523" s="21" t="str">
        <f t="shared" si="1"/>
        <v/>
      </c>
      <c r="I523" s="19"/>
    </row>
    <row r="524" ht="15.75" customHeight="1">
      <c r="A524" s="3"/>
      <c r="B524" s="19"/>
      <c r="C524" s="19"/>
      <c r="D524" s="19"/>
      <c r="E524" s="19"/>
      <c r="F524" s="28"/>
      <c r="G524" s="30"/>
      <c r="H524" s="21" t="str">
        <f t="shared" si="1"/>
        <v/>
      </c>
      <c r="I524" s="19"/>
    </row>
    <row r="525" ht="15.75" customHeight="1">
      <c r="A525" s="3"/>
      <c r="B525" s="19"/>
      <c r="C525" s="19"/>
      <c r="D525" s="19"/>
      <c r="E525" s="19"/>
      <c r="F525" s="28"/>
      <c r="G525" s="30"/>
      <c r="H525" s="21" t="str">
        <f t="shared" si="1"/>
        <v/>
      </c>
      <c r="I525" s="19"/>
    </row>
    <row r="526" ht="15.75" customHeight="1">
      <c r="A526" s="3"/>
      <c r="B526" s="19"/>
      <c r="C526" s="19"/>
      <c r="D526" s="19"/>
      <c r="E526" s="19"/>
      <c r="F526" s="28"/>
      <c r="G526" s="30"/>
      <c r="H526" s="21" t="str">
        <f t="shared" si="1"/>
        <v/>
      </c>
      <c r="I526" s="19"/>
    </row>
    <row r="527" ht="15.75" customHeight="1">
      <c r="A527" s="3"/>
      <c r="B527" s="19"/>
      <c r="C527" s="19"/>
      <c r="D527" s="19"/>
      <c r="E527" s="19"/>
      <c r="F527" s="28"/>
      <c r="G527" s="30"/>
      <c r="H527" s="21" t="str">
        <f t="shared" si="1"/>
        <v/>
      </c>
      <c r="I527" s="19"/>
    </row>
    <row r="528" ht="15.75" customHeight="1">
      <c r="A528" s="3"/>
      <c r="B528" s="19"/>
      <c r="C528" s="19"/>
      <c r="D528" s="19"/>
      <c r="E528" s="19"/>
      <c r="F528" s="28"/>
      <c r="G528" s="30"/>
      <c r="H528" s="21" t="str">
        <f t="shared" si="1"/>
        <v/>
      </c>
      <c r="I528" s="19"/>
    </row>
    <row r="529" ht="15.75" customHeight="1">
      <c r="A529" s="3"/>
      <c r="B529" s="19"/>
      <c r="C529" s="19"/>
      <c r="D529" s="19"/>
      <c r="E529" s="19"/>
      <c r="F529" s="28"/>
      <c r="G529" s="30"/>
      <c r="H529" s="21" t="str">
        <f t="shared" si="1"/>
        <v/>
      </c>
      <c r="I529" s="19"/>
    </row>
    <row r="530" ht="15.75" customHeight="1">
      <c r="A530" s="3"/>
      <c r="B530" s="19"/>
      <c r="C530" s="19"/>
      <c r="D530" s="19"/>
      <c r="E530" s="19"/>
      <c r="F530" s="28"/>
      <c r="G530" s="30"/>
      <c r="H530" s="21" t="str">
        <f t="shared" si="1"/>
        <v/>
      </c>
      <c r="I530" s="19"/>
    </row>
    <row r="531" ht="15.75" customHeight="1">
      <c r="A531" s="3"/>
      <c r="B531" s="19"/>
      <c r="C531" s="19"/>
      <c r="D531" s="19"/>
      <c r="E531" s="19"/>
      <c r="F531" s="28"/>
      <c r="G531" s="30"/>
      <c r="H531" s="21" t="str">
        <f t="shared" si="1"/>
        <v/>
      </c>
      <c r="I531" s="19"/>
    </row>
    <row r="532" ht="15.75" customHeight="1">
      <c r="A532" s="3"/>
      <c r="B532" s="19"/>
      <c r="C532" s="19"/>
      <c r="D532" s="19"/>
      <c r="E532" s="19"/>
      <c r="F532" s="28"/>
      <c r="G532" s="30"/>
      <c r="H532" s="21" t="str">
        <f t="shared" si="1"/>
        <v/>
      </c>
      <c r="I532" s="19"/>
    </row>
    <row r="533" ht="15.75" customHeight="1">
      <c r="A533" s="3"/>
      <c r="B533" s="19"/>
      <c r="C533" s="19"/>
      <c r="D533" s="19"/>
      <c r="E533" s="19"/>
      <c r="F533" s="28"/>
      <c r="G533" s="30"/>
      <c r="H533" s="21" t="str">
        <f t="shared" si="1"/>
        <v/>
      </c>
      <c r="I533" s="19"/>
    </row>
    <row r="534" ht="15.75" customHeight="1">
      <c r="A534" s="3"/>
      <c r="B534" s="19"/>
      <c r="C534" s="19"/>
      <c r="D534" s="19"/>
      <c r="E534" s="19"/>
      <c r="F534" s="28"/>
      <c r="G534" s="30"/>
      <c r="H534" s="21" t="str">
        <f t="shared" si="1"/>
        <v/>
      </c>
      <c r="I534" s="19"/>
    </row>
    <row r="535" ht="15.75" customHeight="1">
      <c r="A535" s="3"/>
      <c r="B535" s="19"/>
      <c r="C535" s="19"/>
      <c r="D535" s="19"/>
      <c r="E535" s="19"/>
      <c r="F535" s="28"/>
      <c r="G535" s="30"/>
      <c r="H535" s="21" t="str">
        <f t="shared" si="1"/>
        <v/>
      </c>
      <c r="I535" s="19"/>
    </row>
    <row r="536" ht="15.75" customHeight="1">
      <c r="A536" s="3"/>
      <c r="B536" s="19"/>
      <c r="C536" s="19"/>
      <c r="D536" s="19"/>
      <c r="E536" s="19"/>
      <c r="F536" s="28"/>
      <c r="G536" s="30"/>
      <c r="H536" s="21" t="str">
        <f t="shared" si="1"/>
        <v/>
      </c>
      <c r="I536" s="19"/>
    </row>
    <row r="537" ht="15.75" customHeight="1">
      <c r="A537" s="3"/>
      <c r="B537" s="19"/>
      <c r="C537" s="19"/>
      <c r="D537" s="19"/>
      <c r="E537" s="19"/>
      <c r="F537" s="28"/>
      <c r="G537" s="30"/>
      <c r="H537" s="21" t="str">
        <f t="shared" si="1"/>
        <v/>
      </c>
      <c r="I537" s="19"/>
    </row>
    <row r="538" ht="15.75" customHeight="1">
      <c r="A538" s="3"/>
      <c r="B538" s="19"/>
      <c r="C538" s="19"/>
      <c r="D538" s="19"/>
      <c r="E538" s="19"/>
      <c r="F538" s="28"/>
      <c r="G538" s="30"/>
      <c r="H538" s="21" t="str">
        <f t="shared" si="1"/>
        <v/>
      </c>
      <c r="I538" s="19"/>
    </row>
    <row r="539" ht="15.75" customHeight="1">
      <c r="A539" s="3"/>
      <c r="B539" s="19"/>
      <c r="C539" s="19"/>
      <c r="D539" s="19"/>
      <c r="E539" s="19"/>
      <c r="F539" s="28"/>
      <c r="G539" s="30"/>
      <c r="H539" s="21" t="str">
        <f t="shared" si="1"/>
        <v/>
      </c>
      <c r="I539" s="19"/>
    </row>
    <row r="540" ht="15.75" customHeight="1">
      <c r="A540" s="3"/>
      <c r="B540" s="19"/>
      <c r="C540" s="19"/>
      <c r="D540" s="19"/>
      <c r="E540" s="19"/>
      <c r="F540" s="28"/>
      <c r="G540" s="30"/>
      <c r="H540" s="21" t="str">
        <f t="shared" si="1"/>
        <v/>
      </c>
      <c r="I540" s="19"/>
    </row>
    <row r="541" ht="15.75" customHeight="1">
      <c r="A541" s="3"/>
      <c r="B541" s="19"/>
      <c r="C541" s="19"/>
      <c r="D541" s="19"/>
      <c r="E541" s="19"/>
      <c r="F541" s="28"/>
      <c r="G541" s="30"/>
      <c r="H541" s="21" t="str">
        <f t="shared" si="1"/>
        <v/>
      </c>
      <c r="I541" s="19"/>
    </row>
    <row r="542" ht="15.75" customHeight="1">
      <c r="A542" s="3"/>
      <c r="B542" s="19"/>
      <c r="C542" s="19"/>
      <c r="D542" s="19"/>
      <c r="E542" s="19"/>
      <c r="F542" s="28"/>
      <c r="G542" s="30"/>
      <c r="H542" s="21" t="str">
        <f t="shared" si="1"/>
        <v/>
      </c>
      <c r="I542" s="19"/>
    </row>
    <row r="543" ht="15.75" customHeight="1">
      <c r="A543" s="3"/>
      <c r="B543" s="19"/>
      <c r="C543" s="19"/>
      <c r="D543" s="19"/>
      <c r="E543" s="19"/>
      <c r="F543" s="28"/>
      <c r="G543" s="30"/>
      <c r="H543" s="21" t="str">
        <f t="shared" si="1"/>
        <v/>
      </c>
      <c r="I543" s="19"/>
    </row>
    <row r="544" ht="15.75" customHeight="1">
      <c r="A544" s="3"/>
      <c r="B544" s="19"/>
      <c r="C544" s="19"/>
      <c r="D544" s="19"/>
      <c r="E544" s="19"/>
      <c r="F544" s="28"/>
      <c r="G544" s="30"/>
      <c r="H544" s="21" t="str">
        <f t="shared" si="1"/>
        <v/>
      </c>
      <c r="I544" s="19"/>
    </row>
    <row r="545" ht="15.75" customHeight="1">
      <c r="A545" s="3"/>
      <c r="B545" s="19"/>
      <c r="C545" s="19"/>
      <c r="D545" s="19"/>
      <c r="E545" s="19"/>
      <c r="F545" s="28"/>
      <c r="G545" s="30"/>
      <c r="H545" s="21" t="str">
        <f t="shared" si="1"/>
        <v/>
      </c>
      <c r="I545" s="19"/>
    </row>
    <row r="546" ht="15.75" customHeight="1">
      <c r="A546" s="3"/>
      <c r="B546" s="19"/>
      <c r="C546" s="19"/>
      <c r="D546" s="19"/>
      <c r="E546" s="19"/>
      <c r="F546" s="28"/>
      <c r="G546" s="30"/>
      <c r="H546" s="21" t="str">
        <f t="shared" si="1"/>
        <v/>
      </c>
      <c r="I546" s="19"/>
    </row>
    <row r="547" ht="15.75" customHeight="1">
      <c r="A547" s="3"/>
      <c r="B547" s="19"/>
      <c r="C547" s="19"/>
      <c r="D547" s="19"/>
      <c r="E547" s="19"/>
      <c r="F547" s="28"/>
      <c r="G547" s="30"/>
      <c r="H547" s="21" t="str">
        <f t="shared" si="1"/>
        <v/>
      </c>
      <c r="I547" s="19"/>
    </row>
    <row r="548" ht="15.75" customHeight="1">
      <c r="A548" s="3"/>
      <c r="B548" s="19"/>
      <c r="C548" s="19"/>
      <c r="D548" s="19"/>
      <c r="E548" s="19"/>
      <c r="F548" s="28"/>
      <c r="G548" s="30"/>
      <c r="H548" s="21" t="str">
        <f t="shared" si="1"/>
        <v/>
      </c>
      <c r="I548" s="19"/>
    </row>
    <row r="549" ht="15.75" customHeight="1">
      <c r="A549" s="3"/>
      <c r="B549" s="19"/>
      <c r="C549" s="19"/>
      <c r="D549" s="19"/>
      <c r="E549" s="19"/>
      <c r="F549" s="28"/>
      <c r="G549" s="30"/>
      <c r="H549" s="21" t="str">
        <f t="shared" si="1"/>
        <v/>
      </c>
      <c r="I549" s="19"/>
    </row>
    <row r="550" ht="15.75" customHeight="1">
      <c r="A550" s="3"/>
      <c r="B550" s="19"/>
      <c r="C550" s="19"/>
      <c r="D550" s="19"/>
      <c r="E550" s="19"/>
      <c r="F550" s="28"/>
      <c r="G550" s="30"/>
      <c r="H550" s="21" t="str">
        <f t="shared" si="1"/>
        <v/>
      </c>
      <c r="I550" s="19"/>
    </row>
    <row r="551" ht="15.75" customHeight="1">
      <c r="A551" s="3"/>
      <c r="B551" s="19"/>
      <c r="C551" s="19"/>
      <c r="D551" s="19"/>
      <c r="E551" s="19"/>
      <c r="F551" s="28"/>
      <c r="G551" s="30"/>
      <c r="H551" s="21" t="str">
        <f t="shared" si="1"/>
        <v/>
      </c>
      <c r="I551" s="19"/>
    </row>
    <row r="552" ht="15.75" customHeight="1">
      <c r="A552" s="3"/>
      <c r="B552" s="19"/>
      <c r="C552" s="19"/>
      <c r="D552" s="19"/>
      <c r="E552" s="19"/>
      <c r="F552" s="28"/>
      <c r="G552" s="30"/>
      <c r="H552" s="21" t="str">
        <f t="shared" si="1"/>
        <v/>
      </c>
      <c r="I552" s="19"/>
    </row>
    <row r="553" ht="15.75" customHeight="1">
      <c r="A553" s="3"/>
      <c r="B553" s="19"/>
      <c r="C553" s="19"/>
      <c r="D553" s="19"/>
      <c r="E553" s="19"/>
      <c r="F553" s="28"/>
      <c r="G553" s="30"/>
      <c r="H553" s="21" t="str">
        <f t="shared" si="1"/>
        <v/>
      </c>
      <c r="I553" s="19"/>
    </row>
    <row r="554" ht="15.75" customHeight="1">
      <c r="A554" s="3"/>
      <c r="B554" s="19"/>
      <c r="C554" s="19"/>
      <c r="D554" s="19"/>
      <c r="E554" s="19"/>
      <c r="F554" s="28"/>
      <c r="G554" s="30"/>
      <c r="H554" s="21" t="str">
        <f t="shared" si="1"/>
        <v/>
      </c>
      <c r="I554" s="19"/>
    </row>
    <row r="555" ht="15.75" customHeight="1">
      <c r="A555" s="3"/>
      <c r="B555" s="19"/>
      <c r="C555" s="19"/>
      <c r="D555" s="19"/>
      <c r="E555" s="19"/>
      <c r="F555" s="28"/>
      <c r="G555" s="30"/>
      <c r="H555" s="21" t="str">
        <f t="shared" si="1"/>
        <v/>
      </c>
      <c r="I555" s="19"/>
    </row>
    <row r="556" ht="15.75" customHeight="1">
      <c r="A556" s="3"/>
      <c r="B556" s="19"/>
      <c r="C556" s="19"/>
      <c r="D556" s="19"/>
      <c r="E556" s="19"/>
      <c r="F556" s="28"/>
      <c r="G556" s="30"/>
      <c r="H556" s="21" t="str">
        <f t="shared" si="1"/>
        <v/>
      </c>
      <c r="I556" s="19"/>
    </row>
    <row r="557" ht="15.75" customHeight="1">
      <c r="A557" s="3"/>
      <c r="B557" s="19"/>
      <c r="C557" s="19"/>
      <c r="D557" s="19"/>
      <c r="E557" s="19"/>
      <c r="F557" s="28"/>
      <c r="G557" s="30"/>
      <c r="H557" s="21" t="str">
        <f t="shared" si="1"/>
        <v/>
      </c>
      <c r="I557" s="19"/>
    </row>
    <row r="558" ht="15.75" customHeight="1">
      <c r="A558" s="3"/>
      <c r="B558" s="19"/>
      <c r="C558" s="19"/>
      <c r="D558" s="19"/>
      <c r="E558" s="19"/>
      <c r="F558" s="28"/>
      <c r="G558" s="30"/>
      <c r="H558" s="21" t="str">
        <f t="shared" si="1"/>
        <v/>
      </c>
      <c r="I558" s="19"/>
    </row>
    <row r="559" ht="15.75" customHeight="1">
      <c r="A559" s="3"/>
      <c r="B559" s="19"/>
      <c r="C559" s="19"/>
      <c r="D559" s="19"/>
      <c r="E559" s="19"/>
      <c r="F559" s="28"/>
      <c r="G559" s="30"/>
      <c r="H559" s="21" t="str">
        <f t="shared" si="1"/>
        <v/>
      </c>
      <c r="I559" s="19"/>
    </row>
    <row r="560" ht="15.75" customHeight="1">
      <c r="A560" s="3"/>
      <c r="B560" s="19"/>
      <c r="C560" s="19"/>
      <c r="D560" s="19"/>
      <c r="E560" s="19"/>
      <c r="F560" s="28"/>
      <c r="G560" s="30"/>
      <c r="H560" s="21" t="str">
        <f t="shared" si="1"/>
        <v/>
      </c>
      <c r="I560" s="19"/>
    </row>
    <row r="561" ht="15.75" customHeight="1">
      <c r="A561" s="3"/>
      <c r="B561" s="19"/>
      <c r="C561" s="19"/>
      <c r="D561" s="19"/>
      <c r="E561" s="19"/>
      <c r="F561" s="28"/>
      <c r="G561" s="30"/>
      <c r="H561" s="21" t="str">
        <f t="shared" si="1"/>
        <v/>
      </c>
      <c r="I561" s="19"/>
    </row>
    <row r="562" ht="15.75" customHeight="1">
      <c r="A562" s="3"/>
      <c r="B562" s="19"/>
      <c r="C562" s="19"/>
      <c r="D562" s="19"/>
      <c r="E562" s="19"/>
      <c r="F562" s="28"/>
      <c r="G562" s="30"/>
      <c r="H562" s="21" t="str">
        <f t="shared" si="1"/>
        <v/>
      </c>
      <c r="I562" s="19"/>
    </row>
    <row r="563" ht="15.75" customHeight="1">
      <c r="A563" s="3"/>
      <c r="B563" s="19"/>
      <c r="C563" s="19"/>
      <c r="D563" s="19"/>
      <c r="E563" s="19"/>
      <c r="F563" s="28"/>
      <c r="G563" s="30"/>
      <c r="H563" s="21" t="str">
        <f t="shared" si="1"/>
        <v/>
      </c>
      <c r="I563" s="19"/>
    </row>
    <row r="564" ht="15.75" customHeight="1">
      <c r="A564" s="3"/>
      <c r="B564" s="19"/>
      <c r="C564" s="19"/>
      <c r="D564" s="19"/>
      <c r="E564" s="19"/>
      <c r="F564" s="28"/>
      <c r="G564" s="30"/>
      <c r="H564" s="21" t="str">
        <f t="shared" si="1"/>
        <v/>
      </c>
      <c r="I564" s="19"/>
    </row>
    <row r="565" ht="15.75" customHeight="1">
      <c r="A565" s="3"/>
      <c r="B565" s="19"/>
      <c r="C565" s="19"/>
      <c r="D565" s="19"/>
      <c r="E565" s="19"/>
      <c r="F565" s="28"/>
      <c r="G565" s="30"/>
      <c r="H565" s="21" t="str">
        <f t="shared" si="1"/>
        <v/>
      </c>
      <c r="I565" s="19"/>
    </row>
    <row r="566" ht="15.75" customHeight="1">
      <c r="A566" s="3"/>
      <c r="B566" s="19"/>
      <c r="C566" s="19"/>
      <c r="D566" s="19"/>
      <c r="E566" s="19"/>
      <c r="F566" s="28"/>
      <c r="G566" s="30"/>
      <c r="H566" s="21" t="str">
        <f t="shared" si="1"/>
        <v/>
      </c>
      <c r="I566" s="19"/>
    </row>
    <row r="567" ht="15.75" customHeight="1">
      <c r="A567" s="3"/>
      <c r="B567" s="19"/>
      <c r="C567" s="19"/>
      <c r="D567" s="19"/>
      <c r="E567" s="19"/>
      <c r="F567" s="28"/>
      <c r="G567" s="30"/>
      <c r="H567" s="21" t="str">
        <f t="shared" si="1"/>
        <v/>
      </c>
      <c r="I567" s="19"/>
    </row>
    <row r="568" ht="15.75" customHeight="1">
      <c r="A568" s="3"/>
      <c r="B568" s="19"/>
      <c r="C568" s="19"/>
      <c r="D568" s="19"/>
      <c r="E568" s="19"/>
      <c r="F568" s="28"/>
      <c r="G568" s="30"/>
      <c r="H568" s="21" t="str">
        <f t="shared" si="1"/>
        <v/>
      </c>
      <c r="I568" s="19"/>
    </row>
    <row r="569" ht="15.75" customHeight="1">
      <c r="A569" s="3"/>
      <c r="B569" s="19"/>
      <c r="C569" s="19"/>
      <c r="D569" s="19"/>
      <c r="E569" s="19"/>
      <c r="F569" s="28"/>
      <c r="G569" s="30"/>
      <c r="H569" s="21" t="str">
        <f t="shared" si="1"/>
        <v/>
      </c>
      <c r="I569" s="19"/>
    </row>
    <row r="570" ht="15.75" customHeight="1">
      <c r="A570" s="3"/>
      <c r="B570" s="19"/>
      <c r="C570" s="19"/>
      <c r="D570" s="19"/>
      <c r="E570" s="19"/>
      <c r="F570" s="28"/>
      <c r="G570" s="30"/>
      <c r="H570" s="21" t="str">
        <f t="shared" si="1"/>
        <v/>
      </c>
      <c r="I570" s="19"/>
    </row>
    <row r="571" ht="15.75" customHeight="1">
      <c r="A571" s="3"/>
      <c r="B571" s="19"/>
      <c r="C571" s="19"/>
      <c r="D571" s="19"/>
      <c r="E571" s="19"/>
      <c r="F571" s="28"/>
      <c r="G571" s="30"/>
      <c r="H571" s="21" t="str">
        <f t="shared" si="1"/>
        <v/>
      </c>
      <c r="I571" s="19"/>
    </row>
    <row r="572" ht="15.75" customHeight="1">
      <c r="A572" s="3"/>
      <c r="B572" s="19"/>
      <c r="C572" s="19"/>
      <c r="D572" s="19"/>
      <c r="E572" s="19"/>
      <c r="F572" s="28"/>
      <c r="G572" s="30"/>
      <c r="H572" s="21" t="str">
        <f t="shared" si="1"/>
        <v/>
      </c>
      <c r="I572" s="19"/>
    </row>
    <row r="573" ht="15.75" customHeight="1">
      <c r="A573" s="3"/>
      <c r="B573" s="19"/>
      <c r="C573" s="19"/>
      <c r="D573" s="19"/>
      <c r="E573" s="19"/>
      <c r="F573" s="28"/>
      <c r="G573" s="30"/>
      <c r="H573" s="21" t="str">
        <f t="shared" si="1"/>
        <v/>
      </c>
      <c r="I573" s="19"/>
    </row>
    <row r="574" ht="15.75" customHeight="1">
      <c r="A574" s="3"/>
      <c r="B574" s="19"/>
      <c r="C574" s="19"/>
      <c r="D574" s="19"/>
      <c r="E574" s="19"/>
      <c r="F574" s="28"/>
      <c r="G574" s="30"/>
      <c r="H574" s="21" t="str">
        <f t="shared" si="1"/>
        <v/>
      </c>
      <c r="I574" s="19"/>
    </row>
    <row r="575" ht="15.75" customHeight="1">
      <c r="A575" s="3"/>
      <c r="B575" s="19"/>
      <c r="C575" s="19"/>
      <c r="D575" s="19"/>
      <c r="E575" s="19"/>
      <c r="F575" s="28"/>
      <c r="G575" s="30"/>
      <c r="H575" s="21" t="str">
        <f t="shared" si="1"/>
        <v/>
      </c>
      <c r="I575" s="19"/>
    </row>
    <row r="576" ht="15.75" customHeight="1">
      <c r="A576" s="3"/>
      <c r="B576" s="19"/>
      <c r="C576" s="19"/>
      <c r="D576" s="19"/>
      <c r="E576" s="19"/>
      <c r="F576" s="28"/>
      <c r="G576" s="30"/>
      <c r="H576" s="21" t="str">
        <f t="shared" si="1"/>
        <v/>
      </c>
      <c r="I576" s="19"/>
    </row>
    <row r="577" ht="15.75" customHeight="1">
      <c r="A577" s="3"/>
      <c r="B577" s="19"/>
      <c r="C577" s="19"/>
      <c r="D577" s="19"/>
      <c r="E577" s="19"/>
      <c r="F577" s="28"/>
      <c r="G577" s="30"/>
      <c r="H577" s="21" t="str">
        <f t="shared" si="1"/>
        <v/>
      </c>
      <c r="I577" s="19"/>
    </row>
    <row r="578" ht="15.75" customHeight="1">
      <c r="A578" s="3"/>
      <c r="B578" s="19"/>
      <c r="C578" s="19"/>
      <c r="D578" s="19"/>
      <c r="E578" s="19"/>
      <c r="F578" s="28"/>
      <c r="G578" s="30"/>
      <c r="H578" s="21" t="str">
        <f t="shared" si="1"/>
        <v/>
      </c>
      <c r="I578" s="19"/>
    </row>
    <row r="579" ht="15.75" customHeight="1">
      <c r="A579" s="3"/>
      <c r="B579" s="19"/>
      <c r="C579" s="19"/>
      <c r="D579" s="19"/>
      <c r="E579" s="19"/>
      <c r="F579" s="28"/>
      <c r="G579" s="30"/>
      <c r="H579" s="21" t="str">
        <f t="shared" si="1"/>
        <v/>
      </c>
      <c r="I579" s="19"/>
    </row>
    <row r="580" ht="15.75" customHeight="1">
      <c r="A580" s="3"/>
      <c r="B580" s="19"/>
      <c r="C580" s="19"/>
      <c r="D580" s="19"/>
      <c r="E580" s="19"/>
      <c r="F580" s="28"/>
      <c r="G580" s="30"/>
      <c r="H580" s="21" t="str">
        <f t="shared" si="1"/>
        <v/>
      </c>
      <c r="I580" s="19"/>
    </row>
    <row r="581" ht="15.75" customHeight="1">
      <c r="A581" s="3"/>
      <c r="B581" s="19"/>
      <c r="C581" s="19"/>
      <c r="D581" s="19"/>
      <c r="E581" s="19"/>
      <c r="F581" s="28"/>
      <c r="G581" s="30"/>
      <c r="H581" s="21" t="str">
        <f t="shared" si="1"/>
        <v/>
      </c>
      <c r="I581" s="19"/>
    </row>
    <row r="582" ht="15.75" customHeight="1">
      <c r="A582" s="3"/>
      <c r="B582" s="19"/>
      <c r="C582" s="19"/>
      <c r="D582" s="19"/>
      <c r="E582" s="19"/>
      <c r="F582" s="28"/>
      <c r="G582" s="30"/>
      <c r="H582" s="21" t="str">
        <f t="shared" si="1"/>
        <v/>
      </c>
      <c r="I582" s="19"/>
    </row>
    <row r="583" ht="15.75" customHeight="1">
      <c r="A583" s="3"/>
      <c r="B583" s="19"/>
      <c r="C583" s="19"/>
      <c r="D583" s="19"/>
      <c r="E583" s="19"/>
      <c r="F583" s="28"/>
      <c r="G583" s="30"/>
      <c r="H583" s="21" t="str">
        <f t="shared" si="1"/>
        <v/>
      </c>
      <c r="I583" s="19"/>
    </row>
    <row r="584" ht="15.75" customHeight="1">
      <c r="A584" s="3"/>
      <c r="B584" s="19"/>
      <c r="C584" s="19"/>
      <c r="D584" s="19"/>
      <c r="E584" s="19"/>
      <c r="F584" s="28"/>
      <c r="G584" s="30"/>
      <c r="H584" s="21" t="str">
        <f t="shared" si="1"/>
        <v/>
      </c>
      <c r="I584" s="19"/>
    </row>
    <row r="585" ht="15.75" customHeight="1">
      <c r="A585" s="3"/>
      <c r="B585" s="19"/>
      <c r="C585" s="19"/>
      <c r="D585" s="19"/>
      <c r="E585" s="19"/>
      <c r="F585" s="28"/>
      <c r="G585" s="30"/>
      <c r="H585" s="21" t="str">
        <f t="shared" si="1"/>
        <v/>
      </c>
      <c r="I585" s="19"/>
    </row>
    <row r="586" ht="15.75" customHeight="1">
      <c r="A586" s="3"/>
      <c r="B586" s="19"/>
      <c r="C586" s="19"/>
      <c r="D586" s="19"/>
      <c r="E586" s="19"/>
      <c r="F586" s="28"/>
      <c r="G586" s="30"/>
      <c r="H586" s="21" t="str">
        <f t="shared" si="1"/>
        <v/>
      </c>
      <c r="I586" s="19"/>
    </row>
    <row r="587" ht="15.75" customHeight="1">
      <c r="A587" s="3"/>
      <c r="B587" s="19"/>
      <c r="C587" s="19"/>
      <c r="D587" s="19"/>
      <c r="E587" s="19"/>
      <c r="F587" s="28"/>
      <c r="G587" s="30"/>
      <c r="H587" s="21" t="str">
        <f t="shared" si="1"/>
        <v/>
      </c>
      <c r="I587" s="19"/>
    </row>
    <row r="588" ht="15.75" customHeight="1">
      <c r="A588" s="3"/>
      <c r="B588" s="19"/>
      <c r="C588" s="19"/>
      <c r="D588" s="19"/>
      <c r="E588" s="19"/>
      <c r="F588" s="28"/>
      <c r="G588" s="30"/>
      <c r="H588" s="21" t="str">
        <f t="shared" si="1"/>
        <v/>
      </c>
      <c r="I588" s="19"/>
    </row>
    <row r="589" ht="15.75" customHeight="1">
      <c r="A589" s="3"/>
      <c r="B589" s="19"/>
      <c r="C589" s="19"/>
      <c r="D589" s="19"/>
      <c r="E589" s="19"/>
      <c r="F589" s="28"/>
      <c r="G589" s="30"/>
      <c r="H589" s="21" t="str">
        <f t="shared" si="1"/>
        <v/>
      </c>
      <c r="I589" s="19"/>
    </row>
    <row r="590" ht="15.75" customHeight="1">
      <c r="A590" s="3"/>
      <c r="B590" s="19"/>
      <c r="C590" s="19"/>
      <c r="D590" s="19"/>
      <c r="E590" s="19"/>
      <c r="F590" s="28"/>
      <c r="G590" s="30"/>
      <c r="H590" s="21" t="str">
        <f t="shared" si="1"/>
        <v/>
      </c>
      <c r="I590" s="19"/>
    </row>
    <row r="591" ht="15.75" customHeight="1">
      <c r="A591" s="3"/>
      <c r="B591" s="19"/>
      <c r="C591" s="19"/>
      <c r="D591" s="19"/>
      <c r="E591" s="19"/>
      <c r="F591" s="28"/>
      <c r="G591" s="30"/>
      <c r="H591" s="21" t="str">
        <f t="shared" si="1"/>
        <v/>
      </c>
      <c r="I591" s="19"/>
    </row>
    <row r="592" ht="15.75" customHeight="1">
      <c r="A592" s="3"/>
      <c r="B592" s="19"/>
      <c r="C592" s="19"/>
      <c r="D592" s="19"/>
      <c r="E592" s="19"/>
      <c r="F592" s="28"/>
      <c r="G592" s="30"/>
      <c r="H592" s="21" t="str">
        <f t="shared" si="1"/>
        <v/>
      </c>
      <c r="I592" s="19"/>
    </row>
    <row r="593" ht="15.75" customHeight="1">
      <c r="A593" s="3"/>
      <c r="B593" s="19"/>
      <c r="C593" s="19"/>
      <c r="D593" s="19"/>
      <c r="E593" s="19"/>
      <c r="F593" s="28"/>
      <c r="G593" s="30"/>
      <c r="H593" s="21" t="str">
        <f t="shared" si="1"/>
        <v/>
      </c>
      <c r="I593" s="19"/>
    </row>
    <row r="594" ht="15.75" customHeight="1">
      <c r="A594" s="3"/>
      <c r="B594" s="19"/>
      <c r="C594" s="19"/>
      <c r="D594" s="19"/>
      <c r="E594" s="19"/>
      <c r="F594" s="28"/>
      <c r="G594" s="30"/>
      <c r="H594" s="21" t="str">
        <f t="shared" si="1"/>
        <v/>
      </c>
      <c r="I594" s="19"/>
    </row>
    <row r="595" ht="15.75" customHeight="1">
      <c r="A595" s="3"/>
      <c r="B595" s="19"/>
      <c r="C595" s="19"/>
      <c r="D595" s="19"/>
      <c r="E595" s="19"/>
      <c r="F595" s="28"/>
      <c r="G595" s="30"/>
      <c r="H595" s="21" t="str">
        <f t="shared" si="1"/>
        <v/>
      </c>
      <c r="I595" s="19"/>
    </row>
    <row r="596" ht="15.75" customHeight="1">
      <c r="A596" s="3"/>
      <c r="B596" s="19"/>
      <c r="C596" s="19"/>
      <c r="D596" s="19"/>
      <c r="E596" s="19"/>
      <c r="F596" s="28"/>
      <c r="G596" s="30"/>
      <c r="H596" s="21" t="str">
        <f t="shared" si="1"/>
        <v/>
      </c>
      <c r="I596" s="19"/>
    </row>
    <row r="597" ht="15.75" customHeight="1">
      <c r="A597" s="3"/>
      <c r="B597" s="19"/>
      <c r="C597" s="19"/>
      <c r="D597" s="19"/>
      <c r="E597" s="19"/>
      <c r="F597" s="28"/>
      <c r="G597" s="30"/>
      <c r="H597" s="21" t="str">
        <f t="shared" si="1"/>
        <v/>
      </c>
      <c r="I597" s="19"/>
    </row>
    <row r="598" ht="15.75" customHeight="1">
      <c r="A598" s="3"/>
      <c r="B598" s="19"/>
      <c r="C598" s="19"/>
      <c r="D598" s="19"/>
      <c r="E598" s="19"/>
      <c r="F598" s="28"/>
      <c r="G598" s="30"/>
      <c r="H598" s="21" t="str">
        <f t="shared" si="1"/>
        <v/>
      </c>
      <c r="I598" s="19"/>
    </row>
    <row r="599" ht="15.75" customHeight="1">
      <c r="A599" s="3"/>
      <c r="B599" s="19"/>
      <c r="C599" s="19"/>
      <c r="D599" s="19"/>
      <c r="E599" s="19"/>
      <c r="F599" s="28"/>
      <c r="G599" s="30"/>
      <c r="H599" s="21" t="str">
        <f t="shared" si="1"/>
        <v/>
      </c>
      <c r="I599" s="19"/>
    </row>
    <row r="600" ht="15.75" customHeight="1">
      <c r="A600" s="3"/>
      <c r="B600" s="19"/>
      <c r="C600" s="19"/>
      <c r="D600" s="19"/>
      <c r="E600" s="19"/>
      <c r="F600" s="28"/>
      <c r="G600" s="30"/>
      <c r="H600" s="21" t="str">
        <f t="shared" si="1"/>
        <v/>
      </c>
      <c r="I600" s="19"/>
    </row>
    <row r="601" ht="15.75" customHeight="1">
      <c r="A601" s="3"/>
      <c r="B601" s="19"/>
      <c r="C601" s="19"/>
      <c r="D601" s="19"/>
      <c r="E601" s="19"/>
      <c r="F601" s="28"/>
      <c r="G601" s="30"/>
      <c r="H601" s="21" t="str">
        <f t="shared" si="1"/>
        <v/>
      </c>
      <c r="I601" s="19"/>
    </row>
    <row r="602" ht="15.75" customHeight="1">
      <c r="A602" s="3"/>
      <c r="B602" s="19"/>
      <c r="C602" s="19"/>
      <c r="D602" s="19"/>
      <c r="E602" s="19"/>
      <c r="F602" s="28"/>
      <c r="G602" s="30"/>
      <c r="H602" s="21" t="str">
        <f t="shared" si="1"/>
        <v/>
      </c>
      <c r="I602" s="19"/>
    </row>
    <row r="603" ht="15.75" customHeight="1">
      <c r="A603" s="3"/>
      <c r="B603" s="19"/>
      <c r="C603" s="19"/>
      <c r="D603" s="19"/>
      <c r="E603" s="19"/>
      <c r="F603" s="28"/>
      <c r="G603" s="30"/>
      <c r="H603" s="21" t="str">
        <f t="shared" si="1"/>
        <v/>
      </c>
      <c r="I603" s="19"/>
    </row>
    <row r="604" ht="15.75" customHeight="1">
      <c r="A604" s="3"/>
      <c r="B604" s="19"/>
      <c r="C604" s="19"/>
      <c r="D604" s="19"/>
      <c r="E604" s="19"/>
      <c r="F604" s="28"/>
      <c r="G604" s="30"/>
      <c r="H604" s="21" t="str">
        <f t="shared" si="1"/>
        <v/>
      </c>
      <c r="I604" s="19"/>
    </row>
    <row r="605" ht="15.75" customHeight="1">
      <c r="A605" s="3"/>
      <c r="B605" s="19"/>
      <c r="C605" s="19"/>
      <c r="D605" s="19"/>
      <c r="E605" s="19"/>
      <c r="F605" s="28"/>
      <c r="G605" s="30"/>
      <c r="H605" s="21" t="str">
        <f t="shared" si="1"/>
        <v/>
      </c>
      <c r="I605" s="19"/>
    </row>
    <row r="606" ht="15.75" customHeight="1">
      <c r="A606" s="3"/>
      <c r="B606" s="19"/>
      <c r="C606" s="19"/>
      <c r="D606" s="19"/>
      <c r="E606" s="19"/>
      <c r="F606" s="28"/>
      <c r="G606" s="30"/>
      <c r="H606" s="21" t="str">
        <f t="shared" si="1"/>
        <v/>
      </c>
      <c r="I606" s="19"/>
    </row>
    <row r="607" ht="15.75" customHeight="1">
      <c r="A607" s="3"/>
      <c r="B607" s="19"/>
      <c r="C607" s="19"/>
      <c r="D607" s="19"/>
      <c r="E607" s="19"/>
      <c r="F607" s="28"/>
      <c r="G607" s="30"/>
      <c r="H607" s="21" t="str">
        <f t="shared" si="1"/>
        <v/>
      </c>
      <c r="I607" s="19"/>
    </row>
    <row r="608" ht="15.75" customHeight="1">
      <c r="A608" s="3"/>
      <c r="B608" s="19"/>
      <c r="C608" s="19"/>
      <c r="D608" s="19"/>
      <c r="E608" s="19"/>
      <c r="F608" s="28"/>
      <c r="G608" s="30"/>
      <c r="H608" s="21" t="str">
        <f t="shared" si="1"/>
        <v/>
      </c>
      <c r="I608" s="19"/>
    </row>
    <row r="609" ht="15.75" customHeight="1">
      <c r="A609" s="3"/>
      <c r="B609" s="19"/>
      <c r="C609" s="19"/>
      <c r="D609" s="19"/>
      <c r="E609" s="19"/>
      <c r="F609" s="28"/>
      <c r="G609" s="30"/>
      <c r="H609" s="21" t="str">
        <f t="shared" si="1"/>
        <v/>
      </c>
      <c r="I609" s="19"/>
    </row>
    <row r="610" ht="15.75" customHeight="1">
      <c r="A610" s="3"/>
      <c r="B610" s="19"/>
      <c r="C610" s="19"/>
      <c r="D610" s="19"/>
      <c r="E610" s="19"/>
      <c r="F610" s="28"/>
      <c r="G610" s="30"/>
      <c r="H610" s="21" t="str">
        <f t="shared" si="1"/>
        <v/>
      </c>
      <c r="I610" s="19"/>
    </row>
    <row r="611" ht="15.75" customHeight="1">
      <c r="A611" s="3"/>
      <c r="B611" s="19"/>
      <c r="C611" s="19"/>
      <c r="D611" s="19"/>
      <c r="E611" s="19"/>
      <c r="F611" s="28"/>
      <c r="G611" s="30"/>
      <c r="H611" s="21" t="str">
        <f t="shared" si="1"/>
        <v/>
      </c>
      <c r="I611" s="19"/>
    </row>
    <row r="612" ht="15.75" customHeight="1">
      <c r="A612" s="3"/>
      <c r="B612" s="19"/>
      <c r="C612" s="19"/>
      <c r="D612" s="19"/>
      <c r="E612" s="19"/>
      <c r="F612" s="28"/>
      <c r="G612" s="30"/>
      <c r="H612" s="21" t="str">
        <f t="shared" si="1"/>
        <v/>
      </c>
      <c r="I612" s="19"/>
    </row>
    <row r="613" ht="15.75" customHeight="1">
      <c r="A613" s="3"/>
      <c r="B613" s="19"/>
      <c r="C613" s="19"/>
      <c r="D613" s="19"/>
      <c r="E613" s="19"/>
      <c r="F613" s="28"/>
      <c r="G613" s="30"/>
      <c r="H613" s="21" t="str">
        <f t="shared" si="1"/>
        <v/>
      </c>
      <c r="I613" s="19"/>
    </row>
    <row r="614" ht="15.75" customHeight="1">
      <c r="A614" s="3"/>
      <c r="B614" s="19"/>
      <c r="C614" s="19"/>
      <c r="D614" s="19"/>
      <c r="E614" s="19"/>
      <c r="F614" s="28"/>
      <c r="G614" s="30"/>
      <c r="H614" s="21" t="str">
        <f t="shared" si="1"/>
        <v/>
      </c>
      <c r="I614" s="19"/>
    </row>
    <row r="615" ht="15.75" customHeight="1">
      <c r="A615" s="3"/>
      <c r="B615" s="19"/>
      <c r="C615" s="19"/>
      <c r="D615" s="19"/>
      <c r="E615" s="19"/>
      <c r="F615" s="28"/>
      <c r="G615" s="30"/>
      <c r="H615" s="21" t="str">
        <f t="shared" si="1"/>
        <v/>
      </c>
      <c r="I615" s="19"/>
    </row>
    <row r="616" ht="15.75" customHeight="1">
      <c r="A616" s="3"/>
      <c r="B616" s="19"/>
      <c r="C616" s="19"/>
      <c r="D616" s="19"/>
      <c r="E616" s="19"/>
      <c r="F616" s="28"/>
      <c r="G616" s="30"/>
      <c r="H616" s="21" t="str">
        <f t="shared" si="1"/>
        <v/>
      </c>
      <c r="I616" s="19"/>
    </row>
    <row r="617" ht="15.75" customHeight="1">
      <c r="A617" s="3"/>
      <c r="B617" s="19"/>
      <c r="C617" s="19"/>
      <c r="D617" s="19"/>
      <c r="E617" s="19"/>
      <c r="F617" s="28"/>
      <c r="G617" s="30"/>
      <c r="H617" s="21" t="str">
        <f t="shared" si="1"/>
        <v/>
      </c>
      <c r="I617" s="19"/>
    </row>
    <row r="618" ht="15.75" customHeight="1">
      <c r="A618" s="3"/>
      <c r="B618" s="19"/>
      <c r="C618" s="19"/>
      <c r="D618" s="19"/>
      <c r="E618" s="19"/>
      <c r="F618" s="28"/>
      <c r="G618" s="30"/>
      <c r="H618" s="21" t="str">
        <f t="shared" si="1"/>
        <v/>
      </c>
      <c r="I618" s="19"/>
    </row>
    <row r="619" ht="15.75" customHeight="1">
      <c r="A619" s="3"/>
      <c r="B619" s="19"/>
      <c r="C619" s="19"/>
      <c r="D619" s="19"/>
      <c r="E619" s="19"/>
      <c r="F619" s="28"/>
      <c r="G619" s="30"/>
      <c r="H619" s="21" t="str">
        <f t="shared" si="1"/>
        <v/>
      </c>
      <c r="I619" s="19"/>
    </row>
    <row r="620" ht="15.75" customHeight="1">
      <c r="A620" s="3"/>
      <c r="B620" s="19"/>
      <c r="C620" s="19"/>
      <c r="D620" s="19"/>
      <c r="E620" s="19"/>
      <c r="F620" s="28"/>
      <c r="G620" s="30"/>
      <c r="H620" s="21" t="str">
        <f t="shared" si="1"/>
        <v/>
      </c>
      <c r="I620" s="19"/>
    </row>
    <row r="621" ht="15.75" customHeight="1">
      <c r="A621" s="3"/>
      <c r="B621" s="19"/>
      <c r="C621" s="19"/>
      <c r="D621" s="19"/>
      <c r="E621" s="19"/>
      <c r="F621" s="28"/>
      <c r="G621" s="30"/>
      <c r="H621" s="21" t="str">
        <f t="shared" si="1"/>
        <v/>
      </c>
      <c r="I621" s="19"/>
    </row>
    <row r="622" ht="15.75" customHeight="1">
      <c r="A622" s="3"/>
      <c r="B622" s="19"/>
      <c r="C622" s="19"/>
      <c r="D622" s="19"/>
      <c r="E622" s="19"/>
      <c r="F622" s="28"/>
      <c r="G622" s="30"/>
      <c r="H622" s="21" t="str">
        <f t="shared" si="1"/>
        <v/>
      </c>
      <c r="I622" s="19"/>
    </row>
    <row r="623" ht="15.75" customHeight="1">
      <c r="A623" s="3"/>
      <c r="B623" s="19"/>
      <c r="C623" s="19"/>
      <c r="D623" s="19"/>
      <c r="E623" s="19"/>
      <c r="F623" s="28"/>
      <c r="G623" s="30"/>
      <c r="H623" s="21" t="str">
        <f t="shared" si="1"/>
        <v/>
      </c>
      <c r="I623" s="19"/>
    </row>
    <row r="624" ht="15.75" customHeight="1">
      <c r="A624" s="3"/>
      <c r="B624" s="19"/>
      <c r="C624" s="19"/>
      <c r="D624" s="19"/>
      <c r="E624" s="19"/>
      <c r="F624" s="28"/>
      <c r="G624" s="30"/>
      <c r="H624" s="21" t="str">
        <f t="shared" si="1"/>
        <v/>
      </c>
      <c r="I624" s="19"/>
    </row>
    <row r="625" ht="15.75" customHeight="1">
      <c r="A625" s="3"/>
      <c r="B625" s="19"/>
      <c r="C625" s="19"/>
      <c r="D625" s="19"/>
      <c r="E625" s="19"/>
      <c r="F625" s="28"/>
      <c r="G625" s="30"/>
      <c r="H625" s="21" t="str">
        <f t="shared" si="1"/>
        <v/>
      </c>
      <c r="I625" s="19"/>
    </row>
    <row r="626" ht="15.75" customHeight="1">
      <c r="A626" s="3"/>
      <c r="B626" s="19"/>
      <c r="C626" s="19"/>
      <c r="D626" s="19"/>
      <c r="E626" s="19"/>
      <c r="F626" s="28"/>
      <c r="G626" s="30"/>
      <c r="H626" s="21" t="str">
        <f t="shared" si="1"/>
        <v/>
      </c>
      <c r="I626" s="19"/>
    </row>
    <row r="627" ht="15.75" customHeight="1">
      <c r="A627" s="3"/>
      <c r="B627" s="19"/>
      <c r="C627" s="19"/>
      <c r="D627" s="19"/>
      <c r="E627" s="19"/>
      <c r="F627" s="28"/>
      <c r="G627" s="30"/>
      <c r="H627" s="21" t="str">
        <f t="shared" si="1"/>
        <v/>
      </c>
      <c r="I627" s="19"/>
    </row>
    <row r="628" ht="15.75" customHeight="1">
      <c r="A628" s="3"/>
      <c r="B628" s="19"/>
      <c r="C628" s="19"/>
      <c r="D628" s="19"/>
      <c r="E628" s="19"/>
      <c r="F628" s="28"/>
      <c r="G628" s="30"/>
      <c r="H628" s="21" t="str">
        <f t="shared" si="1"/>
        <v/>
      </c>
      <c r="I628" s="19"/>
    </row>
    <row r="629" ht="15.75" customHeight="1">
      <c r="A629" s="3"/>
      <c r="B629" s="19"/>
      <c r="C629" s="19"/>
      <c r="D629" s="19"/>
      <c r="E629" s="19"/>
      <c r="F629" s="28"/>
      <c r="G629" s="30"/>
      <c r="H629" s="21" t="str">
        <f t="shared" si="1"/>
        <v/>
      </c>
      <c r="I629" s="19"/>
    </row>
    <row r="630" ht="15.75" customHeight="1">
      <c r="A630" s="3"/>
      <c r="B630" s="19"/>
      <c r="C630" s="19"/>
      <c r="D630" s="19"/>
      <c r="E630" s="19"/>
      <c r="F630" s="28"/>
      <c r="G630" s="30"/>
      <c r="H630" s="21" t="str">
        <f t="shared" si="1"/>
        <v/>
      </c>
      <c r="I630" s="19"/>
    </row>
    <row r="631" ht="15.75" customHeight="1">
      <c r="A631" s="3"/>
      <c r="B631" s="19"/>
      <c r="C631" s="19"/>
      <c r="D631" s="19"/>
      <c r="E631" s="19"/>
      <c r="F631" s="28"/>
      <c r="G631" s="30"/>
      <c r="H631" s="21" t="str">
        <f t="shared" si="1"/>
        <v/>
      </c>
      <c r="I631" s="19"/>
    </row>
    <row r="632" ht="15.75" customHeight="1">
      <c r="A632" s="3"/>
      <c r="B632" s="19"/>
      <c r="C632" s="19"/>
      <c r="D632" s="19"/>
      <c r="E632" s="19"/>
      <c r="F632" s="28"/>
      <c r="G632" s="30"/>
      <c r="H632" s="21" t="str">
        <f t="shared" si="1"/>
        <v/>
      </c>
      <c r="I632" s="19"/>
    </row>
    <row r="633" ht="15.75" customHeight="1">
      <c r="A633" s="3"/>
      <c r="B633" s="19"/>
      <c r="C633" s="19"/>
      <c r="D633" s="19"/>
      <c r="E633" s="19"/>
      <c r="F633" s="28"/>
      <c r="G633" s="30"/>
      <c r="H633" s="21" t="str">
        <f t="shared" si="1"/>
        <v/>
      </c>
      <c r="I633" s="19"/>
    </row>
    <row r="634" ht="15.75" customHeight="1">
      <c r="A634" s="3"/>
      <c r="B634" s="19"/>
      <c r="C634" s="19"/>
      <c r="D634" s="19"/>
      <c r="E634" s="19"/>
      <c r="F634" s="28"/>
      <c r="G634" s="30"/>
      <c r="H634" s="21" t="str">
        <f t="shared" si="1"/>
        <v/>
      </c>
      <c r="I634" s="19"/>
    </row>
    <row r="635" ht="15.75" customHeight="1">
      <c r="A635" s="3"/>
      <c r="B635" s="19"/>
      <c r="C635" s="19"/>
      <c r="D635" s="19"/>
      <c r="E635" s="19"/>
      <c r="F635" s="28"/>
      <c r="G635" s="30"/>
      <c r="H635" s="21" t="str">
        <f t="shared" si="1"/>
        <v/>
      </c>
      <c r="I635" s="19"/>
    </row>
    <row r="636" ht="15.75" customHeight="1">
      <c r="A636" s="3"/>
      <c r="B636" s="19"/>
      <c r="C636" s="19"/>
      <c r="D636" s="19"/>
      <c r="E636" s="19"/>
      <c r="F636" s="28"/>
      <c r="G636" s="30"/>
      <c r="H636" s="21" t="str">
        <f t="shared" si="1"/>
        <v/>
      </c>
      <c r="I636" s="19"/>
    </row>
    <row r="637" ht="15.75" customHeight="1">
      <c r="A637" s="3"/>
      <c r="B637" s="19"/>
      <c r="C637" s="19"/>
      <c r="D637" s="19"/>
      <c r="E637" s="19"/>
      <c r="F637" s="28"/>
      <c r="G637" s="30"/>
      <c r="H637" s="21" t="str">
        <f t="shared" si="1"/>
        <v/>
      </c>
      <c r="I637" s="19"/>
    </row>
    <row r="638" ht="15.75" customHeight="1">
      <c r="A638" s="3"/>
      <c r="B638" s="19"/>
      <c r="C638" s="19"/>
      <c r="D638" s="19"/>
      <c r="E638" s="19"/>
      <c r="F638" s="28"/>
      <c r="G638" s="30"/>
      <c r="H638" s="21" t="str">
        <f t="shared" si="1"/>
        <v/>
      </c>
      <c r="I638" s="19"/>
    </row>
    <row r="639" ht="15.75" customHeight="1">
      <c r="A639" s="3"/>
      <c r="B639" s="19"/>
      <c r="C639" s="19"/>
      <c r="D639" s="19"/>
      <c r="E639" s="19"/>
      <c r="F639" s="28"/>
      <c r="G639" s="30"/>
      <c r="H639" s="21" t="str">
        <f t="shared" si="1"/>
        <v/>
      </c>
      <c r="I639" s="19"/>
    </row>
    <row r="640" ht="15.75" customHeight="1">
      <c r="A640" s="3"/>
      <c r="B640" s="19"/>
      <c r="C640" s="19"/>
      <c r="D640" s="19"/>
      <c r="E640" s="19"/>
      <c r="F640" s="28"/>
      <c r="G640" s="30"/>
      <c r="H640" s="21" t="str">
        <f t="shared" si="1"/>
        <v/>
      </c>
      <c r="I640" s="19"/>
    </row>
    <row r="641" ht="15.75" customHeight="1">
      <c r="A641" s="3"/>
      <c r="B641" s="19"/>
      <c r="C641" s="19"/>
      <c r="D641" s="19"/>
      <c r="E641" s="19"/>
      <c r="F641" s="28"/>
      <c r="G641" s="30"/>
      <c r="H641" s="21" t="str">
        <f t="shared" si="1"/>
        <v/>
      </c>
      <c r="I641" s="19"/>
    </row>
    <row r="642" ht="15.75" customHeight="1">
      <c r="A642" s="3"/>
      <c r="B642" s="19"/>
      <c r="C642" s="19"/>
      <c r="D642" s="19"/>
      <c r="E642" s="19"/>
      <c r="F642" s="28"/>
      <c r="G642" s="30"/>
      <c r="H642" s="21" t="str">
        <f t="shared" si="1"/>
        <v/>
      </c>
      <c r="I642" s="19"/>
    </row>
    <row r="643" ht="15.75" customHeight="1">
      <c r="A643" s="3"/>
      <c r="B643" s="19"/>
      <c r="C643" s="19"/>
      <c r="D643" s="19"/>
      <c r="E643" s="19"/>
      <c r="F643" s="28"/>
      <c r="G643" s="30"/>
      <c r="H643" s="21" t="str">
        <f t="shared" si="1"/>
        <v/>
      </c>
      <c r="I643" s="19"/>
    </row>
    <row r="644" ht="15.75" customHeight="1">
      <c r="A644" s="3"/>
      <c r="B644" s="19"/>
      <c r="C644" s="19"/>
      <c r="D644" s="19"/>
      <c r="E644" s="19"/>
      <c r="F644" s="28"/>
      <c r="G644" s="30"/>
      <c r="H644" s="21" t="str">
        <f t="shared" si="1"/>
        <v/>
      </c>
      <c r="I644" s="19"/>
    </row>
    <row r="645" ht="15.75" customHeight="1">
      <c r="A645" s="3"/>
      <c r="B645" s="19"/>
      <c r="C645" s="19"/>
      <c r="D645" s="19"/>
      <c r="E645" s="19"/>
      <c r="F645" s="28"/>
      <c r="G645" s="30"/>
      <c r="H645" s="21" t="str">
        <f t="shared" si="1"/>
        <v/>
      </c>
      <c r="I645" s="19"/>
    </row>
    <row r="646" ht="15.75" customHeight="1">
      <c r="A646" s="3"/>
      <c r="B646" s="19"/>
      <c r="C646" s="19"/>
      <c r="D646" s="19"/>
      <c r="E646" s="19"/>
      <c r="F646" s="28"/>
      <c r="G646" s="30"/>
      <c r="H646" s="21" t="str">
        <f t="shared" si="1"/>
        <v/>
      </c>
      <c r="I646" s="19"/>
    </row>
    <row r="647" ht="15.75" customHeight="1">
      <c r="A647" s="3"/>
      <c r="B647" s="19"/>
      <c r="C647" s="19"/>
      <c r="D647" s="19"/>
      <c r="E647" s="19"/>
      <c r="F647" s="28"/>
      <c r="G647" s="30"/>
      <c r="H647" s="21" t="str">
        <f t="shared" si="1"/>
        <v/>
      </c>
      <c r="I647" s="19"/>
    </row>
    <row r="648" ht="15.75" customHeight="1">
      <c r="A648" s="3"/>
      <c r="B648" s="19"/>
      <c r="C648" s="19"/>
      <c r="D648" s="19"/>
      <c r="E648" s="19"/>
      <c r="F648" s="28"/>
      <c r="G648" s="30"/>
      <c r="H648" s="21" t="str">
        <f t="shared" si="1"/>
        <v/>
      </c>
      <c r="I648" s="19"/>
    </row>
    <row r="649" ht="15.75" customHeight="1">
      <c r="A649" s="3"/>
      <c r="B649" s="19"/>
      <c r="C649" s="19"/>
      <c r="D649" s="19"/>
      <c r="E649" s="19"/>
      <c r="F649" s="28"/>
      <c r="G649" s="30"/>
      <c r="H649" s="21" t="str">
        <f t="shared" si="1"/>
        <v/>
      </c>
      <c r="I649" s="19"/>
    </row>
    <row r="650" ht="15.75" customHeight="1">
      <c r="A650" s="3"/>
      <c r="B650" s="19"/>
      <c r="C650" s="19"/>
      <c r="D650" s="19"/>
      <c r="E650" s="19"/>
      <c r="F650" s="28"/>
      <c r="G650" s="30"/>
      <c r="H650" s="21" t="str">
        <f t="shared" si="1"/>
        <v/>
      </c>
      <c r="I650" s="19"/>
    </row>
    <row r="651" ht="15.75" customHeight="1">
      <c r="A651" s="3"/>
      <c r="B651" s="19"/>
      <c r="C651" s="19"/>
      <c r="D651" s="19"/>
      <c r="E651" s="19"/>
      <c r="F651" s="28"/>
      <c r="G651" s="30"/>
      <c r="H651" s="21" t="str">
        <f t="shared" si="1"/>
        <v/>
      </c>
      <c r="I651" s="19"/>
    </row>
    <row r="652" ht="15.75" customHeight="1">
      <c r="A652" s="3"/>
      <c r="B652" s="19"/>
      <c r="C652" s="19"/>
      <c r="D652" s="19"/>
      <c r="E652" s="19"/>
      <c r="F652" s="28"/>
      <c r="G652" s="30"/>
      <c r="H652" s="21" t="str">
        <f t="shared" si="1"/>
        <v/>
      </c>
      <c r="I652" s="19"/>
    </row>
    <row r="653" ht="15.75" customHeight="1">
      <c r="A653" s="3"/>
      <c r="B653" s="19"/>
      <c r="C653" s="19"/>
      <c r="D653" s="19"/>
      <c r="E653" s="19"/>
      <c r="F653" s="28"/>
      <c r="G653" s="30"/>
      <c r="H653" s="21" t="str">
        <f t="shared" si="1"/>
        <v/>
      </c>
      <c r="I653" s="19"/>
    </row>
    <row r="654" ht="15.75" customHeight="1">
      <c r="A654" s="3"/>
      <c r="B654" s="19"/>
      <c r="C654" s="19"/>
      <c r="D654" s="19"/>
      <c r="E654" s="19"/>
      <c r="F654" s="28"/>
      <c r="G654" s="30"/>
      <c r="H654" s="21" t="str">
        <f t="shared" si="1"/>
        <v/>
      </c>
      <c r="I654" s="19"/>
    </row>
    <row r="655" ht="15.75" customHeight="1">
      <c r="A655" s="3"/>
      <c r="B655" s="19"/>
      <c r="C655" s="19"/>
      <c r="D655" s="19"/>
      <c r="E655" s="19"/>
      <c r="F655" s="28"/>
      <c r="G655" s="30"/>
      <c r="H655" s="21" t="str">
        <f t="shared" si="1"/>
        <v/>
      </c>
      <c r="I655" s="19"/>
    </row>
    <row r="656" ht="15.75" customHeight="1">
      <c r="A656" s="3"/>
      <c r="B656" s="19"/>
      <c r="C656" s="19"/>
      <c r="D656" s="19"/>
      <c r="E656" s="19"/>
      <c r="F656" s="28"/>
      <c r="G656" s="30"/>
      <c r="H656" s="21" t="str">
        <f t="shared" si="1"/>
        <v/>
      </c>
      <c r="I656" s="19"/>
    </row>
    <row r="657" ht="15.75" customHeight="1">
      <c r="A657" s="3"/>
      <c r="B657" s="19"/>
      <c r="C657" s="19"/>
      <c r="D657" s="19"/>
      <c r="E657" s="19"/>
      <c r="F657" s="28"/>
      <c r="G657" s="30"/>
      <c r="H657" s="21" t="str">
        <f t="shared" si="1"/>
        <v/>
      </c>
      <c r="I657" s="19"/>
    </row>
    <row r="658" ht="15.75" customHeight="1">
      <c r="A658" s="3"/>
      <c r="B658" s="19"/>
      <c r="C658" s="19"/>
      <c r="D658" s="19"/>
      <c r="E658" s="19"/>
      <c r="F658" s="28"/>
      <c r="G658" s="30"/>
      <c r="H658" s="21" t="str">
        <f t="shared" si="1"/>
        <v/>
      </c>
      <c r="I658" s="19"/>
    </row>
    <row r="659" ht="15.75" customHeight="1">
      <c r="A659" s="3"/>
      <c r="B659" s="19"/>
      <c r="C659" s="19"/>
      <c r="D659" s="19"/>
      <c r="E659" s="19"/>
      <c r="F659" s="28"/>
      <c r="G659" s="30"/>
      <c r="H659" s="21" t="str">
        <f t="shared" si="1"/>
        <v/>
      </c>
      <c r="I659" s="19"/>
    </row>
    <row r="660" ht="15.75" customHeight="1">
      <c r="A660" s="3"/>
      <c r="B660" s="19"/>
      <c r="C660" s="19"/>
      <c r="D660" s="19"/>
      <c r="E660" s="19"/>
      <c r="F660" s="28"/>
      <c r="G660" s="30"/>
      <c r="H660" s="21" t="str">
        <f t="shared" si="1"/>
        <v/>
      </c>
      <c r="I660" s="19"/>
    </row>
    <row r="661" ht="15.75" customHeight="1">
      <c r="A661" s="3"/>
      <c r="B661" s="19"/>
      <c r="C661" s="19"/>
      <c r="D661" s="19"/>
      <c r="E661" s="19"/>
      <c r="F661" s="28"/>
      <c r="G661" s="30"/>
      <c r="H661" s="21" t="str">
        <f t="shared" si="1"/>
        <v/>
      </c>
      <c r="I661" s="19"/>
    </row>
    <row r="662" ht="15.75" customHeight="1">
      <c r="A662" s="3"/>
      <c r="B662" s="19"/>
      <c r="C662" s="19"/>
      <c r="D662" s="19"/>
      <c r="E662" s="19"/>
      <c r="F662" s="28"/>
      <c r="G662" s="30"/>
      <c r="H662" s="21" t="str">
        <f t="shared" si="1"/>
        <v/>
      </c>
      <c r="I662" s="19"/>
    </row>
    <row r="663" ht="15.75" customHeight="1">
      <c r="A663" s="3"/>
      <c r="B663" s="19"/>
      <c r="C663" s="19"/>
      <c r="D663" s="19"/>
      <c r="E663" s="19"/>
      <c r="F663" s="28"/>
      <c r="G663" s="30"/>
      <c r="H663" s="21" t="str">
        <f t="shared" si="1"/>
        <v/>
      </c>
      <c r="I663" s="19"/>
    </row>
    <row r="664" ht="15.75" customHeight="1">
      <c r="A664" s="3"/>
      <c r="B664" s="19"/>
      <c r="C664" s="19"/>
      <c r="D664" s="19"/>
      <c r="E664" s="19"/>
      <c r="F664" s="28"/>
      <c r="G664" s="30"/>
      <c r="H664" s="21" t="str">
        <f t="shared" si="1"/>
        <v/>
      </c>
      <c r="I664" s="19"/>
    </row>
    <row r="665" ht="15.75" customHeight="1">
      <c r="A665" s="3"/>
      <c r="B665" s="19"/>
      <c r="C665" s="19"/>
      <c r="D665" s="19"/>
      <c r="E665" s="19"/>
      <c r="F665" s="28"/>
      <c r="G665" s="30"/>
      <c r="H665" s="21" t="str">
        <f t="shared" si="1"/>
        <v/>
      </c>
      <c r="I665" s="19"/>
    </row>
    <row r="666" ht="15.75" customHeight="1">
      <c r="A666" s="3"/>
      <c r="B666" s="19"/>
      <c r="C666" s="19"/>
      <c r="D666" s="19"/>
      <c r="E666" s="19"/>
      <c r="F666" s="28"/>
      <c r="G666" s="30"/>
      <c r="H666" s="21" t="str">
        <f t="shared" si="1"/>
        <v/>
      </c>
      <c r="I666" s="19"/>
    </row>
    <row r="667" ht="15.75" customHeight="1">
      <c r="A667" s="3"/>
      <c r="B667" s="19"/>
      <c r="C667" s="19"/>
      <c r="D667" s="19"/>
      <c r="E667" s="19"/>
      <c r="F667" s="28"/>
      <c r="G667" s="30"/>
      <c r="H667" s="21" t="str">
        <f t="shared" si="1"/>
        <v/>
      </c>
      <c r="I667" s="19"/>
    </row>
    <row r="668" ht="15.75" customHeight="1">
      <c r="A668" s="3"/>
      <c r="B668" s="19"/>
      <c r="C668" s="19"/>
      <c r="D668" s="19"/>
      <c r="E668" s="19"/>
      <c r="F668" s="28"/>
      <c r="G668" s="30"/>
      <c r="H668" s="21" t="str">
        <f t="shared" si="1"/>
        <v/>
      </c>
      <c r="I668" s="19"/>
    </row>
    <row r="669" ht="15.75" customHeight="1">
      <c r="A669" s="3"/>
      <c r="B669" s="19"/>
      <c r="C669" s="19"/>
      <c r="D669" s="19"/>
      <c r="E669" s="19"/>
      <c r="F669" s="28"/>
      <c r="G669" s="30"/>
      <c r="H669" s="21" t="str">
        <f t="shared" si="1"/>
        <v/>
      </c>
      <c r="I669" s="19"/>
    </row>
    <row r="670" ht="15.75" customHeight="1">
      <c r="A670" s="3"/>
      <c r="B670" s="19"/>
      <c r="C670" s="19"/>
      <c r="D670" s="19"/>
      <c r="E670" s="19"/>
      <c r="F670" s="28"/>
      <c r="G670" s="30"/>
      <c r="H670" s="21" t="str">
        <f t="shared" si="1"/>
        <v/>
      </c>
      <c r="I670" s="19"/>
    </row>
    <row r="671" ht="15.75" customHeight="1">
      <c r="A671" s="3"/>
      <c r="B671" s="19"/>
      <c r="C671" s="19"/>
      <c r="D671" s="19"/>
      <c r="E671" s="19"/>
      <c r="F671" s="28"/>
      <c r="G671" s="30"/>
      <c r="H671" s="21" t="str">
        <f t="shared" si="1"/>
        <v/>
      </c>
      <c r="I671" s="19"/>
    </row>
    <row r="672" ht="15.75" customHeight="1">
      <c r="A672" s="3"/>
      <c r="B672" s="19"/>
      <c r="C672" s="19"/>
      <c r="D672" s="19"/>
      <c r="E672" s="19"/>
      <c r="F672" s="28"/>
      <c r="G672" s="30"/>
      <c r="H672" s="21" t="str">
        <f t="shared" si="1"/>
        <v/>
      </c>
      <c r="I672" s="19"/>
    </row>
    <row r="673" ht="15.75" customHeight="1">
      <c r="A673" s="3"/>
      <c r="B673" s="19"/>
      <c r="C673" s="19"/>
      <c r="D673" s="19"/>
      <c r="E673" s="19"/>
      <c r="F673" s="28"/>
      <c r="G673" s="30"/>
      <c r="H673" s="21" t="str">
        <f t="shared" si="1"/>
        <v/>
      </c>
      <c r="I673" s="19"/>
    </row>
    <row r="674" ht="15.75" customHeight="1">
      <c r="A674" s="3"/>
      <c r="B674" s="19"/>
      <c r="C674" s="19"/>
      <c r="D674" s="19"/>
      <c r="E674" s="19"/>
      <c r="F674" s="28"/>
      <c r="G674" s="30"/>
      <c r="H674" s="21" t="str">
        <f t="shared" si="1"/>
        <v/>
      </c>
      <c r="I674" s="19"/>
    </row>
    <row r="675" ht="15.75" customHeight="1">
      <c r="A675" s="3"/>
      <c r="B675" s="19"/>
      <c r="C675" s="19"/>
      <c r="D675" s="19"/>
      <c r="E675" s="19"/>
      <c r="F675" s="28"/>
      <c r="G675" s="30"/>
      <c r="H675" s="21" t="str">
        <f t="shared" si="1"/>
        <v/>
      </c>
      <c r="I675" s="19"/>
    </row>
    <row r="676" ht="15.75" customHeight="1">
      <c r="A676" s="3"/>
      <c r="B676" s="19"/>
      <c r="C676" s="19"/>
      <c r="D676" s="19"/>
      <c r="E676" s="19"/>
      <c r="F676" s="28"/>
      <c r="G676" s="30"/>
      <c r="H676" s="21" t="str">
        <f t="shared" si="1"/>
        <v/>
      </c>
      <c r="I676" s="19"/>
    </row>
    <row r="677" ht="15.75" customHeight="1">
      <c r="A677" s="3"/>
      <c r="B677" s="19"/>
      <c r="C677" s="19"/>
      <c r="D677" s="19"/>
      <c r="E677" s="19"/>
      <c r="F677" s="28"/>
      <c r="G677" s="30"/>
      <c r="H677" s="21" t="str">
        <f t="shared" si="1"/>
        <v/>
      </c>
      <c r="I677" s="19"/>
    </row>
    <row r="678" ht="15.75" customHeight="1">
      <c r="A678" s="3"/>
      <c r="B678" s="19"/>
      <c r="C678" s="19"/>
      <c r="D678" s="19"/>
      <c r="E678" s="19"/>
      <c r="F678" s="28"/>
      <c r="G678" s="30"/>
      <c r="H678" s="21" t="str">
        <f t="shared" si="1"/>
        <v/>
      </c>
      <c r="I678" s="19"/>
    </row>
    <row r="679" ht="15.75" customHeight="1">
      <c r="A679" s="3"/>
      <c r="B679" s="19"/>
      <c r="C679" s="19"/>
      <c r="D679" s="19"/>
      <c r="E679" s="19"/>
      <c r="F679" s="28"/>
      <c r="G679" s="30"/>
      <c r="H679" s="21" t="str">
        <f t="shared" si="1"/>
        <v/>
      </c>
      <c r="I679" s="19"/>
    </row>
    <row r="680" ht="15.75" customHeight="1">
      <c r="A680" s="3"/>
      <c r="B680" s="19"/>
      <c r="C680" s="19"/>
      <c r="D680" s="19"/>
      <c r="E680" s="19"/>
      <c r="F680" s="28"/>
      <c r="G680" s="30"/>
      <c r="H680" s="21" t="str">
        <f t="shared" si="1"/>
        <v/>
      </c>
      <c r="I680" s="19"/>
    </row>
    <row r="681" ht="15.75" customHeight="1">
      <c r="A681" s="3"/>
      <c r="B681" s="19"/>
      <c r="C681" s="19"/>
      <c r="D681" s="19"/>
      <c r="E681" s="19"/>
      <c r="F681" s="28"/>
      <c r="G681" s="30"/>
      <c r="H681" s="21" t="str">
        <f t="shared" si="1"/>
        <v/>
      </c>
      <c r="I681" s="19"/>
    </row>
    <row r="682" ht="15.75" customHeight="1">
      <c r="A682" s="3"/>
      <c r="B682" s="19"/>
      <c r="C682" s="19"/>
      <c r="D682" s="19"/>
      <c r="E682" s="19"/>
      <c r="F682" s="28"/>
      <c r="G682" s="30"/>
      <c r="H682" s="21" t="str">
        <f t="shared" si="1"/>
        <v/>
      </c>
      <c r="I682" s="19"/>
    </row>
    <row r="683" ht="15.75" customHeight="1">
      <c r="A683" s="3"/>
      <c r="B683" s="19"/>
      <c r="C683" s="19"/>
      <c r="D683" s="19"/>
      <c r="E683" s="19"/>
      <c r="F683" s="28"/>
      <c r="G683" s="30"/>
      <c r="H683" s="21" t="str">
        <f t="shared" si="1"/>
        <v/>
      </c>
      <c r="I683" s="19"/>
    </row>
    <row r="684" ht="15.75" customHeight="1">
      <c r="A684" s="3"/>
      <c r="B684" s="19"/>
      <c r="C684" s="19"/>
      <c r="D684" s="19"/>
      <c r="E684" s="19"/>
      <c r="F684" s="28"/>
      <c r="G684" s="30"/>
      <c r="H684" s="21" t="str">
        <f t="shared" si="1"/>
        <v/>
      </c>
      <c r="I684" s="19"/>
    </row>
    <row r="685" ht="15.75" customHeight="1">
      <c r="A685" s="3"/>
      <c r="B685" s="19"/>
      <c r="C685" s="19"/>
      <c r="D685" s="19"/>
      <c r="E685" s="19"/>
      <c r="F685" s="28"/>
      <c r="G685" s="30"/>
      <c r="H685" s="21" t="str">
        <f t="shared" si="1"/>
        <v/>
      </c>
      <c r="I685" s="19"/>
    </row>
    <row r="686" ht="15.75" customHeight="1">
      <c r="A686" s="3"/>
      <c r="B686" s="19"/>
      <c r="C686" s="19"/>
      <c r="D686" s="19"/>
      <c r="E686" s="19"/>
      <c r="F686" s="28"/>
      <c r="G686" s="30"/>
      <c r="H686" s="21" t="str">
        <f t="shared" si="1"/>
        <v/>
      </c>
      <c r="I686" s="19"/>
    </row>
    <row r="687" ht="15.75" customHeight="1">
      <c r="A687" s="3"/>
      <c r="B687" s="19"/>
      <c r="C687" s="19"/>
      <c r="D687" s="19"/>
      <c r="E687" s="19"/>
      <c r="F687" s="28"/>
      <c r="G687" s="30"/>
      <c r="H687" s="21" t="str">
        <f t="shared" si="1"/>
        <v/>
      </c>
      <c r="I687" s="19"/>
    </row>
    <row r="688" ht="15.75" customHeight="1">
      <c r="A688" s="3"/>
      <c r="B688" s="19"/>
      <c r="C688" s="19"/>
      <c r="D688" s="19"/>
      <c r="E688" s="19"/>
      <c r="F688" s="28"/>
      <c r="G688" s="30"/>
      <c r="H688" s="21" t="str">
        <f t="shared" si="1"/>
        <v/>
      </c>
      <c r="I688" s="19"/>
    </row>
    <row r="689" ht="15.75" customHeight="1">
      <c r="A689" s="3"/>
      <c r="B689" s="19"/>
      <c r="C689" s="19"/>
      <c r="D689" s="19"/>
      <c r="E689" s="19"/>
      <c r="F689" s="28"/>
      <c r="G689" s="30"/>
      <c r="H689" s="21" t="str">
        <f t="shared" si="1"/>
        <v/>
      </c>
      <c r="I689" s="19"/>
    </row>
    <row r="690" ht="15.75" customHeight="1">
      <c r="A690" s="3"/>
      <c r="B690" s="19"/>
      <c r="C690" s="19"/>
      <c r="D690" s="19"/>
      <c r="E690" s="19"/>
      <c r="F690" s="28"/>
      <c r="G690" s="30"/>
      <c r="H690" s="21" t="str">
        <f t="shared" si="1"/>
        <v/>
      </c>
      <c r="I690" s="19"/>
    </row>
    <row r="691" ht="15.75" customHeight="1">
      <c r="A691" s="3"/>
      <c r="B691" s="19"/>
      <c r="C691" s="19"/>
      <c r="D691" s="19"/>
      <c r="E691" s="19"/>
      <c r="F691" s="28"/>
      <c r="G691" s="30"/>
      <c r="H691" s="21" t="str">
        <f t="shared" si="1"/>
        <v/>
      </c>
      <c r="I691" s="19"/>
    </row>
    <row r="692" ht="15.75" customHeight="1">
      <c r="A692" s="3"/>
      <c r="B692" s="19"/>
      <c r="C692" s="19"/>
      <c r="D692" s="19"/>
      <c r="E692" s="19"/>
      <c r="F692" s="28"/>
      <c r="G692" s="30"/>
      <c r="H692" s="21" t="str">
        <f t="shared" si="1"/>
        <v/>
      </c>
      <c r="I692" s="19"/>
    </row>
    <row r="693" ht="15.75" customHeight="1">
      <c r="A693" s="3"/>
      <c r="B693" s="19"/>
      <c r="C693" s="19"/>
      <c r="D693" s="19"/>
      <c r="E693" s="19"/>
      <c r="F693" s="28"/>
      <c r="G693" s="30"/>
      <c r="H693" s="21" t="str">
        <f t="shared" si="1"/>
        <v/>
      </c>
      <c r="I693" s="19"/>
    </row>
    <row r="694" ht="15.75" customHeight="1">
      <c r="A694" s="3"/>
      <c r="B694" s="19"/>
      <c r="C694" s="19"/>
      <c r="D694" s="19"/>
      <c r="E694" s="19"/>
      <c r="F694" s="28"/>
      <c r="G694" s="30"/>
      <c r="H694" s="21" t="str">
        <f t="shared" si="1"/>
        <v/>
      </c>
      <c r="I694" s="19"/>
    </row>
    <row r="695" ht="15.75" customHeight="1">
      <c r="A695" s="3"/>
      <c r="B695" s="19"/>
      <c r="C695" s="19"/>
      <c r="D695" s="19"/>
      <c r="E695" s="19"/>
      <c r="F695" s="28"/>
      <c r="G695" s="30"/>
      <c r="H695" s="21" t="str">
        <f t="shared" si="1"/>
        <v/>
      </c>
      <c r="I695" s="19"/>
    </row>
    <row r="696" ht="15.75" customHeight="1">
      <c r="A696" s="3"/>
      <c r="B696" s="19"/>
      <c r="C696" s="19"/>
      <c r="D696" s="19"/>
      <c r="E696" s="19"/>
      <c r="F696" s="28"/>
      <c r="G696" s="30"/>
      <c r="H696" s="21" t="str">
        <f t="shared" si="1"/>
        <v/>
      </c>
      <c r="I696" s="19"/>
    </row>
    <row r="697" ht="15.75" customHeight="1">
      <c r="A697" s="3"/>
      <c r="B697" s="19"/>
      <c r="C697" s="19"/>
      <c r="D697" s="19"/>
      <c r="E697" s="19"/>
      <c r="F697" s="28"/>
      <c r="G697" s="30"/>
      <c r="H697" s="21" t="str">
        <f t="shared" si="1"/>
        <v/>
      </c>
      <c r="I697" s="19"/>
    </row>
    <row r="698" ht="15.75" customHeight="1">
      <c r="A698" s="3"/>
      <c r="B698" s="19"/>
      <c r="C698" s="19"/>
      <c r="D698" s="19"/>
      <c r="E698" s="19"/>
      <c r="F698" s="28"/>
      <c r="G698" s="30"/>
      <c r="H698" s="21" t="str">
        <f t="shared" si="1"/>
        <v/>
      </c>
      <c r="I698" s="19"/>
    </row>
    <row r="699" ht="15.75" customHeight="1">
      <c r="A699" s="3"/>
      <c r="B699" s="19"/>
      <c r="C699" s="19"/>
      <c r="D699" s="19"/>
      <c r="E699" s="19"/>
      <c r="F699" s="28"/>
      <c r="G699" s="30"/>
      <c r="H699" s="21" t="str">
        <f t="shared" si="1"/>
        <v/>
      </c>
      <c r="I699" s="19"/>
    </row>
    <row r="700" ht="15.75" customHeight="1">
      <c r="A700" s="3"/>
      <c r="B700" s="19"/>
      <c r="C700" s="19"/>
      <c r="D700" s="19"/>
      <c r="E700" s="19"/>
      <c r="F700" s="28"/>
      <c r="G700" s="30"/>
      <c r="H700" s="21" t="str">
        <f t="shared" si="1"/>
        <v/>
      </c>
      <c r="I700" s="19"/>
    </row>
    <row r="701" ht="15.75" customHeight="1">
      <c r="A701" s="3"/>
      <c r="B701" s="19"/>
      <c r="C701" s="19"/>
      <c r="D701" s="19"/>
      <c r="E701" s="19"/>
      <c r="F701" s="28"/>
      <c r="G701" s="30"/>
      <c r="H701" s="21" t="str">
        <f t="shared" si="1"/>
        <v/>
      </c>
      <c r="I701" s="19"/>
    </row>
    <row r="702" ht="15.75" customHeight="1">
      <c r="A702" s="3"/>
      <c r="B702" s="19"/>
      <c r="C702" s="19"/>
      <c r="D702" s="19"/>
      <c r="E702" s="19"/>
      <c r="F702" s="28"/>
      <c r="G702" s="30"/>
      <c r="H702" s="21" t="str">
        <f t="shared" si="1"/>
        <v/>
      </c>
      <c r="I702" s="19"/>
    </row>
    <row r="703" ht="15.75" customHeight="1">
      <c r="A703" s="3"/>
      <c r="B703" s="19"/>
      <c r="C703" s="19"/>
      <c r="D703" s="19"/>
      <c r="E703" s="19"/>
      <c r="F703" s="28"/>
      <c r="G703" s="30"/>
      <c r="H703" s="21" t="str">
        <f t="shared" si="1"/>
        <v/>
      </c>
      <c r="I703" s="19"/>
    </row>
    <row r="704" ht="15.75" customHeight="1">
      <c r="A704" s="3"/>
      <c r="B704" s="19"/>
      <c r="C704" s="19"/>
      <c r="D704" s="19"/>
      <c r="E704" s="19"/>
      <c r="F704" s="28"/>
      <c r="G704" s="30"/>
      <c r="H704" s="21" t="str">
        <f t="shared" si="1"/>
        <v/>
      </c>
      <c r="I704" s="19"/>
    </row>
    <row r="705" ht="15.75" customHeight="1">
      <c r="A705" s="3"/>
      <c r="B705" s="19"/>
      <c r="C705" s="19"/>
      <c r="D705" s="19"/>
      <c r="E705" s="19"/>
      <c r="F705" s="28"/>
      <c r="G705" s="30"/>
      <c r="H705" s="21" t="str">
        <f t="shared" si="1"/>
        <v/>
      </c>
      <c r="I705" s="19"/>
    </row>
    <row r="706" ht="15.75" customHeight="1">
      <c r="A706" s="3"/>
      <c r="B706" s="19"/>
      <c r="C706" s="19"/>
      <c r="D706" s="19"/>
      <c r="E706" s="19"/>
      <c r="F706" s="28"/>
      <c r="G706" s="30"/>
      <c r="H706" s="21" t="str">
        <f t="shared" si="1"/>
        <v/>
      </c>
      <c r="I706" s="19"/>
    </row>
    <row r="707" ht="15.75" customHeight="1">
      <c r="A707" s="3"/>
      <c r="B707" s="19"/>
      <c r="C707" s="19"/>
      <c r="D707" s="19"/>
      <c r="E707" s="19"/>
      <c r="F707" s="28"/>
      <c r="G707" s="30"/>
      <c r="H707" s="21" t="str">
        <f t="shared" si="1"/>
        <v/>
      </c>
      <c r="I707" s="19"/>
    </row>
    <row r="708" ht="15.75" customHeight="1">
      <c r="A708" s="3"/>
      <c r="B708" s="19"/>
      <c r="C708" s="19"/>
      <c r="D708" s="19"/>
      <c r="E708" s="19"/>
      <c r="F708" s="28"/>
      <c r="G708" s="30"/>
      <c r="H708" s="21" t="str">
        <f t="shared" si="1"/>
        <v/>
      </c>
      <c r="I708" s="19"/>
    </row>
    <row r="709" ht="15.75" customHeight="1">
      <c r="A709" s="3"/>
      <c r="B709" s="19"/>
      <c r="C709" s="19"/>
      <c r="D709" s="19"/>
      <c r="E709" s="19"/>
      <c r="F709" s="28"/>
      <c r="G709" s="30"/>
      <c r="H709" s="21" t="str">
        <f t="shared" si="1"/>
        <v/>
      </c>
      <c r="I709" s="19"/>
    </row>
    <row r="710" ht="15.75" customHeight="1">
      <c r="A710" s="3"/>
      <c r="B710" s="19"/>
      <c r="C710" s="19"/>
      <c r="D710" s="19"/>
      <c r="E710" s="19"/>
      <c r="F710" s="28"/>
      <c r="G710" s="30"/>
      <c r="H710" s="21" t="str">
        <f t="shared" si="1"/>
        <v/>
      </c>
      <c r="I710" s="19"/>
    </row>
    <row r="711" ht="15.75" customHeight="1">
      <c r="A711" s="3"/>
      <c r="B711" s="19"/>
      <c r="C711" s="19"/>
      <c r="D711" s="19"/>
      <c r="E711" s="19"/>
      <c r="F711" s="28"/>
      <c r="G711" s="30"/>
      <c r="H711" s="21" t="str">
        <f t="shared" si="1"/>
        <v/>
      </c>
      <c r="I711" s="19"/>
    </row>
    <row r="712" ht="15.75" customHeight="1">
      <c r="A712" s="3"/>
      <c r="B712" s="19"/>
      <c r="C712" s="19"/>
      <c r="D712" s="19"/>
      <c r="E712" s="19"/>
      <c r="F712" s="28"/>
      <c r="G712" s="30"/>
      <c r="H712" s="21" t="str">
        <f t="shared" si="1"/>
        <v/>
      </c>
      <c r="I712" s="19"/>
    </row>
    <row r="713" ht="15.75" customHeight="1">
      <c r="A713" s="3"/>
      <c r="B713" s="19"/>
      <c r="C713" s="19"/>
      <c r="D713" s="19"/>
      <c r="E713" s="19"/>
      <c r="F713" s="28"/>
      <c r="G713" s="30"/>
      <c r="H713" s="21" t="str">
        <f t="shared" si="1"/>
        <v/>
      </c>
      <c r="I713" s="19"/>
    </row>
    <row r="714" ht="15.75" customHeight="1">
      <c r="A714" s="3"/>
      <c r="B714" s="19"/>
      <c r="C714" s="19"/>
      <c r="D714" s="19"/>
      <c r="E714" s="19"/>
      <c r="F714" s="28"/>
      <c r="G714" s="30"/>
      <c r="H714" s="21" t="str">
        <f t="shared" si="1"/>
        <v/>
      </c>
      <c r="I714" s="19"/>
    </row>
    <row r="715" ht="15.75" customHeight="1">
      <c r="A715" s="3"/>
      <c r="B715" s="19"/>
      <c r="C715" s="19"/>
      <c r="D715" s="19"/>
      <c r="E715" s="19"/>
      <c r="F715" s="28"/>
      <c r="G715" s="30"/>
      <c r="H715" s="21" t="str">
        <f t="shared" si="1"/>
        <v/>
      </c>
      <c r="I715" s="19"/>
    </row>
    <row r="716" ht="15.75" customHeight="1">
      <c r="A716" s="3"/>
      <c r="B716" s="19"/>
      <c r="C716" s="19"/>
      <c r="D716" s="19"/>
      <c r="E716" s="19"/>
      <c r="F716" s="28"/>
      <c r="G716" s="30"/>
      <c r="H716" s="21" t="str">
        <f t="shared" si="1"/>
        <v/>
      </c>
      <c r="I716" s="19"/>
    </row>
    <row r="717" ht="15.75" customHeight="1">
      <c r="A717" s="3"/>
      <c r="B717" s="19"/>
      <c r="C717" s="19"/>
      <c r="D717" s="19"/>
      <c r="E717" s="19"/>
      <c r="F717" s="28"/>
      <c r="G717" s="30"/>
      <c r="H717" s="21" t="str">
        <f t="shared" si="1"/>
        <v/>
      </c>
      <c r="I717" s="19"/>
    </row>
    <row r="718" ht="15.75" customHeight="1">
      <c r="A718" s="3"/>
      <c r="B718" s="19"/>
      <c r="C718" s="19"/>
      <c r="D718" s="19"/>
      <c r="E718" s="19"/>
      <c r="F718" s="28"/>
      <c r="G718" s="30"/>
      <c r="H718" s="21" t="str">
        <f t="shared" si="1"/>
        <v/>
      </c>
      <c r="I718" s="19"/>
    </row>
    <row r="719" ht="15.75" customHeight="1">
      <c r="A719" s="3"/>
      <c r="B719" s="19"/>
      <c r="C719" s="19"/>
      <c r="D719" s="19"/>
      <c r="E719" s="19"/>
      <c r="F719" s="28"/>
      <c r="G719" s="30"/>
      <c r="H719" s="21" t="str">
        <f t="shared" si="1"/>
        <v/>
      </c>
      <c r="I719" s="19"/>
    </row>
    <row r="720" ht="15.75" customHeight="1">
      <c r="A720" s="3"/>
      <c r="B720" s="19"/>
      <c r="C720" s="19"/>
      <c r="D720" s="19"/>
      <c r="E720" s="19"/>
      <c r="F720" s="28"/>
      <c r="G720" s="30"/>
      <c r="H720" s="21" t="str">
        <f t="shared" si="1"/>
        <v/>
      </c>
      <c r="I720" s="19"/>
    </row>
    <row r="721" ht="15.75" customHeight="1">
      <c r="A721" s="3"/>
      <c r="B721" s="19"/>
      <c r="C721" s="19"/>
      <c r="D721" s="19"/>
      <c r="E721" s="19"/>
      <c r="F721" s="28"/>
      <c r="G721" s="30"/>
      <c r="H721" s="21" t="str">
        <f t="shared" si="1"/>
        <v/>
      </c>
      <c r="I721" s="19"/>
    </row>
    <row r="722" ht="15.75" customHeight="1">
      <c r="A722" s="3"/>
      <c r="B722" s="19"/>
      <c r="C722" s="19"/>
      <c r="D722" s="19"/>
      <c r="E722" s="19"/>
      <c r="F722" s="28"/>
      <c r="G722" s="30"/>
      <c r="H722" s="21" t="str">
        <f t="shared" si="1"/>
        <v/>
      </c>
      <c r="I722" s="19"/>
    </row>
    <row r="723" ht="15.75" customHeight="1">
      <c r="A723" s="3"/>
      <c r="B723" s="19"/>
      <c r="C723" s="19"/>
      <c r="D723" s="19"/>
      <c r="E723" s="19"/>
      <c r="F723" s="28"/>
      <c r="G723" s="30"/>
      <c r="H723" s="21" t="str">
        <f t="shared" si="1"/>
        <v/>
      </c>
      <c r="I723" s="19"/>
    </row>
    <row r="724" ht="15.75" customHeight="1">
      <c r="A724" s="3"/>
      <c r="B724" s="19"/>
      <c r="C724" s="19"/>
      <c r="D724" s="19"/>
      <c r="E724" s="19"/>
      <c r="F724" s="28"/>
      <c r="G724" s="30"/>
      <c r="H724" s="21" t="str">
        <f t="shared" si="1"/>
        <v/>
      </c>
      <c r="I724" s="19"/>
    </row>
    <row r="725" ht="15.75" customHeight="1">
      <c r="A725" s="3"/>
      <c r="B725" s="19"/>
      <c r="C725" s="19"/>
      <c r="D725" s="19"/>
      <c r="E725" s="19"/>
      <c r="F725" s="28"/>
      <c r="G725" s="30"/>
      <c r="H725" s="21" t="str">
        <f t="shared" si="1"/>
        <v/>
      </c>
      <c r="I725" s="19"/>
    </row>
    <row r="726" ht="15.75" customHeight="1">
      <c r="A726" s="3"/>
      <c r="B726" s="19"/>
      <c r="C726" s="19"/>
      <c r="D726" s="19"/>
      <c r="E726" s="19"/>
      <c r="F726" s="28"/>
      <c r="G726" s="30"/>
      <c r="H726" s="21" t="str">
        <f t="shared" si="1"/>
        <v/>
      </c>
      <c r="I726" s="19"/>
    </row>
    <row r="727" ht="15.75" customHeight="1">
      <c r="A727" s="3"/>
      <c r="B727" s="19"/>
      <c r="C727" s="19"/>
      <c r="D727" s="19"/>
      <c r="E727" s="19"/>
      <c r="F727" s="28"/>
      <c r="G727" s="30"/>
      <c r="H727" s="21" t="str">
        <f t="shared" si="1"/>
        <v/>
      </c>
      <c r="I727" s="19"/>
    </row>
    <row r="728" ht="15.75" customHeight="1">
      <c r="A728" s="3"/>
      <c r="B728" s="19"/>
      <c r="C728" s="19"/>
      <c r="D728" s="19"/>
      <c r="E728" s="19"/>
      <c r="F728" s="28"/>
      <c r="G728" s="30"/>
      <c r="H728" s="21" t="str">
        <f t="shared" si="1"/>
        <v/>
      </c>
      <c r="I728" s="19"/>
    </row>
    <row r="729" ht="15.75" customHeight="1">
      <c r="A729" s="3"/>
      <c r="B729" s="19"/>
      <c r="C729" s="19"/>
      <c r="D729" s="19"/>
      <c r="E729" s="19"/>
      <c r="F729" s="28"/>
      <c r="G729" s="30"/>
      <c r="H729" s="21" t="str">
        <f t="shared" si="1"/>
        <v/>
      </c>
      <c r="I729" s="19"/>
    </row>
    <row r="730" ht="15.75" customHeight="1">
      <c r="A730" s="3"/>
      <c r="B730" s="19"/>
      <c r="C730" s="19"/>
      <c r="D730" s="19"/>
      <c r="E730" s="19"/>
      <c r="F730" s="28"/>
      <c r="G730" s="30"/>
      <c r="H730" s="21" t="str">
        <f t="shared" si="1"/>
        <v/>
      </c>
      <c r="I730" s="19"/>
    </row>
    <row r="731" ht="15.75" customHeight="1">
      <c r="A731" s="3"/>
      <c r="B731" s="19"/>
      <c r="C731" s="19"/>
      <c r="D731" s="19"/>
      <c r="E731" s="19"/>
      <c r="F731" s="28"/>
      <c r="G731" s="30"/>
      <c r="H731" s="21" t="str">
        <f t="shared" si="1"/>
        <v/>
      </c>
      <c r="I731" s="19"/>
    </row>
    <row r="732" ht="15.75" customHeight="1">
      <c r="A732" s="3"/>
      <c r="B732" s="19"/>
      <c r="C732" s="19"/>
      <c r="D732" s="19"/>
      <c r="E732" s="19"/>
      <c r="F732" s="28"/>
      <c r="G732" s="30"/>
      <c r="H732" s="21" t="str">
        <f t="shared" si="1"/>
        <v/>
      </c>
      <c r="I732" s="19"/>
    </row>
    <row r="733" ht="15.75" customHeight="1">
      <c r="A733" s="3"/>
      <c r="B733" s="19"/>
      <c r="C733" s="19"/>
      <c r="D733" s="19"/>
      <c r="E733" s="19"/>
      <c r="F733" s="28"/>
      <c r="G733" s="30"/>
      <c r="H733" s="21" t="str">
        <f t="shared" si="1"/>
        <v/>
      </c>
      <c r="I733" s="19"/>
    </row>
    <row r="734" ht="15.75" customHeight="1">
      <c r="A734" s="3"/>
      <c r="B734" s="19"/>
      <c r="C734" s="19"/>
      <c r="D734" s="19"/>
      <c r="E734" s="19"/>
      <c r="F734" s="28"/>
      <c r="G734" s="30"/>
      <c r="H734" s="21" t="str">
        <f t="shared" si="1"/>
        <v/>
      </c>
      <c r="I734" s="19"/>
    </row>
    <row r="735" ht="15.75" customHeight="1">
      <c r="A735" s="3"/>
      <c r="B735" s="19"/>
      <c r="C735" s="19"/>
      <c r="D735" s="19"/>
      <c r="E735" s="19"/>
      <c r="F735" s="28"/>
      <c r="G735" s="30"/>
      <c r="H735" s="21" t="str">
        <f t="shared" si="1"/>
        <v/>
      </c>
      <c r="I735" s="19"/>
    </row>
    <row r="736" ht="15.75" customHeight="1">
      <c r="A736" s="3"/>
      <c r="B736" s="19"/>
      <c r="C736" s="19"/>
      <c r="D736" s="19"/>
      <c r="E736" s="19"/>
      <c r="F736" s="28"/>
      <c r="G736" s="30"/>
      <c r="H736" s="21" t="str">
        <f t="shared" si="1"/>
        <v/>
      </c>
      <c r="I736" s="19"/>
    </row>
    <row r="737" ht="15.75" customHeight="1">
      <c r="A737" s="3"/>
      <c r="B737" s="19"/>
      <c r="C737" s="19"/>
      <c r="D737" s="19"/>
      <c r="E737" s="19"/>
      <c r="F737" s="28"/>
      <c r="G737" s="30"/>
      <c r="H737" s="21" t="str">
        <f t="shared" si="1"/>
        <v/>
      </c>
      <c r="I737" s="19"/>
    </row>
    <row r="738" ht="15.75" customHeight="1">
      <c r="A738" s="3"/>
      <c r="B738" s="19"/>
      <c r="C738" s="19"/>
      <c r="D738" s="19"/>
      <c r="E738" s="19"/>
      <c r="F738" s="28"/>
      <c r="G738" s="30"/>
      <c r="H738" s="21" t="str">
        <f t="shared" si="1"/>
        <v/>
      </c>
      <c r="I738" s="19"/>
    </row>
    <row r="739" ht="15.75" customHeight="1">
      <c r="A739" s="3"/>
      <c r="B739" s="19"/>
      <c r="C739" s="19"/>
      <c r="D739" s="19"/>
      <c r="E739" s="19"/>
      <c r="F739" s="28"/>
      <c r="G739" s="30"/>
      <c r="H739" s="21" t="str">
        <f t="shared" si="1"/>
        <v/>
      </c>
      <c r="I739" s="19"/>
    </row>
    <row r="740" ht="15.75" customHeight="1">
      <c r="A740" s="3"/>
      <c r="B740" s="19"/>
      <c r="C740" s="19"/>
      <c r="D740" s="19"/>
      <c r="E740" s="19"/>
      <c r="F740" s="28"/>
      <c r="G740" s="30"/>
      <c r="H740" s="21" t="str">
        <f t="shared" si="1"/>
        <v/>
      </c>
      <c r="I740" s="19"/>
    </row>
    <row r="741" ht="15.75" customHeight="1">
      <c r="A741" s="3"/>
      <c r="B741" s="19"/>
      <c r="C741" s="19"/>
      <c r="D741" s="19"/>
      <c r="E741" s="19"/>
      <c r="F741" s="28"/>
      <c r="G741" s="30"/>
      <c r="H741" s="21" t="str">
        <f t="shared" si="1"/>
        <v/>
      </c>
      <c r="I741" s="19"/>
    </row>
    <row r="742" ht="15.75" customHeight="1">
      <c r="A742" s="3"/>
      <c r="B742" s="19"/>
      <c r="C742" s="19"/>
      <c r="D742" s="19"/>
      <c r="E742" s="19"/>
      <c r="F742" s="28"/>
      <c r="G742" s="30"/>
      <c r="H742" s="21" t="str">
        <f t="shared" si="1"/>
        <v/>
      </c>
      <c r="I742" s="19"/>
    </row>
    <row r="743" ht="15.75" customHeight="1">
      <c r="A743" s="3"/>
      <c r="B743" s="19"/>
      <c r="C743" s="19"/>
      <c r="D743" s="19"/>
      <c r="E743" s="19"/>
      <c r="F743" s="28"/>
      <c r="G743" s="30"/>
      <c r="H743" s="21" t="str">
        <f t="shared" si="1"/>
        <v/>
      </c>
      <c r="I743" s="19"/>
    </row>
    <row r="744" ht="15.75" customHeight="1">
      <c r="A744" s="3"/>
      <c r="B744" s="19"/>
      <c r="C744" s="19"/>
      <c r="D744" s="19"/>
      <c r="E744" s="19"/>
      <c r="F744" s="28"/>
      <c r="G744" s="30"/>
      <c r="H744" s="21" t="str">
        <f t="shared" si="1"/>
        <v/>
      </c>
      <c r="I744" s="19"/>
    </row>
    <row r="745" ht="15.75" customHeight="1">
      <c r="A745" s="3"/>
      <c r="B745" s="19"/>
      <c r="C745" s="19"/>
      <c r="D745" s="19"/>
      <c r="E745" s="19"/>
      <c r="F745" s="28"/>
      <c r="G745" s="30"/>
      <c r="H745" s="21" t="str">
        <f t="shared" si="1"/>
        <v/>
      </c>
      <c r="I745" s="19"/>
    </row>
    <row r="746" ht="15.75" customHeight="1">
      <c r="A746" s="3"/>
      <c r="B746" s="19"/>
      <c r="C746" s="19"/>
      <c r="D746" s="19"/>
      <c r="E746" s="19"/>
      <c r="F746" s="28"/>
      <c r="G746" s="30"/>
      <c r="H746" s="21" t="str">
        <f t="shared" si="1"/>
        <v/>
      </c>
      <c r="I746" s="19"/>
    </row>
    <row r="747" ht="15.75" customHeight="1">
      <c r="A747" s="3"/>
      <c r="B747" s="19"/>
      <c r="C747" s="19"/>
      <c r="D747" s="19"/>
      <c r="E747" s="19"/>
      <c r="F747" s="28"/>
      <c r="G747" s="30"/>
      <c r="H747" s="21" t="str">
        <f t="shared" si="1"/>
        <v/>
      </c>
      <c r="I747" s="19"/>
    </row>
    <row r="748" ht="15.75" customHeight="1">
      <c r="A748" s="3"/>
      <c r="B748" s="19"/>
      <c r="C748" s="19"/>
      <c r="D748" s="19"/>
      <c r="E748" s="19"/>
      <c r="F748" s="28"/>
      <c r="G748" s="30"/>
      <c r="H748" s="21" t="str">
        <f t="shared" si="1"/>
        <v/>
      </c>
      <c r="I748" s="19"/>
    </row>
    <row r="749" ht="15.75" customHeight="1">
      <c r="A749" s="3"/>
      <c r="B749" s="19"/>
      <c r="C749" s="19"/>
      <c r="D749" s="19"/>
      <c r="E749" s="19"/>
      <c r="F749" s="28"/>
      <c r="G749" s="30"/>
      <c r="H749" s="21" t="str">
        <f t="shared" si="1"/>
        <v/>
      </c>
      <c r="I749" s="19"/>
    </row>
    <row r="750" ht="15.75" customHeight="1">
      <c r="A750" s="3"/>
      <c r="B750" s="19"/>
      <c r="C750" s="19"/>
      <c r="D750" s="19"/>
      <c r="E750" s="19"/>
      <c r="F750" s="28"/>
      <c r="G750" s="30"/>
      <c r="H750" s="21" t="str">
        <f t="shared" si="1"/>
        <v/>
      </c>
      <c r="I750" s="19"/>
    </row>
    <row r="751" ht="15.75" customHeight="1">
      <c r="A751" s="3"/>
      <c r="B751" s="19"/>
      <c r="C751" s="19"/>
      <c r="D751" s="19"/>
      <c r="E751" s="19"/>
      <c r="F751" s="28"/>
      <c r="G751" s="30"/>
      <c r="H751" s="21" t="str">
        <f t="shared" si="1"/>
        <v/>
      </c>
      <c r="I751" s="19"/>
    </row>
    <row r="752" ht="15.75" customHeight="1">
      <c r="A752" s="3"/>
      <c r="B752" s="19"/>
      <c r="C752" s="19"/>
      <c r="D752" s="19"/>
      <c r="E752" s="19"/>
      <c r="F752" s="28"/>
      <c r="G752" s="30"/>
      <c r="H752" s="21" t="str">
        <f t="shared" si="1"/>
        <v/>
      </c>
      <c r="I752" s="19"/>
    </row>
    <row r="753" ht="15.75" customHeight="1">
      <c r="A753" s="3"/>
      <c r="B753" s="19"/>
      <c r="C753" s="19"/>
      <c r="D753" s="19"/>
      <c r="E753" s="19"/>
      <c r="F753" s="28"/>
      <c r="G753" s="30"/>
      <c r="H753" s="21" t="str">
        <f t="shared" si="1"/>
        <v/>
      </c>
      <c r="I753" s="19"/>
    </row>
    <row r="754" ht="15.75" customHeight="1">
      <c r="A754" s="3"/>
      <c r="B754" s="19"/>
      <c r="C754" s="19"/>
      <c r="D754" s="19"/>
      <c r="E754" s="19"/>
      <c r="F754" s="28"/>
      <c r="G754" s="30"/>
      <c r="H754" s="21" t="str">
        <f t="shared" si="1"/>
        <v/>
      </c>
      <c r="I754" s="19"/>
    </row>
    <row r="755" ht="15.75" customHeight="1">
      <c r="A755" s="3"/>
      <c r="B755" s="19"/>
      <c r="C755" s="19"/>
      <c r="D755" s="19"/>
      <c r="E755" s="19"/>
      <c r="F755" s="28"/>
      <c r="G755" s="30"/>
      <c r="H755" s="21" t="str">
        <f t="shared" si="1"/>
        <v/>
      </c>
      <c r="I755" s="19"/>
    </row>
    <row r="756" ht="15.75" customHeight="1">
      <c r="A756" s="3"/>
      <c r="B756" s="19"/>
      <c r="C756" s="19"/>
      <c r="D756" s="19"/>
      <c r="E756" s="19"/>
      <c r="F756" s="28"/>
      <c r="G756" s="30"/>
      <c r="H756" s="21" t="str">
        <f t="shared" si="1"/>
        <v/>
      </c>
      <c r="I756" s="19"/>
    </row>
    <row r="757" ht="15.75" customHeight="1">
      <c r="A757" s="3"/>
      <c r="B757" s="19"/>
      <c r="C757" s="19"/>
      <c r="D757" s="19"/>
      <c r="E757" s="19"/>
      <c r="F757" s="28"/>
      <c r="G757" s="30"/>
      <c r="H757" s="21" t="str">
        <f t="shared" si="1"/>
        <v/>
      </c>
      <c r="I757" s="19"/>
    </row>
    <row r="758" ht="15.75" customHeight="1">
      <c r="A758" s="3"/>
      <c r="B758" s="19"/>
      <c r="C758" s="19"/>
      <c r="D758" s="19"/>
      <c r="E758" s="19"/>
      <c r="F758" s="28"/>
      <c r="G758" s="30"/>
      <c r="H758" s="21" t="str">
        <f t="shared" si="1"/>
        <v/>
      </c>
      <c r="I758" s="19"/>
    </row>
    <row r="759" ht="15.75" customHeight="1">
      <c r="A759" s="3"/>
      <c r="B759" s="19"/>
      <c r="C759" s="19"/>
      <c r="D759" s="19"/>
      <c r="E759" s="19"/>
      <c r="F759" s="28"/>
      <c r="G759" s="30"/>
      <c r="H759" s="21" t="str">
        <f t="shared" si="1"/>
        <v/>
      </c>
      <c r="I759" s="19"/>
    </row>
    <row r="760" ht="15.75" customHeight="1">
      <c r="A760" s="3"/>
      <c r="B760" s="19"/>
      <c r="C760" s="19"/>
      <c r="D760" s="19"/>
      <c r="E760" s="19"/>
      <c r="F760" s="28"/>
      <c r="G760" s="30"/>
      <c r="H760" s="21" t="str">
        <f t="shared" si="1"/>
        <v/>
      </c>
      <c r="I760" s="19"/>
    </row>
    <row r="761" ht="15.75" customHeight="1">
      <c r="A761" s="3"/>
      <c r="B761" s="19"/>
      <c r="C761" s="19"/>
      <c r="D761" s="19"/>
      <c r="E761" s="19"/>
      <c r="F761" s="28"/>
      <c r="G761" s="30"/>
      <c r="H761" s="21" t="str">
        <f t="shared" si="1"/>
        <v/>
      </c>
      <c r="I761" s="19"/>
    </row>
    <row r="762" ht="15.75" customHeight="1">
      <c r="A762" s="3"/>
      <c r="B762" s="19"/>
      <c r="C762" s="19"/>
      <c r="D762" s="19"/>
      <c r="E762" s="19"/>
      <c r="F762" s="28"/>
      <c r="G762" s="30"/>
      <c r="H762" s="21" t="str">
        <f t="shared" si="1"/>
        <v/>
      </c>
      <c r="I762" s="19"/>
    </row>
    <row r="763" ht="15.75" customHeight="1">
      <c r="A763" s="3"/>
      <c r="B763" s="19"/>
      <c r="C763" s="19"/>
      <c r="D763" s="19"/>
      <c r="E763" s="19"/>
      <c r="F763" s="28"/>
      <c r="G763" s="30"/>
      <c r="H763" s="21" t="str">
        <f t="shared" si="1"/>
        <v/>
      </c>
      <c r="I763" s="19"/>
    </row>
    <row r="764" ht="15.75" customHeight="1">
      <c r="A764" s="3"/>
      <c r="B764" s="19"/>
      <c r="C764" s="19"/>
      <c r="D764" s="19"/>
      <c r="E764" s="19"/>
      <c r="F764" s="28"/>
      <c r="G764" s="30"/>
      <c r="H764" s="21" t="str">
        <f t="shared" si="1"/>
        <v/>
      </c>
      <c r="I764" s="19"/>
    </row>
    <row r="765" ht="15.75" customHeight="1">
      <c r="A765" s="3"/>
      <c r="B765" s="19"/>
      <c r="C765" s="19"/>
      <c r="D765" s="19"/>
      <c r="E765" s="19"/>
      <c r="F765" s="28"/>
      <c r="G765" s="30"/>
      <c r="H765" s="21" t="str">
        <f t="shared" si="1"/>
        <v/>
      </c>
      <c r="I765" s="19"/>
    </row>
    <row r="766" ht="15.75" customHeight="1">
      <c r="A766" s="3"/>
      <c r="B766" s="19"/>
      <c r="C766" s="19"/>
      <c r="D766" s="19"/>
      <c r="E766" s="19"/>
      <c r="F766" s="28"/>
      <c r="G766" s="30"/>
      <c r="H766" s="21" t="str">
        <f t="shared" si="1"/>
        <v/>
      </c>
      <c r="I766" s="19"/>
    </row>
    <row r="767" ht="15.75" customHeight="1">
      <c r="A767" s="3"/>
      <c r="B767" s="19"/>
      <c r="C767" s="19"/>
      <c r="D767" s="19"/>
      <c r="E767" s="19"/>
      <c r="F767" s="28"/>
      <c r="G767" s="30"/>
      <c r="H767" s="21" t="str">
        <f t="shared" si="1"/>
        <v/>
      </c>
      <c r="I767" s="19"/>
    </row>
    <row r="768" ht="15.75" customHeight="1">
      <c r="A768" s="3"/>
      <c r="B768" s="19"/>
      <c r="C768" s="19"/>
      <c r="D768" s="19"/>
      <c r="E768" s="19"/>
      <c r="F768" s="28"/>
      <c r="G768" s="30"/>
      <c r="H768" s="21" t="str">
        <f t="shared" si="1"/>
        <v/>
      </c>
      <c r="I768" s="19"/>
    </row>
    <row r="769" ht="15.75" customHeight="1">
      <c r="A769" s="3"/>
      <c r="B769" s="19"/>
      <c r="C769" s="19"/>
      <c r="D769" s="19"/>
      <c r="E769" s="19"/>
      <c r="F769" s="28"/>
      <c r="G769" s="30"/>
      <c r="H769" s="21" t="str">
        <f t="shared" si="1"/>
        <v/>
      </c>
      <c r="I769" s="19"/>
    </row>
    <row r="770" ht="15.75" customHeight="1">
      <c r="A770" s="3"/>
      <c r="B770" s="19"/>
      <c r="C770" s="19"/>
      <c r="D770" s="19"/>
      <c r="E770" s="19"/>
      <c r="F770" s="28"/>
      <c r="G770" s="30"/>
      <c r="H770" s="21" t="str">
        <f t="shared" si="1"/>
        <v/>
      </c>
      <c r="I770" s="19"/>
    </row>
    <row r="771" ht="15.75" customHeight="1">
      <c r="A771" s="3"/>
      <c r="B771" s="19"/>
      <c r="C771" s="19"/>
      <c r="D771" s="19"/>
      <c r="E771" s="19"/>
      <c r="F771" s="28"/>
      <c r="G771" s="30"/>
      <c r="H771" s="21" t="str">
        <f t="shared" si="1"/>
        <v/>
      </c>
      <c r="I771" s="19"/>
    </row>
    <row r="772" ht="15.75" customHeight="1">
      <c r="A772" s="3"/>
      <c r="B772" s="19"/>
      <c r="C772" s="19"/>
      <c r="D772" s="19"/>
      <c r="E772" s="19"/>
      <c r="F772" s="28"/>
      <c r="G772" s="30"/>
      <c r="H772" s="21" t="str">
        <f t="shared" si="1"/>
        <v/>
      </c>
      <c r="I772" s="19"/>
    </row>
    <row r="773" ht="15.75" customHeight="1">
      <c r="A773" s="3"/>
      <c r="B773" s="19"/>
      <c r="C773" s="19"/>
      <c r="D773" s="19"/>
      <c r="E773" s="19"/>
      <c r="F773" s="28"/>
      <c r="G773" s="30"/>
      <c r="H773" s="21" t="str">
        <f t="shared" si="1"/>
        <v/>
      </c>
      <c r="I773" s="19"/>
    </row>
    <row r="774" ht="15.75" customHeight="1">
      <c r="A774" s="3"/>
      <c r="B774" s="19"/>
      <c r="C774" s="19"/>
      <c r="D774" s="19"/>
      <c r="E774" s="19"/>
      <c r="F774" s="28"/>
      <c r="G774" s="30"/>
      <c r="H774" s="21" t="str">
        <f t="shared" si="1"/>
        <v/>
      </c>
      <c r="I774" s="19"/>
    </row>
    <row r="775" ht="15.75" customHeight="1">
      <c r="A775" s="3"/>
      <c r="B775" s="19"/>
      <c r="C775" s="19"/>
      <c r="D775" s="19"/>
      <c r="E775" s="19"/>
      <c r="F775" s="28"/>
      <c r="G775" s="30"/>
      <c r="H775" s="21" t="str">
        <f t="shared" si="1"/>
        <v/>
      </c>
      <c r="I775" s="19"/>
    </row>
    <row r="776" ht="15.75" customHeight="1">
      <c r="A776" s="3"/>
      <c r="B776" s="19"/>
      <c r="C776" s="19"/>
      <c r="D776" s="19"/>
      <c r="E776" s="19"/>
      <c r="F776" s="28"/>
      <c r="G776" s="30"/>
      <c r="H776" s="21" t="str">
        <f t="shared" si="1"/>
        <v/>
      </c>
      <c r="I776" s="19"/>
    </row>
    <row r="777" ht="15.75" customHeight="1">
      <c r="A777" s="3"/>
      <c r="B777" s="19"/>
      <c r="C777" s="19"/>
      <c r="D777" s="19"/>
      <c r="E777" s="19"/>
      <c r="F777" s="28"/>
      <c r="G777" s="30"/>
      <c r="H777" s="21" t="str">
        <f t="shared" si="1"/>
        <v/>
      </c>
      <c r="I777" s="19"/>
    </row>
    <row r="778" ht="15.75" customHeight="1">
      <c r="A778" s="3"/>
      <c r="B778" s="19"/>
      <c r="C778" s="19"/>
      <c r="D778" s="19"/>
      <c r="E778" s="19"/>
      <c r="F778" s="28"/>
      <c r="G778" s="30"/>
      <c r="H778" s="21" t="str">
        <f t="shared" si="1"/>
        <v/>
      </c>
      <c r="I778" s="19"/>
    </row>
    <row r="779" ht="15.75" customHeight="1">
      <c r="A779" s="3"/>
      <c r="B779" s="19"/>
      <c r="C779" s="19"/>
      <c r="D779" s="19"/>
      <c r="E779" s="19"/>
      <c r="F779" s="28"/>
      <c r="G779" s="30"/>
      <c r="H779" s="21" t="str">
        <f t="shared" si="1"/>
        <v/>
      </c>
      <c r="I779" s="19"/>
    </row>
    <row r="780" ht="15.75" customHeight="1">
      <c r="A780" s="3"/>
      <c r="B780" s="19"/>
      <c r="C780" s="19"/>
      <c r="D780" s="19"/>
      <c r="E780" s="19"/>
      <c r="F780" s="28"/>
      <c r="G780" s="30"/>
      <c r="H780" s="21" t="str">
        <f t="shared" si="1"/>
        <v/>
      </c>
      <c r="I780" s="19"/>
    </row>
    <row r="781" ht="15.75" customHeight="1">
      <c r="A781" s="3"/>
      <c r="B781" s="19"/>
      <c r="C781" s="19"/>
      <c r="D781" s="19"/>
      <c r="E781" s="19"/>
      <c r="F781" s="28"/>
      <c r="G781" s="30"/>
      <c r="H781" s="21" t="str">
        <f t="shared" si="1"/>
        <v/>
      </c>
      <c r="I781" s="19"/>
    </row>
    <row r="782" ht="15.75" customHeight="1">
      <c r="A782" s="3"/>
      <c r="B782" s="19"/>
      <c r="C782" s="19"/>
      <c r="D782" s="19"/>
      <c r="E782" s="19"/>
      <c r="F782" s="28"/>
      <c r="G782" s="30"/>
      <c r="H782" s="21" t="str">
        <f t="shared" si="1"/>
        <v/>
      </c>
      <c r="I782" s="19"/>
    </row>
    <row r="783" ht="15.75" customHeight="1">
      <c r="A783" s="3"/>
      <c r="B783" s="19"/>
      <c r="C783" s="19"/>
      <c r="D783" s="19"/>
      <c r="E783" s="19"/>
      <c r="F783" s="28"/>
      <c r="G783" s="30"/>
      <c r="H783" s="21" t="str">
        <f t="shared" si="1"/>
        <v/>
      </c>
      <c r="I783" s="19"/>
    </row>
    <row r="784" ht="15.75" customHeight="1">
      <c r="A784" s="3"/>
      <c r="B784" s="19"/>
      <c r="C784" s="19"/>
      <c r="D784" s="19"/>
      <c r="E784" s="19"/>
      <c r="F784" s="28"/>
      <c r="G784" s="30"/>
      <c r="H784" s="21" t="str">
        <f t="shared" si="1"/>
        <v/>
      </c>
      <c r="I784" s="19"/>
    </row>
    <row r="785" ht="15.75" customHeight="1">
      <c r="A785" s="3"/>
      <c r="B785" s="19"/>
      <c r="C785" s="19"/>
      <c r="D785" s="19"/>
      <c r="E785" s="19"/>
      <c r="F785" s="28"/>
      <c r="G785" s="30"/>
      <c r="H785" s="21" t="str">
        <f t="shared" si="1"/>
        <v/>
      </c>
      <c r="I785" s="19"/>
    </row>
    <row r="786" ht="15.75" customHeight="1">
      <c r="A786" s="3"/>
      <c r="B786" s="19"/>
      <c r="C786" s="19"/>
      <c r="D786" s="19"/>
      <c r="E786" s="19"/>
      <c r="F786" s="28"/>
      <c r="G786" s="30"/>
      <c r="H786" s="21" t="str">
        <f t="shared" si="1"/>
        <v/>
      </c>
      <c r="I786" s="19"/>
    </row>
    <row r="787" ht="15.75" customHeight="1">
      <c r="A787" s="3"/>
      <c r="B787" s="19"/>
      <c r="C787" s="19"/>
      <c r="D787" s="19"/>
      <c r="E787" s="19"/>
      <c r="F787" s="28"/>
      <c r="G787" s="30"/>
      <c r="H787" s="21" t="str">
        <f t="shared" si="1"/>
        <v/>
      </c>
      <c r="I787" s="19"/>
    </row>
    <row r="788" ht="15.75" customHeight="1">
      <c r="A788" s="3"/>
      <c r="B788" s="19"/>
      <c r="C788" s="19"/>
      <c r="D788" s="19"/>
      <c r="E788" s="19"/>
      <c r="F788" s="28"/>
      <c r="G788" s="30"/>
      <c r="H788" s="21" t="str">
        <f t="shared" si="1"/>
        <v/>
      </c>
      <c r="I788" s="19"/>
    </row>
    <row r="789" ht="15.75" customHeight="1">
      <c r="A789" s="3"/>
      <c r="B789" s="19"/>
      <c r="C789" s="19"/>
      <c r="D789" s="19"/>
      <c r="E789" s="19"/>
      <c r="F789" s="28"/>
      <c r="G789" s="30"/>
      <c r="H789" s="21" t="str">
        <f t="shared" si="1"/>
        <v/>
      </c>
      <c r="I789" s="19"/>
    </row>
    <row r="790" ht="15.75" customHeight="1">
      <c r="A790" s="3"/>
      <c r="B790" s="19"/>
      <c r="C790" s="19"/>
      <c r="D790" s="19"/>
      <c r="E790" s="19"/>
      <c r="F790" s="28"/>
      <c r="G790" s="30"/>
      <c r="H790" s="21" t="str">
        <f t="shared" si="1"/>
        <v/>
      </c>
      <c r="I790" s="19"/>
    </row>
    <row r="791" ht="15.75" customHeight="1">
      <c r="A791" s="3"/>
      <c r="B791" s="19"/>
      <c r="C791" s="19"/>
      <c r="D791" s="19"/>
      <c r="E791" s="19"/>
      <c r="F791" s="28"/>
      <c r="G791" s="30"/>
      <c r="H791" s="21" t="str">
        <f t="shared" si="1"/>
        <v/>
      </c>
      <c r="I791" s="19"/>
    </row>
    <row r="792" ht="15.75" customHeight="1">
      <c r="A792" s="3"/>
      <c r="B792" s="19"/>
      <c r="C792" s="19"/>
      <c r="D792" s="19"/>
      <c r="E792" s="19"/>
      <c r="F792" s="28"/>
      <c r="G792" s="30"/>
      <c r="H792" s="21" t="str">
        <f t="shared" si="1"/>
        <v/>
      </c>
      <c r="I792" s="19"/>
    </row>
    <row r="793" ht="15.75" customHeight="1">
      <c r="A793" s="3"/>
      <c r="B793" s="19"/>
      <c r="C793" s="19"/>
      <c r="D793" s="19"/>
      <c r="E793" s="19"/>
      <c r="F793" s="28"/>
      <c r="G793" s="30"/>
      <c r="H793" s="21" t="str">
        <f t="shared" si="1"/>
        <v/>
      </c>
      <c r="I793" s="19"/>
    </row>
    <row r="794" ht="15.75" customHeight="1">
      <c r="A794" s="3"/>
      <c r="B794" s="19"/>
      <c r="C794" s="19"/>
      <c r="D794" s="19"/>
      <c r="E794" s="19"/>
      <c r="F794" s="28"/>
      <c r="G794" s="30"/>
      <c r="H794" s="21" t="str">
        <f t="shared" si="1"/>
        <v/>
      </c>
      <c r="I794" s="19"/>
    </row>
    <row r="795" ht="15.75" customHeight="1">
      <c r="A795" s="3"/>
      <c r="B795" s="19"/>
      <c r="C795" s="19"/>
      <c r="D795" s="19"/>
      <c r="E795" s="19"/>
      <c r="F795" s="28"/>
      <c r="G795" s="30"/>
      <c r="H795" s="21" t="str">
        <f t="shared" si="1"/>
        <v/>
      </c>
      <c r="I795" s="19"/>
    </row>
    <row r="796" ht="15.75" customHeight="1">
      <c r="A796" s="3"/>
      <c r="B796" s="19"/>
      <c r="C796" s="19"/>
      <c r="D796" s="19"/>
      <c r="E796" s="19"/>
      <c r="F796" s="28"/>
      <c r="G796" s="30"/>
      <c r="H796" s="21" t="str">
        <f t="shared" si="1"/>
        <v/>
      </c>
      <c r="I796" s="19"/>
    </row>
    <row r="797" ht="15.75" customHeight="1">
      <c r="A797" s="3"/>
      <c r="B797" s="19"/>
      <c r="C797" s="19"/>
      <c r="D797" s="19"/>
      <c r="E797" s="19"/>
      <c r="F797" s="28"/>
      <c r="G797" s="30"/>
      <c r="H797" s="21" t="str">
        <f t="shared" si="1"/>
        <v/>
      </c>
      <c r="I797" s="19"/>
    </row>
    <row r="798" ht="15.75" customHeight="1">
      <c r="A798" s="3"/>
      <c r="B798" s="19"/>
      <c r="C798" s="19"/>
      <c r="D798" s="19"/>
      <c r="E798" s="19"/>
      <c r="F798" s="28"/>
      <c r="G798" s="30"/>
      <c r="H798" s="21" t="str">
        <f t="shared" si="1"/>
        <v/>
      </c>
      <c r="I798" s="19"/>
    </row>
    <row r="799" ht="15.75" customHeight="1">
      <c r="A799" s="3"/>
      <c r="B799" s="19"/>
      <c r="C799" s="19"/>
      <c r="D799" s="19"/>
      <c r="E799" s="19"/>
      <c r="F799" s="28"/>
      <c r="G799" s="30"/>
      <c r="H799" s="21" t="str">
        <f t="shared" si="1"/>
        <v/>
      </c>
      <c r="I799" s="19"/>
    </row>
    <row r="800" ht="15.75" customHeight="1">
      <c r="A800" s="3"/>
      <c r="B800" s="19"/>
      <c r="C800" s="19"/>
      <c r="D800" s="19"/>
      <c r="E800" s="19"/>
      <c r="F800" s="28"/>
      <c r="G800" s="30"/>
      <c r="H800" s="21" t="str">
        <f t="shared" si="1"/>
        <v/>
      </c>
      <c r="I800" s="19"/>
    </row>
    <row r="801" ht="15.75" customHeight="1">
      <c r="A801" s="3"/>
      <c r="B801" s="19"/>
      <c r="C801" s="19"/>
      <c r="D801" s="19"/>
      <c r="E801" s="19"/>
      <c r="F801" s="28"/>
      <c r="G801" s="30"/>
      <c r="H801" s="21" t="str">
        <f t="shared" si="1"/>
        <v/>
      </c>
      <c r="I801" s="19"/>
    </row>
    <row r="802" ht="15.75" customHeight="1">
      <c r="A802" s="3"/>
      <c r="B802" s="19"/>
      <c r="C802" s="19"/>
      <c r="D802" s="19"/>
      <c r="E802" s="19"/>
      <c r="F802" s="28"/>
      <c r="G802" s="30"/>
      <c r="H802" s="21" t="str">
        <f t="shared" si="1"/>
        <v/>
      </c>
      <c r="I802" s="19"/>
    </row>
    <row r="803" ht="15.75" customHeight="1">
      <c r="A803" s="3"/>
      <c r="B803" s="19"/>
      <c r="C803" s="19"/>
      <c r="D803" s="19"/>
      <c r="E803" s="19"/>
      <c r="F803" s="28"/>
      <c r="G803" s="30"/>
      <c r="H803" s="21" t="str">
        <f t="shared" si="1"/>
        <v/>
      </c>
      <c r="I803" s="19"/>
    </row>
    <row r="804" ht="15.75" customHeight="1">
      <c r="A804" s="3"/>
      <c r="B804" s="19"/>
      <c r="C804" s="19"/>
      <c r="D804" s="19"/>
      <c r="E804" s="19"/>
      <c r="F804" s="28"/>
      <c r="G804" s="30"/>
      <c r="H804" s="21" t="str">
        <f t="shared" si="1"/>
        <v/>
      </c>
      <c r="I804" s="19"/>
    </row>
    <row r="805" ht="15.75" customHeight="1">
      <c r="A805" s="3"/>
      <c r="B805" s="19"/>
      <c r="C805" s="19"/>
      <c r="D805" s="19"/>
      <c r="E805" s="19"/>
      <c r="F805" s="28"/>
      <c r="G805" s="30"/>
      <c r="H805" s="21" t="str">
        <f t="shared" si="1"/>
        <v/>
      </c>
      <c r="I805" s="19"/>
    </row>
    <row r="806" ht="15.75" customHeight="1">
      <c r="A806" s="3"/>
      <c r="B806" s="19"/>
      <c r="C806" s="19"/>
      <c r="D806" s="19"/>
      <c r="E806" s="19"/>
      <c r="F806" s="28"/>
      <c r="G806" s="30"/>
      <c r="H806" s="21" t="str">
        <f t="shared" si="1"/>
        <v/>
      </c>
      <c r="I806" s="19"/>
    </row>
    <row r="807" ht="15.75" customHeight="1">
      <c r="A807" s="3"/>
      <c r="B807" s="19"/>
      <c r="C807" s="19"/>
      <c r="D807" s="19"/>
      <c r="E807" s="19"/>
      <c r="F807" s="28"/>
      <c r="G807" s="30"/>
      <c r="H807" s="21" t="str">
        <f t="shared" si="1"/>
        <v/>
      </c>
      <c r="I807" s="19"/>
    </row>
    <row r="808" ht="15.75" customHeight="1">
      <c r="A808" s="3"/>
      <c r="B808" s="19"/>
      <c r="C808" s="19"/>
      <c r="D808" s="19"/>
      <c r="E808" s="19"/>
      <c r="F808" s="28"/>
      <c r="G808" s="30"/>
      <c r="H808" s="21" t="str">
        <f t="shared" si="1"/>
        <v/>
      </c>
      <c r="I808" s="19"/>
    </row>
    <row r="809" ht="15.75" customHeight="1">
      <c r="A809" s="3"/>
      <c r="B809" s="19"/>
      <c r="C809" s="19"/>
      <c r="D809" s="19"/>
      <c r="E809" s="19"/>
      <c r="F809" s="28"/>
      <c r="G809" s="30"/>
      <c r="H809" s="21" t="str">
        <f t="shared" si="1"/>
        <v/>
      </c>
      <c r="I809" s="19"/>
    </row>
    <row r="810" ht="15.75" customHeight="1">
      <c r="A810" s="3"/>
      <c r="B810" s="19"/>
      <c r="C810" s="19"/>
      <c r="D810" s="19"/>
      <c r="E810" s="19"/>
      <c r="F810" s="28"/>
      <c r="G810" s="30"/>
      <c r="H810" s="21" t="str">
        <f t="shared" si="1"/>
        <v/>
      </c>
      <c r="I810" s="19"/>
    </row>
    <row r="811" ht="15.75" customHeight="1">
      <c r="A811" s="3"/>
      <c r="B811" s="19"/>
      <c r="C811" s="19"/>
      <c r="D811" s="19"/>
      <c r="E811" s="19"/>
      <c r="F811" s="28"/>
      <c r="G811" s="30"/>
      <c r="H811" s="21" t="str">
        <f t="shared" si="1"/>
        <v/>
      </c>
      <c r="I811" s="19"/>
    </row>
    <row r="812" ht="15.75" customHeight="1">
      <c r="A812" s="3"/>
      <c r="B812" s="19"/>
      <c r="C812" s="19"/>
      <c r="D812" s="19"/>
      <c r="E812" s="19"/>
      <c r="F812" s="28"/>
      <c r="G812" s="30"/>
      <c r="H812" s="21" t="str">
        <f t="shared" si="1"/>
        <v/>
      </c>
      <c r="I812" s="19"/>
    </row>
    <row r="813" ht="15.75" customHeight="1">
      <c r="A813" s="3"/>
      <c r="B813" s="19"/>
      <c r="C813" s="19"/>
      <c r="D813" s="19"/>
      <c r="E813" s="19"/>
      <c r="F813" s="28"/>
      <c r="G813" s="30"/>
      <c r="H813" s="21" t="str">
        <f t="shared" si="1"/>
        <v/>
      </c>
      <c r="I813" s="19"/>
    </row>
    <row r="814" ht="15.75" customHeight="1">
      <c r="A814" s="3"/>
      <c r="B814" s="19"/>
      <c r="C814" s="19"/>
      <c r="D814" s="19"/>
      <c r="E814" s="19"/>
      <c r="F814" s="28"/>
      <c r="G814" s="30"/>
      <c r="H814" s="21" t="str">
        <f t="shared" si="1"/>
        <v/>
      </c>
      <c r="I814" s="19"/>
    </row>
    <row r="815" ht="15.75" customHeight="1">
      <c r="A815" s="3"/>
      <c r="B815" s="19"/>
      <c r="C815" s="19"/>
      <c r="D815" s="19"/>
      <c r="E815" s="19"/>
      <c r="F815" s="28"/>
      <c r="G815" s="30"/>
      <c r="H815" s="21" t="str">
        <f t="shared" si="1"/>
        <v/>
      </c>
      <c r="I815" s="19"/>
    </row>
    <row r="816" ht="15.75" customHeight="1">
      <c r="A816" s="3"/>
      <c r="B816" s="19"/>
      <c r="C816" s="19"/>
      <c r="D816" s="19"/>
      <c r="E816" s="19"/>
      <c r="F816" s="28"/>
      <c r="G816" s="30"/>
      <c r="H816" s="21" t="str">
        <f t="shared" si="1"/>
        <v/>
      </c>
      <c r="I816" s="19"/>
    </row>
    <row r="817" ht="15.75" customHeight="1">
      <c r="A817" s="3"/>
      <c r="B817" s="19"/>
      <c r="C817" s="19"/>
      <c r="D817" s="19"/>
      <c r="E817" s="19"/>
      <c r="F817" s="28"/>
      <c r="G817" s="30"/>
      <c r="H817" s="21" t="str">
        <f t="shared" si="1"/>
        <v/>
      </c>
      <c r="I817" s="19"/>
    </row>
    <row r="818" ht="15.75" customHeight="1">
      <c r="A818" s="3"/>
      <c r="B818" s="19"/>
      <c r="C818" s="19"/>
      <c r="D818" s="19"/>
      <c r="E818" s="19"/>
      <c r="F818" s="28"/>
      <c r="G818" s="30"/>
      <c r="H818" s="21" t="str">
        <f t="shared" si="1"/>
        <v/>
      </c>
      <c r="I818" s="19"/>
    </row>
    <row r="819" ht="15.75" customHeight="1">
      <c r="A819" s="3"/>
      <c r="B819" s="19"/>
      <c r="C819" s="19"/>
      <c r="D819" s="19"/>
      <c r="E819" s="19"/>
      <c r="F819" s="28"/>
      <c r="G819" s="30"/>
      <c r="H819" s="21" t="str">
        <f t="shared" si="1"/>
        <v/>
      </c>
      <c r="I819" s="19"/>
    </row>
    <row r="820" ht="15.75" customHeight="1">
      <c r="A820" s="3"/>
      <c r="B820" s="19"/>
      <c r="C820" s="19"/>
      <c r="D820" s="19"/>
      <c r="E820" s="19"/>
      <c r="F820" s="28"/>
      <c r="G820" s="30"/>
      <c r="H820" s="21" t="str">
        <f t="shared" si="1"/>
        <v/>
      </c>
      <c r="I820" s="19"/>
    </row>
    <row r="821" ht="15.75" customHeight="1">
      <c r="A821" s="3"/>
      <c r="B821" s="19"/>
      <c r="C821" s="19"/>
      <c r="D821" s="19"/>
      <c r="E821" s="19"/>
      <c r="F821" s="28"/>
      <c r="G821" s="30"/>
      <c r="H821" s="21" t="str">
        <f t="shared" si="1"/>
        <v/>
      </c>
      <c r="I821" s="19"/>
    </row>
    <row r="822" ht="15.75" customHeight="1">
      <c r="A822" s="3"/>
      <c r="B822" s="19"/>
      <c r="C822" s="19"/>
      <c r="D822" s="19"/>
      <c r="E822" s="19"/>
      <c r="F822" s="28"/>
      <c r="G822" s="30"/>
      <c r="H822" s="21" t="str">
        <f t="shared" si="1"/>
        <v/>
      </c>
      <c r="I822" s="19"/>
    </row>
    <row r="823" ht="15.75" customHeight="1">
      <c r="A823" s="3"/>
      <c r="B823" s="19"/>
      <c r="C823" s="19"/>
      <c r="D823" s="19"/>
      <c r="E823" s="19"/>
      <c r="F823" s="28"/>
      <c r="G823" s="30"/>
      <c r="H823" s="21" t="str">
        <f t="shared" si="1"/>
        <v/>
      </c>
      <c r="I823" s="19"/>
    </row>
    <row r="824" ht="15.75" customHeight="1">
      <c r="A824" s="3"/>
      <c r="B824" s="19"/>
      <c r="C824" s="19"/>
      <c r="D824" s="19"/>
      <c r="E824" s="19"/>
      <c r="F824" s="28"/>
      <c r="G824" s="30"/>
      <c r="H824" s="21" t="str">
        <f t="shared" si="1"/>
        <v/>
      </c>
      <c r="I824" s="19"/>
    </row>
    <row r="825" ht="15.75" customHeight="1">
      <c r="A825" s="3"/>
      <c r="B825" s="19"/>
      <c r="C825" s="19"/>
      <c r="D825" s="19"/>
      <c r="E825" s="19"/>
      <c r="F825" s="28"/>
      <c r="G825" s="30"/>
      <c r="H825" s="21" t="str">
        <f t="shared" si="1"/>
        <v/>
      </c>
      <c r="I825" s="19"/>
    </row>
    <row r="826" ht="15.75" customHeight="1">
      <c r="A826" s="3"/>
      <c r="B826" s="19"/>
      <c r="C826" s="19"/>
      <c r="D826" s="19"/>
      <c r="E826" s="19"/>
      <c r="F826" s="28"/>
      <c r="G826" s="30"/>
      <c r="H826" s="21" t="str">
        <f t="shared" si="1"/>
        <v/>
      </c>
      <c r="I826" s="19"/>
    </row>
    <row r="827" ht="15.75" customHeight="1">
      <c r="A827" s="3"/>
      <c r="B827" s="19"/>
      <c r="C827" s="19"/>
      <c r="D827" s="19"/>
      <c r="E827" s="19"/>
      <c r="F827" s="28"/>
      <c r="G827" s="30"/>
      <c r="H827" s="21" t="str">
        <f t="shared" si="1"/>
        <v/>
      </c>
      <c r="I827" s="19"/>
    </row>
    <row r="828" ht="15.75" customHeight="1">
      <c r="A828" s="3"/>
      <c r="B828" s="19"/>
      <c r="C828" s="19"/>
      <c r="D828" s="19"/>
      <c r="E828" s="19"/>
      <c r="F828" s="28"/>
      <c r="G828" s="30"/>
      <c r="H828" s="21" t="str">
        <f t="shared" si="1"/>
        <v/>
      </c>
      <c r="I828" s="19"/>
    </row>
    <row r="829" ht="15.75" customHeight="1">
      <c r="A829" s="3"/>
      <c r="B829" s="19"/>
      <c r="C829" s="19"/>
      <c r="D829" s="19"/>
      <c r="E829" s="19"/>
      <c r="F829" s="28"/>
      <c r="G829" s="30"/>
      <c r="H829" s="21" t="str">
        <f t="shared" si="1"/>
        <v/>
      </c>
      <c r="I829" s="19"/>
    </row>
    <row r="830" ht="15.75" customHeight="1">
      <c r="A830" s="3"/>
      <c r="B830" s="19"/>
      <c r="C830" s="19"/>
      <c r="D830" s="19"/>
      <c r="E830" s="19"/>
      <c r="F830" s="28"/>
      <c r="G830" s="30"/>
      <c r="H830" s="21" t="str">
        <f t="shared" si="1"/>
        <v/>
      </c>
      <c r="I830" s="19"/>
    </row>
    <row r="831" ht="15.75" customHeight="1">
      <c r="A831" s="3"/>
      <c r="B831" s="19"/>
      <c r="C831" s="19"/>
      <c r="D831" s="19"/>
      <c r="E831" s="19"/>
      <c r="F831" s="28"/>
      <c r="G831" s="30"/>
      <c r="H831" s="21" t="str">
        <f t="shared" si="1"/>
        <v/>
      </c>
      <c r="I831" s="19"/>
    </row>
    <row r="832" ht="15.75" customHeight="1">
      <c r="A832" s="3"/>
      <c r="B832" s="19"/>
      <c r="C832" s="19"/>
      <c r="D832" s="19"/>
      <c r="E832" s="19"/>
      <c r="F832" s="28"/>
      <c r="G832" s="30"/>
      <c r="H832" s="21" t="str">
        <f t="shared" si="1"/>
        <v/>
      </c>
      <c r="I832" s="19"/>
    </row>
    <row r="833" ht="15.75" customHeight="1">
      <c r="A833" s="3"/>
      <c r="B833" s="19"/>
      <c r="C833" s="19"/>
      <c r="D833" s="19"/>
      <c r="E833" s="19"/>
      <c r="F833" s="28"/>
      <c r="G833" s="30"/>
      <c r="H833" s="21" t="str">
        <f t="shared" si="1"/>
        <v/>
      </c>
      <c r="I833" s="19"/>
    </row>
    <row r="834" ht="15.75" customHeight="1">
      <c r="A834" s="3"/>
      <c r="B834" s="19"/>
      <c r="C834" s="19"/>
      <c r="D834" s="19"/>
      <c r="E834" s="19"/>
      <c r="F834" s="28"/>
      <c r="G834" s="30"/>
      <c r="H834" s="21" t="str">
        <f t="shared" si="1"/>
        <v/>
      </c>
      <c r="I834" s="19"/>
    </row>
    <row r="835" ht="15.75" customHeight="1">
      <c r="A835" s="3"/>
      <c r="B835" s="19"/>
      <c r="C835" s="19"/>
      <c r="D835" s="19"/>
      <c r="E835" s="19"/>
      <c r="F835" s="28"/>
      <c r="G835" s="30"/>
      <c r="H835" s="21" t="str">
        <f t="shared" si="1"/>
        <v/>
      </c>
      <c r="I835" s="19"/>
    </row>
    <row r="836" ht="15.75" customHeight="1">
      <c r="A836" s="3"/>
      <c r="B836" s="19"/>
      <c r="C836" s="19"/>
      <c r="D836" s="19"/>
      <c r="E836" s="19"/>
      <c r="F836" s="28"/>
      <c r="G836" s="30"/>
      <c r="H836" s="21" t="str">
        <f t="shared" si="1"/>
        <v/>
      </c>
      <c r="I836" s="19"/>
    </row>
    <row r="837" ht="15.75" customHeight="1">
      <c r="A837" s="3"/>
      <c r="B837" s="19"/>
      <c r="C837" s="19"/>
      <c r="D837" s="19"/>
      <c r="E837" s="19"/>
      <c r="F837" s="28"/>
      <c r="G837" s="30"/>
      <c r="H837" s="21" t="str">
        <f t="shared" si="1"/>
        <v/>
      </c>
      <c r="I837" s="19"/>
    </row>
    <row r="838" ht="15.75" customHeight="1">
      <c r="A838" s="3"/>
      <c r="B838" s="19"/>
      <c r="C838" s="19"/>
      <c r="D838" s="19"/>
      <c r="E838" s="19"/>
      <c r="F838" s="28"/>
      <c r="G838" s="30"/>
      <c r="H838" s="21" t="str">
        <f t="shared" si="1"/>
        <v/>
      </c>
      <c r="I838" s="19"/>
    </row>
    <row r="839" ht="15.75" customHeight="1">
      <c r="A839" s="3"/>
      <c r="B839" s="19"/>
      <c r="C839" s="19"/>
      <c r="D839" s="19"/>
      <c r="E839" s="19"/>
      <c r="F839" s="28"/>
      <c r="G839" s="30"/>
      <c r="H839" s="21" t="str">
        <f t="shared" si="1"/>
        <v/>
      </c>
      <c r="I839" s="19"/>
    </row>
    <row r="840" ht="15.75" customHeight="1">
      <c r="A840" s="3"/>
      <c r="B840" s="19"/>
      <c r="C840" s="19"/>
      <c r="D840" s="19"/>
      <c r="E840" s="19"/>
      <c r="F840" s="28"/>
      <c r="G840" s="30"/>
      <c r="H840" s="21" t="str">
        <f t="shared" si="1"/>
        <v/>
      </c>
      <c r="I840" s="19"/>
    </row>
    <row r="841" ht="15.75" customHeight="1">
      <c r="A841" s="3"/>
      <c r="B841" s="19"/>
      <c r="C841" s="19"/>
      <c r="D841" s="19"/>
      <c r="E841" s="19"/>
      <c r="F841" s="28"/>
      <c r="G841" s="30"/>
      <c r="H841" s="21" t="str">
        <f t="shared" si="1"/>
        <v/>
      </c>
      <c r="I841" s="19"/>
    </row>
    <row r="842" ht="15.75" customHeight="1">
      <c r="A842" s="3"/>
      <c r="B842" s="19"/>
      <c r="C842" s="19"/>
      <c r="D842" s="19"/>
      <c r="E842" s="19"/>
      <c r="F842" s="28"/>
      <c r="G842" s="30"/>
      <c r="H842" s="21" t="str">
        <f t="shared" si="1"/>
        <v/>
      </c>
      <c r="I842" s="19"/>
    </row>
    <row r="843" ht="15.75" customHeight="1">
      <c r="A843" s="3"/>
      <c r="B843" s="19"/>
      <c r="C843" s="19"/>
      <c r="D843" s="19"/>
      <c r="E843" s="19"/>
      <c r="F843" s="28"/>
      <c r="G843" s="30"/>
      <c r="H843" s="21" t="str">
        <f t="shared" si="1"/>
        <v/>
      </c>
      <c r="I843" s="19"/>
    </row>
    <row r="844" ht="15.75" customHeight="1">
      <c r="A844" s="3"/>
      <c r="B844" s="19"/>
      <c r="C844" s="19"/>
      <c r="D844" s="19"/>
      <c r="E844" s="19"/>
      <c r="F844" s="28"/>
      <c r="G844" s="30"/>
      <c r="H844" s="21" t="str">
        <f t="shared" si="1"/>
        <v/>
      </c>
      <c r="I844" s="19"/>
    </row>
    <row r="845" ht="15.75" customHeight="1">
      <c r="A845" s="3"/>
      <c r="B845" s="19"/>
      <c r="C845" s="19"/>
      <c r="D845" s="19"/>
      <c r="E845" s="19"/>
      <c r="F845" s="28"/>
      <c r="G845" s="30"/>
      <c r="H845" s="21" t="str">
        <f t="shared" si="1"/>
        <v/>
      </c>
      <c r="I845" s="19"/>
    </row>
    <row r="846" ht="15.75" customHeight="1">
      <c r="A846" s="3"/>
      <c r="B846" s="19"/>
      <c r="C846" s="19"/>
      <c r="D846" s="19"/>
      <c r="E846" s="19"/>
      <c r="F846" s="28"/>
      <c r="G846" s="30"/>
      <c r="H846" s="21" t="str">
        <f t="shared" si="1"/>
        <v/>
      </c>
      <c r="I846" s="19"/>
    </row>
    <row r="847" ht="15.75" customHeight="1">
      <c r="A847" s="3"/>
      <c r="B847" s="19"/>
      <c r="C847" s="19"/>
      <c r="D847" s="19"/>
      <c r="E847" s="19"/>
      <c r="F847" s="28"/>
      <c r="G847" s="30"/>
      <c r="H847" s="21" t="str">
        <f t="shared" si="1"/>
        <v/>
      </c>
      <c r="I847" s="19"/>
    </row>
    <row r="848" ht="15.75" customHeight="1">
      <c r="A848" s="3"/>
      <c r="B848" s="19"/>
      <c r="C848" s="19"/>
      <c r="D848" s="19"/>
      <c r="E848" s="19"/>
      <c r="F848" s="28"/>
      <c r="G848" s="30"/>
      <c r="H848" s="21" t="str">
        <f t="shared" si="1"/>
        <v/>
      </c>
      <c r="I848" s="19"/>
    </row>
    <row r="849" ht="15.75" customHeight="1">
      <c r="A849" s="3"/>
      <c r="B849" s="19"/>
      <c r="C849" s="19"/>
      <c r="D849" s="19"/>
      <c r="E849" s="19"/>
      <c r="F849" s="28"/>
      <c r="G849" s="30"/>
      <c r="H849" s="21" t="str">
        <f t="shared" si="1"/>
        <v/>
      </c>
      <c r="I849" s="19"/>
    </row>
    <row r="850" ht="15.75" customHeight="1">
      <c r="A850" s="3"/>
      <c r="B850" s="19"/>
      <c r="C850" s="19"/>
      <c r="D850" s="19"/>
      <c r="E850" s="19"/>
      <c r="F850" s="28"/>
      <c r="G850" s="30"/>
      <c r="H850" s="21" t="str">
        <f t="shared" si="1"/>
        <v/>
      </c>
      <c r="I850" s="19"/>
    </row>
    <row r="851" ht="15.75" customHeight="1">
      <c r="A851" s="3"/>
      <c r="B851" s="19"/>
      <c r="C851" s="19"/>
      <c r="D851" s="19"/>
      <c r="E851" s="19"/>
      <c r="F851" s="28"/>
      <c r="G851" s="30"/>
      <c r="H851" s="21" t="str">
        <f t="shared" si="1"/>
        <v/>
      </c>
      <c r="I851" s="19"/>
    </row>
    <row r="852" ht="15.75" customHeight="1">
      <c r="A852" s="3"/>
      <c r="B852" s="19"/>
      <c r="C852" s="19"/>
      <c r="D852" s="19"/>
      <c r="E852" s="19"/>
      <c r="F852" s="28"/>
      <c r="G852" s="30"/>
      <c r="H852" s="21" t="str">
        <f t="shared" si="1"/>
        <v/>
      </c>
      <c r="I852" s="19"/>
    </row>
    <row r="853" ht="15.75" customHeight="1">
      <c r="A853" s="3"/>
      <c r="B853" s="19"/>
      <c r="C853" s="19"/>
      <c r="D853" s="19"/>
      <c r="E853" s="19"/>
      <c r="F853" s="28"/>
      <c r="G853" s="30"/>
      <c r="H853" s="21" t="str">
        <f t="shared" si="1"/>
        <v/>
      </c>
      <c r="I853" s="19"/>
    </row>
    <row r="854" ht="15.75" customHeight="1">
      <c r="A854" s="3"/>
      <c r="B854" s="19"/>
      <c r="C854" s="19"/>
      <c r="D854" s="19"/>
      <c r="E854" s="19"/>
      <c r="F854" s="28"/>
      <c r="G854" s="30"/>
      <c r="H854" s="21" t="str">
        <f t="shared" si="1"/>
        <v/>
      </c>
      <c r="I854" s="19"/>
    </row>
    <row r="855" ht="15.75" customHeight="1">
      <c r="A855" s="3"/>
      <c r="B855" s="19"/>
      <c r="C855" s="19"/>
      <c r="D855" s="19"/>
      <c r="E855" s="19"/>
      <c r="F855" s="28"/>
      <c r="G855" s="30"/>
      <c r="H855" s="21" t="str">
        <f t="shared" si="1"/>
        <v/>
      </c>
      <c r="I855" s="19"/>
    </row>
    <row r="856" ht="15.75" customHeight="1">
      <c r="A856" s="3"/>
      <c r="B856" s="19"/>
      <c r="C856" s="19"/>
      <c r="D856" s="19"/>
      <c r="E856" s="19"/>
      <c r="F856" s="28"/>
      <c r="G856" s="30"/>
      <c r="H856" s="21" t="str">
        <f t="shared" si="1"/>
        <v/>
      </c>
      <c r="I856" s="19"/>
    </row>
    <row r="857" ht="15.75" customHeight="1">
      <c r="A857" s="3"/>
      <c r="B857" s="19"/>
      <c r="C857" s="19"/>
      <c r="D857" s="19"/>
      <c r="E857" s="19"/>
      <c r="F857" s="28"/>
      <c r="G857" s="30"/>
      <c r="H857" s="21" t="str">
        <f t="shared" si="1"/>
        <v/>
      </c>
      <c r="I857" s="19"/>
    </row>
    <row r="858" ht="15.75" customHeight="1">
      <c r="A858" s="3"/>
      <c r="B858" s="19"/>
      <c r="C858" s="19"/>
      <c r="D858" s="19"/>
      <c r="E858" s="19"/>
      <c r="F858" s="28"/>
      <c r="G858" s="30"/>
      <c r="H858" s="21" t="str">
        <f t="shared" si="1"/>
        <v/>
      </c>
      <c r="I858" s="19"/>
    </row>
    <row r="859" ht="15.75" customHeight="1">
      <c r="A859" s="3"/>
      <c r="B859" s="19"/>
      <c r="C859" s="19"/>
      <c r="D859" s="19"/>
      <c r="E859" s="19"/>
      <c r="F859" s="28"/>
      <c r="G859" s="30"/>
      <c r="H859" s="21" t="str">
        <f t="shared" si="1"/>
        <v/>
      </c>
      <c r="I859" s="19"/>
    </row>
    <row r="860" ht="15.75" customHeight="1">
      <c r="A860" s="3"/>
      <c r="B860" s="19"/>
      <c r="C860" s="19"/>
      <c r="D860" s="19"/>
      <c r="E860" s="19"/>
      <c r="F860" s="28"/>
      <c r="G860" s="30"/>
      <c r="H860" s="21" t="str">
        <f t="shared" si="1"/>
        <v/>
      </c>
      <c r="I860" s="19"/>
    </row>
    <row r="861" ht="15.75" customHeight="1">
      <c r="A861" s="3"/>
      <c r="B861" s="19"/>
      <c r="C861" s="19"/>
      <c r="D861" s="19"/>
      <c r="E861" s="19"/>
      <c r="F861" s="28"/>
      <c r="G861" s="30"/>
      <c r="H861" s="21" t="str">
        <f t="shared" si="1"/>
        <v/>
      </c>
      <c r="I861" s="19"/>
    </row>
    <row r="862" ht="15.75" customHeight="1">
      <c r="A862" s="3"/>
      <c r="B862" s="19"/>
      <c r="C862" s="19"/>
      <c r="D862" s="19"/>
      <c r="E862" s="19"/>
      <c r="F862" s="28"/>
      <c r="G862" s="30"/>
      <c r="H862" s="21" t="str">
        <f t="shared" si="1"/>
        <v/>
      </c>
      <c r="I862" s="19"/>
    </row>
    <row r="863" ht="15.75" customHeight="1">
      <c r="A863" s="3"/>
      <c r="B863" s="19"/>
      <c r="C863" s="19"/>
      <c r="D863" s="19"/>
      <c r="E863" s="19"/>
      <c r="F863" s="28"/>
      <c r="G863" s="30"/>
      <c r="H863" s="21" t="str">
        <f t="shared" si="1"/>
        <v/>
      </c>
      <c r="I863" s="19"/>
    </row>
    <row r="864" ht="15.75" customHeight="1">
      <c r="A864" s="3"/>
      <c r="B864" s="19"/>
      <c r="C864" s="19"/>
      <c r="D864" s="19"/>
      <c r="E864" s="19"/>
      <c r="F864" s="28"/>
      <c r="G864" s="30"/>
      <c r="H864" s="21" t="str">
        <f t="shared" si="1"/>
        <v/>
      </c>
      <c r="I864" s="19"/>
    </row>
    <row r="865" ht="15.75" customHeight="1">
      <c r="A865" s="3"/>
      <c r="B865" s="19"/>
      <c r="C865" s="19"/>
      <c r="D865" s="19"/>
      <c r="E865" s="19"/>
      <c r="F865" s="28"/>
      <c r="G865" s="30"/>
      <c r="H865" s="21" t="str">
        <f t="shared" si="1"/>
        <v/>
      </c>
      <c r="I865" s="19"/>
    </row>
    <row r="866" ht="15.75" customHeight="1">
      <c r="A866" s="3"/>
      <c r="B866" s="19"/>
      <c r="C866" s="19"/>
      <c r="D866" s="19"/>
      <c r="E866" s="19"/>
      <c r="F866" s="28"/>
      <c r="G866" s="30"/>
      <c r="H866" s="21" t="str">
        <f t="shared" si="1"/>
        <v/>
      </c>
      <c r="I866" s="19"/>
    </row>
    <row r="867" ht="15.75" customHeight="1">
      <c r="A867" s="3"/>
      <c r="B867" s="19"/>
      <c r="C867" s="19"/>
      <c r="D867" s="19"/>
      <c r="E867" s="19"/>
      <c r="F867" s="28"/>
      <c r="G867" s="30"/>
      <c r="H867" s="21" t="str">
        <f t="shared" si="1"/>
        <v/>
      </c>
      <c r="I867" s="19"/>
    </row>
    <row r="868" ht="15.75" customHeight="1">
      <c r="A868" s="3"/>
      <c r="B868" s="19"/>
      <c r="C868" s="19"/>
      <c r="D868" s="19"/>
      <c r="E868" s="19"/>
      <c r="F868" s="28"/>
      <c r="G868" s="30"/>
      <c r="H868" s="21" t="str">
        <f t="shared" si="1"/>
        <v/>
      </c>
      <c r="I868" s="19"/>
    </row>
    <row r="869" ht="15.75" customHeight="1">
      <c r="A869" s="3"/>
      <c r="B869" s="19"/>
      <c r="C869" s="19"/>
      <c r="D869" s="19"/>
      <c r="E869" s="19"/>
      <c r="F869" s="28"/>
      <c r="G869" s="30"/>
      <c r="H869" s="21" t="str">
        <f t="shared" si="1"/>
        <v/>
      </c>
      <c r="I869" s="19"/>
    </row>
    <row r="870" ht="15.75" customHeight="1">
      <c r="A870" s="3"/>
      <c r="B870" s="19"/>
      <c r="C870" s="19"/>
      <c r="D870" s="19"/>
      <c r="E870" s="19"/>
      <c r="F870" s="28"/>
      <c r="G870" s="30"/>
      <c r="H870" s="21" t="str">
        <f t="shared" si="1"/>
        <v/>
      </c>
      <c r="I870" s="19"/>
    </row>
    <row r="871" ht="15.75" customHeight="1">
      <c r="A871" s="3"/>
      <c r="B871" s="19"/>
      <c r="C871" s="19"/>
      <c r="D871" s="19"/>
      <c r="E871" s="19"/>
      <c r="F871" s="28"/>
      <c r="G871" s="30"/>
      <c r="H871" s="21" t="str">
        <f t="shared" si="1"/>
        <v/>
      </c>
      <c r="I871" s="19"/>
    </row>
    <row r="872" ht="15.75" customHeight="1">
      <c r="A872" s="3"/>
      <c r="B872" s="19"/>
      <c r="C872" s="19"/>
      <c r="D872" s="19"/>
      <c r="E872" s="19"/>
      <c r="F872" s="28"/>
      <c r="G872" s="30"/>
      <c r="H872" s="21" t="str">
        <f t="shared" si="1"/>
        <v/>
      </c>
      <c r="I872" s="19"/>
    </row>
    <row r="873" ht="15.75" customHeight="1">
      <c r="A873" s="3"/>
      <c r="B873" s="19"/>
      <c r="C873" s="19"/>
      <c r="D873" s="19"/>
      <c r="E873" s="19"/>
      <c r="F873" s="28"/>
      <c r="G873" s="30"/>
      <c r="H873" s="21" t="str">
        <f t="shared" si="1"/>
        <v/>
      </c>
      <c r="I873" s="19"/>
    </row>
    <row r="874" ht="15.75" customHeight="1">
      <c r="A874" s="3"/>
      <c r="B874" s="19"/>
      <c r="C874" s="19"/>
      <c r="D874" s="19"/>
      <c r="E874" s="19"/>
      <c r="F874" s="28"/>
      <c r="G874" s="30"/>
      <c r="H874" s="21" t="str">
        <f t="shared" si="1"/>
        <v/>
      </c>
      <c r="I874" s="19"/>
    </row>
    <row r="875" ht="15.75" customHeight="1">
      <c r="A875" s="3"/>
      <c r="B875" s="19"/>
      <c r="C875" s="19"/>
      <c r="D875" s="19"/>
      <c r="E875" s="19"/>
      <c r="F875" s="28"/>
      <c r="G875" s="30"/>
      <c r="H875" s="21" t="str">
        <f t="shared" si="1"/>
        <v/>
      </c>
      <c r="I875" s="19"/>
    </row>
    <row r="876" ht="15.75" customHeight="1">
      <c r="A876" s="3"/>
      <c r="B876" s="19"/>
      <c r="C876" s="19"/>
      <c r="D876" s="19"/>
      <c r="E876" s="19"/>
      <c r="F876" s="28"/>
      <c r="G876" s="30"/>
      <c r="H876" s="21" t="str">
        <f t="shared" si="1"/>
        <v/>
      </c>
      <c r="I876" s="19"/>
    </row>
    <row r="877" ht="15.75" customHeight="1">
      <c r="A877" s="3"/>
      <c r="B877" s="19"/>
      <c r="C877" s="19"/>
      <c r="D877" s="19"/>
      <c r="E877" s="19"/>
      <c r="F877" s="28"/>
      <c r="G877" s="30"/>
      <c r="H877" s="21" t="str">
        <f t="shared" si="1"/>
        <v/>
      </c>
      <c r="I877" s="19"/>
    </row>
    <row r="878" ht="15.75" customHeight="1">
      <c r="A878" s="3"/>
      <c r="B878" s="19"/>
      <c r="C878" s="19"/>
      <c r="D878" s="19"/>
      <c r="E878" s="19"/>
      <c r="F878" s="28"/>
      <c r="G878" s="30"/>
      <c r="H878" s="21" t="str">
        <f t="shared" si="1"/>
        <v/>
      </c>
      <c r="I878" s="19"/>
    </row>
    <row r="879" ht="15.75" customHeight="1">
      <c r="A879" s="3"/>
      <c r="B879" s="19"/>
      <c r="C879" s="19"/>
      <c r="D879" s="19"/>
      <c r="E879" s="19"/>
      <c r="F879" s="28"/>
      <c r="G879" s="30"/>
      <c r="H879" s="21" t="str">
        <f t="shared" si="1"/>
        <v/>
      </c>
      <c r="I879" s="19"/>
    </row>
    <row r="880" ht="15.75" customHeight="1">
      <c r="A880" s="3"/>
      <c r="B880" s="19"/>
      <c r="C880" s="19"/>
      <c r="D880" s="19"/>
      <c r="E880" s="19"/>
      <c r="F880" s="28"/>
      <c r="G880" s="30"/>
      <c r="H880" s="21" t="str">
        <f t="shared" si="1"/>
        <v/>
      </c>
      <c r="I880" s="19"/>
    </row>
    <row r="881" ht="15.75" customHeight="1">
      <c r="A881" s="3"/>
      <c r="B881" s="19"/>
      <c r="C881" s="19"/>
      <c r="D881" s="19"/>
      <c r="E881" s="19"/>
      <c r="F881" s="28"/>
      <c r="G881" s="30"/>
      <c r="H881" s="21" t="str">
        <f t="shared" si="1"/>
        <v/>
      </c>
      <c r="I881" s="19"/>
    </row>
    <row r="882" ht="15.75" customHeight="1">
      <c r="A882" s="3"/>
      <c r="B882" s="19"/>
      <c r="C882" s="19"/>
      <c r="D882" s="19"/>
      <c r="E882" s="19"/>
      <c r="F882" s="28"/>
      <c r="G882" s="30"/>
      <c r="H882" s="21" t="str">
        <f t="shared" si="1"/>
        <v/>
      </c>
      <c r="I882" s="19"/>
    </row>
    <row r="883" ht="15.75" customHeight="1">
      <c r="A883" s="3"/>
      <c r="B883" s="19"/>
      <c r="C883" s="19"/>
      <c r="D883" s="19"/>
      <c r="E883" s="19"/>
      <c r="F883" s="28"/>
      <c r="G883" s="30"/>
      <c r="H883" s="21" t="str">
        <f t="shared" si="1"/>
        <v/>
      </c>
      <c r="I883" s="19"/>
    </row>
    <row r="884" ht="15.75" customHeight="1">
      <c r="A884" s="3"/>
      <c r="B884" s="19"/>
      <c r="C884" s="19"/>
      <c r="D884" s="19"/>
      <c r="E884" s="19"/>
      <c r="F884" s="28"/>
      <c r="G884" s="30"/>
      <c r="H884" s="21" t="str">
        <f t="shared" si="1"/>
        <v/>
      </c>
      <c r="I884" s="19"/>
    </row>
    <row r="885" ht="15.75" customHeight="1">
      <c r="A885" s="3"/>
      <c r="B885" s="19"/>
      <c r="C885" s="19"/>
      <c r="D885" s="19"/>
      <c r="E885" s="19"/>
      <c r="F885" s="28"/>
      <c r="G885" s="30"/>
      <c r="H885" s="21" t="str">
        <f t="shared" si="1"/>
        <v/>
      </c>
      <c r="I885" s="19"/>
    </row>
    <row r="886" ht="15.75" customHeight="1">
      <c r="A886" s="3"/>
      <c r="B886" s="19"/>
      <c r="C886" s="19"/>
      <c r="D886" s="19"/>
      <c r="E886" s="19"/>
      <c r="F886" s="28"/>
      <c r="G886" s="30"/>
      <c r="H886" s="21" t="str">
        <f t="shared" si="1"/>
        <v/>
      </c>
      <c r="I886" s="19"/>
    </row>
    <row r="887" ht="15.75" customHeight="1">
      <c r="A887" s="3"/>
      <c r="B887" s="19"/>
      <c r="C887" s="19"/>
      <c r="D887" s="19"/>
      <c r="E887" s="19"/>
      <c r="F887" s="28"/>
      <c r="G887" s="30"/>
      <c r="H887" s="21" t="str">
        <f t="shared" si="1"/>
        <v/>
      </c>
      <c r="I887" s="19"/>
    </row>
    <row r="888" ht="15.75" customHeight="1">
      <c r="A888" s="3"/>
      <c r="B888" s="19"/>
      <c r="C888" s="19"/>
      <c r="D888" s="19"/>
      <c r="E888" s="19"/>
      <c r="F888" s="28"/>
      <c r="G888" s="30"/>
      <c r="H888" s="21" t="str">
        <f t="shared" si="1"/>
        <v/>
      </c>
      <c r="I888" s="19"/>
    </row>
    <row r="889" ht="15.75" customHeight="1">
      <c r="A889" s="3"/>
      <c r="B889" s="19"/>
      <c r="C889" s="19"/>
      <c r="D889" s="19"/>
      <c r="E889" s="19"/>
      <c r="F889" s="28"/>
      <c r="G889" s="30"/>
      <c r="H889" s="21" t="str">
        <f t="shared" si="1"/>
        <v/>
      </c>
      <c r="I889" s="19"/>
    </row>
    <row r="890" ht="15.75" customHeight="1">
      <c r="A890" s="3"/>
      <c r="B890" s="19"/>
      <c r="C890" s="19"/>
      <c r="D890" s="19"/>
      <c r="E890" s="19"/>
      <c r="F890" s="28"/>
      <c r="G890" s="30"/>
      <c r="H890" s="21" t="str">
        <f t="shared" si="1"/>
        <v/>
      </c>
      <c r="I890" s="19"/>
    </row>
    <row r="891" ht="15.75" customHeight="1">
      <c r="A891" s="3"/>
      <c r="B891" s="19"/>
      <c r="C891" s="19"/>
      <c r="D891" s="19"/>
      <c r="E891" s="19"/>
      <c r="F891" s="28"/>
      <c r="G891" s="30"/>
      <c r="H891" s="21" t="str">
        <f t="shared" si="1"/>
        <v/>
      </c>
      <c r="I891" s="19"/>
    </row>
    <row r="892" ht="15.75" customHeight="1">
      <c r="A892" s="3"/>
      <c r="B892" s="19"/>
      <c r="C892" s="19"/>
      <c r="D892" s="19"/>
      <c r="E892" s="19"/>
      <c r="F892" s="28"/>
      <c r="G892" s="30"/>
      <c r="H892" s="21" t="str">
        <f t="shared" si="1"/>
        <v/>
      </c>
      <c r="I892" s="19"/>
    </row>
    <row r="893" ht="15.75" customHeight="1">
      <c r="A893" s="3"/>
      <c r="B893" s="19"/>
      <c r="C893" s="19"/>
      <c r="D893" s="19"/>
      <c r="E893" s="19"/>
      <c r="F893" s="28"/>
      <c r="G893" s="30"/>
      <c r="H893" s="21" t="str">
        <f t="shared" si="1"/>
        <v/>
      </c>
      <c r="I893" s="19"/>
    </row>
    <row r="894" ht="15.75" customHeight="1">
      <c r="A894" s="3"/>
      <c r="B894" s="19"/>
      <c r="C894" s="19"/>
      <c r="D894" s="19"/>
      <c r="E894" s="19"/>
      <c r="F894" s="28"/>
      <c r="G894" s="30"/>
      <c r="H894" s="21" t="str">
        <f t="shared" si="1"/>
        <v/>
      </c>
      <c r="I894" s="19"/>
    </row>
    <row r="895" ht="15.75" customHeight="1">
      <c r="A895" s="3"/>
      <c r="B895" s="19"/>
      <c r="C895" s="19"/>
      <c r="D895" s="19"/>
      <c r="E895" s="19"/>
      <c r="F895" s="28"/>
      <c r="G895" s="30"/>
      <c r="H895" s="21" t="str">
        <f t="shared" si="1"/>
        <v/>
      </c>
      <c r="I895" s="19"/>
    </row>
    <row r="896" ht="15.75" customHeight="1">
      <c r="A896" s="3"/>
      <c r="B896" s="19"/>
      <c r="C896" s="19"/>
      <c r="D896" s="19"/>
      <c r="E896" s="19"/>
      <c r="F896" s="28"/>
      <c r="G896" s="30"/>
      <c r="H896" s="21" t="str">
        <f t="shared" si="1"/>
        <v/>
      </c>
      <c r="I896" s="19"/>
    </row>
    <row r="897" ht="15.75" customHeight="1">
      <c r="A897" s="3"/>
      <c r="B897" s="19"/>
      <c r="C897" s="19"/>
      <c r="D897" s="19"/>
      <c r="E897" s="19"/>
      <c r="F897" s="28"/>
      <c r="G897" s="30"/>
      <c r="H897" s="21" t="str">
        <f t="shared" si="1"/>
        <v/>
      </c>
      <c r="I897" s="19"/>
    </row>
    <row r="898" ht="15.75" customHeight="1">
      <c r="A898" s="3"/>
      <c r="B898" s="19"/>
      <c r="C898" s="19"/>
      <c r="D898" s="19"/>
      <c r="E898" s="19"/>
      <c r="F898" s="28"/>
      <c r="G898" s="30"/>
      <c r="H898" s="21" t="str">
        <f t="shared" si="1"/>
        <v/>
      </c>
      <c r="I898" s="19"/>
    </row>
    <row r="899" ht="15.75" customHeight="1">
      <c r="A899" s="3"/>
      <c r="B899" s="19"/>
      <c r="C899" s="19"/>
      <c r="D899" s="19"/>
      <c r="E899" s="19"/>
      <c r="F899" s="28"/>
      <c r="G899" s="30"/>
      <c r="H899" s="21" t="str">
        <f t="shared" si="1"/>
        <v/>
      </c>
      <c r="I899" s="19"/>
    </row>
    <row r="900" ht="15.75" customHeight="1">
      <c r="A900" s="3"/>
      <c r="B900" s="19"/>
      <c r="C900" s="19"/>
      <c r="D900" s="19"/>
      <c r="E900" s="19"/>
      <c r="F900" s="28"/>
      <c r="G900" s="30"/>
      <c r="H900" s="21" t="str">
        <f t="shared" si="1"/>
        <v/>
      </c>
      <c r="I900" s="19"/>
    </row>
    <row r="901" ht="15.75" customHeight="1">
      <c r="A901" s="3"/>
      <c r="B901" s="19"/>
      <c r="C901" s="19"/>
      <c r="D901" s="19"/>
      <c r="E901" s="19"/>
      <c r="F901" s="28"/>
      <c r="G901" s="30"/>
      <c r="H901" s="21" t="str">
        <f t="shared" si="1"/>
        <v/>
      </c>
      <c r="I901" s="19"/>
    </row>
    <row r="902" ht="15.75" customHeight="1">
      <c r="A902" s="3"/>
      <c r="B902" s="19"/>
      <c r="C902" s="19"/>
      <c r="D902" s="19"/>
      <c r="E902" s="19"/>
      <c r="F902" s="28"/>
      <c r="G902" s="30"/>
      <c r="H902" s="21" t="str">
        <f t="shared" si="1"/>
        <v/>
      </c>
      <c r="I902" s="19"/>
    </row>
    <row r="903" ht="15.75" customHeight="1">
      <c r="A903" s="3"/>
      <c r="B903" s="19"/>
      <c r="C903" s="19"/>
      <c r="D903" s="19"/>
      <c r="E903" s="19"/>
      <c r="F903" s="28"/>
      <c r="G903" s="30"/>
      <c r="H903" s="21" t="str">
        <f t="shared" si="1"/>
        <v/>
      </c>
      <c r="I903" s="19"/>
    </row>
    <row r="904" ht="15.75" customHeight="1">
      <c r="A904" s="3"/>
      <c r="B904" s="19"/>
      <c r="C904" s="19"/>
      <c r="D904" s="19"/>
      <c r="E904" s="19"/>
      <c r="F904" s="28"/>
      <c r="G904" s="30"/>
      <c r="H904" s="21" t="str">
        <f t="shared" si="1"/>
        <v/>
      </c>
      <c r="I904" s="19"/>
    </row>
    <row r="905" ht="15.75" customHeight="1">
      <c r="A905" s="3"/>
      <c r="B905" s="19"/>
      <c r="C905" s="19"/>
      <c r="D905" s="19"/>
      <c r="E905" s="19"/>
      <c r="F905" s="28"/>
      <c r="G905" s="30"/>
      <c r="H905" s="21" t="str">
        <f t="shared" si="1"/>
        <v/>
      </c>
      <c r="I905" s="19"/>
    </row>
    <row r="906" ht="15.75" customHeight="1">
      <c r="A906" s="3"/>
      <c r="B906" s="19"/>
      <c r="C906" s="19"/>
      <c r="D906" s="19"/>
      <c r="E906" s="19"/>
      <c r="F906" s="28"/>
      <c r="G906" s="30"/>
      <c r="H906" s="21" t="str">
        <f t="shared" si="1"/>
        <v/>
      </c>
      <c r="I906" s="19"/>
    </row>
    <row r="907" ht="15.75" customHeight="1">
      <c r="A907" s="3"/>
      <c r="B907" s="19"/>
      <c r="C907" s="19"/>
      <c r="D907" s="19"/>
      <c r="E907" s="19"/>
      <c r="F907" s="28"/>
      <c r="G907" s="30"/>
      <c r="H907" s="21" t="str">
        <f t="shared" si="1"/>
        <v/>
      </c>
      <c r="I907" s="19"/>
    </row>
    <row r="908" ht="15.75" customHeight="1">
      <c r="A908" s="3"/>
      <c r="B908" s="19"/>
      <c r="C908" s="19"/>
      <c r="D908" s="19"/>
      <c r="E908" s="19"/>
      <c r="F908" s="28"/>
      <c r="G908" s="30"/>
      <c r="H908" s="21" t="str">
        <f t="shared" si="1"/>
        <v/>
      </c>
      <c r="I908" s="19"/>
    </row>
    <row r="909" ht="15.75" customHeight="1">
      <c r="A909" s="3"/>
      <c r="B909" s="19"/>
      <c r="C909" s="19"/>
      <c r="D909" s="19"/>
      <c r="E909" s="19"/>
      <c r="F909" s="28"/>
      <c r="G909" s="30"/>
      <c r="H909" s="21" t="str">
        <f t="shared" si="1"/>
        <v/>
      </c>
      <c r="I909" s="19"/>
    </row>
    <row r="910" ht="15.75" customHeight="1">
      <c r="A910" s="3"/>
      <c r="B910" s="19"/>
      <c r="C910" s="19"/>
      <c r="D910" s="19"/>
      <c r="E910" s="19"/>
      <c r="F910" s="28"/>
      <c r="G910" s="30"/>
      <c r="H910" s="21" t="str">
        <f t="shared" si="1"/>
        <v/>
      </c>
      <c r="I910" s="19"/>
    </row>
    <row r="911" ht="15.75" customHeight="1">
      <c r="A911" s="3"/>
      <c r="B911" s="19"/>
      <c r="C911" s="19"/>
      <c r="D911" s="19"/>
      <c r="E911" s="19"/>
      <c r="F911" s="28"/>
      <c r="G911" s="30"/>
      <c r="H911" s="21" t="str">
        <f t="shared" si="1"/>
        <v/>
      </c>
      <c r="I911" s="19"/>
    </row>
    <row r="912" ht="15.75" customHeight="1">
      <c r="A912" s="3"/>
      <c r="B912" s="19"/>
      <c r="C912" s="19"/>
      <c r="D912" s="19"/>
      <c r="E912" s="19"/>
      <c r="F912" s="28"/>
      <c r="G912" s="30"/>
      <c r="H912" s="21" t="str">
        <f t="shared" si="1"/>
        <v/>
      </c>
      <c r="I912" s="19"/>
    </row>
    <row r="913" ht="15.75" customHeight="1">
      <c r="A913" s="3"/>
      <c r="B913" s="19"/>
      <c r="C913" s="19"/>
      <c r="D913" s="19"/>
      <c r="E913" s="19"/>
      <c r="F913" s="28"/>
      <c r="G913" s="30"/>
      <c r="H913" s="21" t="str">
        <f t="shared" si="1"/>
        <v/>
      </c>
      <c r="I913" s="19"/>
    </row>
    <row r="914" ht="15.75" customHeight="1">
      <c r="A914" s="3"/>
      <c r="B914" s="19"/>
      <c r="C914" s="19"/>
      <c r="D914" s="19"/>
      <c r="E914" s="19"/>
      <c r="F914" s="28"/>
      <c r="G914" s="30"/>
      <c r="H914" s="21" t="str">
        <f t="shared" si="1"/>
        <v/>
      </c>
      <c r="I914" s="19"/>
    </row>
    <row r="915" ht="15.75" customHeight="1">
      <c r="A915" s="3"/>
      <c r="B915" s="19"/>
      <c r="C915" s="19"/>
      <c r="D915" s="19"/>
      <c r="E915" s="19"/>
      <c r="F915" s="28"/>
      <c r="G915" s="30"/>
      <c r="H915" s="21" t="str">
        <f t="shared" si="1"/>
        <v/>
      </c>
      <c r="I915" s="19"/>
    </row>
    <row r="916" ht="15.75" customHeight="1">
      <c r="A916" s="3"/>
      <c r="B916" s="19"/>
      <c r="C916" s="19"/>
      <c r="D916" s="19"/>
      <c r="E916" s="19"/>
      <c r="F916" s="28"/>
      <c r="G916" s="30"/>
      <c r="H916" s="21" t="str">
        <f t="shared" si="1"/>
        <v/>
      </c>
      <c r="I916" s="19"/>
    </row>
    <row r="917" ht="15.75" customHeight="1">
      <c r="A917" s="3"/>
      <c r="B917" s="19"/>
      <c r="C917" s="19"/>
      <c r="D917" s="19"/>
      <c r="E917" s="19"/>
      <c r="F917" s="28"/>
      <c r="G917" s="30"/>
      <c r="H917" s="21" t="str">
        <f t="shared" si="1"/>
        <v/>
      </c>
      <c r="I917" s="19"/>
    </row>
    <row r="918" ht="15.75" customHeight="1">
      <c r="A918" s="3"/>
      <c r="B918" s="19"/>
      <c r="C918" s="19"/>
      <c r="D918" s="19"/>
      <c r="E918" s="19"/>
      <c r="F918" s="28"/>
      <c r="G918" s="30"/>
      <c r="H918" s="21" t="str">
        <f t="shared" si="1"/>
        <v/>
      </c>
      <c r="I918" s="19"/>
    </row>
    <row r="919" ht="15.75" customHeight="1">
      <c r="A919" s="3"/>
      <c r="B919" s="19"/>
      <c r="C919" s="19"/>
      <c r="D919" s="19"/>
      <c r="E919" s="19"/>
      <c r="F919" s="28"/>
      <c r="G919" s="30"/>
      <c r="H919" s="21" t="str">
        <f t="shared" si="1"/>
        <v/>
      </c>
      <c r="I919" s="19"/>
    </row>
    <row r="920" ht="15.75" customHeight="1">
      <c r="A920" s="3"/>
      <c r="B920" s="19"/>
      <c r="C920" s="19"/>
      <c r="D920" s="19"/>
      <c r="E920" s="19"/>
      <c r="F920" s="28"/>
      <c r="G920" s="30"/>
      <c r="H920" s="21" t="str">
        <f t="shared" si="1"/>
        <v/>
      </c>
      <c r="I920" s="19"/>
    </row>
    <row r="921" ht="15.75" customHeight="1">
      <c r="A921" s="3"/>
      <c r="B921" s="19"/>
      <c r="C921" s="19"/>
      <c r="D921" s="19"/>
      <c r="E921" s="19"/>
      <c r="F921" s="28"/>
      <c r="G921" s="30"/>
      <c r="H921" s="21" t="str">
        <f t="shared" si="1"/>
        <v/>
      </c>
      <c r="I921" s="19"/>
    </row>
    <row r="922" ht="15.75" customHeight="1">
      <c r="A922" s="3"/>
      <c r="B922" s="19"/>
      <c r="C922" s="19"/>
      <c r="D922" s="19"/>
      <c r="E922" s="19"/>
      <c r="F922" s="28"/>
      <c r="G922" s="30"/>
      <c r="H922" s="21" t="str">
        <f t="shared" si="1"/>
        <v/>
      </c>
      <c r="I922" s="19"/>
    </row>
    <row r="923" ht="15.75" customHeight="1">
      <c r="A923" s="3"/>
      <c r="B923" s="19"/>
      <c r="C923" s="19"/>
      <c r="D923" s="19"/>
      <c r="E923" s="19"/>
      <c r="F923" s="28"/>
      <c r="G923" s="30"/>
      <c r="H923" s="21" t="str">
        <f t="shared" si="1"/>
        <v/>
      </c>
      <c r="I923" s="19"/>
    </row>
    <row r="924" ht="15.75" customHeight="1">
      <c r="A924" s="3"/>
      <c r="B924" s="19"/>
      <c r="C924" s="19"/>
      <c r="D924" s="19"/>
      <c r="E924" s="19"/>
      <c r="F924" s="28"/>
      <c r="G924" s="30"/>
      <c r="H924" s="21" t="str">
        <f t="shared" si="1"/>
        <v/>
      </c>
      <c r="I924" s="19"/>
    </row>
    <row r="925" ht="15.75" customHeight="1">
      <c r="A925" s="3"/>
      <c r="B925" s="19"/>
      <c r="C925" s="19"/>
      <c r="D925" s="19"/>
      <c r="E925" s="19"/>
      <c r="F925" s="28"/>
      <c r="G925" s="30"/>
      <c r="H925" s="21" t="str">
        <f t="shared" si="1"/>
        <v/>
      </c>
      <c r="I925" s="19"/>
    </row>
    <row r="926" ht="15.75" customHeight="1">
      <c r="A926" s="3"/>
      <c r="B926" s="19"/>
      <c r="C926" s="19"/>
      <c r="D926" s="19"/>
      <c r="E926" s="19"/>
      <c r="F926" s="28"/>
      <c r="G926" s="30"/>
      <c r="H926" s="21" t="str">
        <f t="shared" si="1"/>
        <v/>
      </c>
      <c r="I926" s="19"/>
    </row>
    <row r="927" ht="15.75" customHeight="1">
      <c r="A927" s="3"/>
      <c r="B927" s="19"/>
      <c r="C927" s="19"/>
      <c r="D927" s="19"/>
      <c r="E927" s="19"/>
      <c r="F927" s="28"/>
      <c r="G927" s="30"/>
      <c r="H927" s="21" t="str">
        <f t="shared" si="1"/>
        <v/>
      </c>
      <c r="I927" s="19"/>
    </row>
    <row r="928" ht="15.75" customHeight="1">
      <c r="A928" s="3"/>
      <c r="B928" s="19"/>
      <c r="C928" s="19"/>
      <c r="D928" s="19"/>
      <c r="E928" s="19"/>
      <c r="F928" s="28"/>
      <c r="G928" s="30"/>
      <c r="H928" s="21" t="str">
        <f t="shared" si="1"/>
        <v/>
      </c>
      <c r="I928" s="19"/>
    </row>
    <row r="929" ht="15.75" customHeight="1">
      <c r="A929" s="3"/>
      <c r="B929" s="19"/>
      <c r="C929" s="19"/>
      <c r="D929" s="19"/>
      <c r="E929" s="19"/>
      <c r="F929" s="28"/>
      <c r="G929" s="30"/>
      <c r="H929" s="21" t="str">
        <f t="shared" si="1"/>
        <v/>
      </c>
      <c r="I929" s="19"/>
    </row>
    <row r="930" ht="15.75" customHeight="1">
      <c r="A930" s="3"/>
      <c r="B930" s="19"/>
      <c r="C930" s="19"/>
      <c r="D930" s="19"/>
      <c r="E930" s="19"/>
      <c r="F930" s="28"/>
      <c r="G930" s="30"/>
      <c r="H930" s="21" t="str">
        <f t="shared" si="1"/>
        <v/>
      </c>
      <c r="I930" s="19"/>
    </row>
    <row r="931" ht="15.75" customHeight="1">
      <c r="A931" s="3"/>
      <c r="B931" s="19"/>
      <c r="C931" s="19"/>
      <c r="D931" s="19"/>
      <c r="E931" s="19"/>
      <c r="F931" s="28"/>
      <c r="G931" s="30"/>
      <c r="H931" s="21" t="str">
        <f t="shared" si="1"/>
        <v/>
      </c>
      <c r="I931" s="19"/>
    </row>
    <row r="932" ht="15.75" customHeight="1">
      <c r="A932" s="3"/>
      <c r="B932" s="19"/>
      <c r="C932" s="19"/>
      <c r="D932" s="19"/>
      <c r="E932" s="19"/>
      <c r="F932" s="28"/>
      <c r="G932" s="30"/>
      <c r="H932" s="21" t="str">
        <f t="shared" si="1"/>
        <v/>
      </c>
      <c r="I932" s="19"/>
    </row>
    <row r="933" ht="15.75" customHeight="1">
      <c r="A933" s="3"/>
      <c r="B933" s="19"/>
      <c r="C933" s="19"/>
      <c r="D933" s="19"/>
      <c r="E933" s="19"/>
      <c r="F933" s="28"/>
      <c r="G933" s="30"/>
      <c r="H933" s="21" t="str">
        <f t="shared" si="1"/>
        <v/>
      </c>
      <c r="I933" s="19"/>
    </row>
    <row r="934" ht="15.75" customHeight="1">
      <c r="A934" s="3"/>
      <c r="B934" s="19"/>
      <c r="C934" s="19"/>
      <c r="D934" s="19"/>
      <c r="E934" s="19"/>
      <c r="F934" s="28"/>
      <c r="G934" s="30"/>
      <c r="H934" s="21" t="str">
        <f t="shared" si="1"/>
        <v/>
      </c>
      <c r="I934" s="19"/>
    </row>
    <row r="935" ht="15.75" customHeight="1">
      <c r="A935" s="3"/>
      <c r="B935" s="19"/>
      <c r="C935" s="19"/>
      <c r="D935" s="19"/>
      <c r="E935" s="19"/>
      <c r="F935" s="28"/>
      <c r="G935" s="30"/>
      <c r="H935" s="21" t="str">
        <f t="shared" si="1"/>
        <v/>
      </c>
      <c r="I935" s="19"/>
    </row>
    <row r="936" ht="15.75" customHeight="1">
      <c r="A936" s="3"/>
      <c r="B936" s="19"/>
      <c r="C936" s="19"/>
      <c r="D936" s="19"/>
      <c r="E936" s="19"/>
      <c r="F936" s="28"/>
      <c r="G936" s="30"/>
      <c r="H936" s="21" t="str">
        <f t="shared" si="1"/>
        <v/>
      </c>
      <c r="I936" s="19"/>
    </row>
    <row r="937" ht="15.75" customHeight="1">
      <c r="A937" s="3"/>
      <c r="B937" s="19"/>
      <c r="C937" s="19"/>
      <c r="D937" s="19"/>
      <c r="E937" s="19"/>
      <c r="F937" s="28"/>
      <c r="G937" s="30"/>
      <c r="H937" s="21" t="str">
        <f t="shared" si="1"/>
        <v/>
      </c>
      <c r="I937" s="19"/>
    </row>
    <row r="938" ht="15.75" customHeight="1">
      <c r="A938" s="3"/>
      <c r="B938" s="19"/>
      <c r="C938" s="19"/>
      <c r="D938" s="19"/>
      <c r="E938" s="19"/>
      <c r="F938" s="28"/>
      <c r="G938" s="30"/>
      <c r="H938" s="21" t="str">
        <f t="shared" si="1"/>
        <v/>
      </c>
      <c r="I938" s="19"/>
    </row>
    <row r="939" ht="15.75" customHeight="1">
      <c r="A939" s="3"/>
      <c r="B939" s="19"/>
      <c r="C939" s="19"/>
      <c r="D939" s="19"/>
      <c r="E939" s="19"/>
      <c r="F939" s="28"/>
      <c r="G939" s="30"/>
      <c r="H939" s="21" t="str">
        <f t="shared" si="1"/>
        <v/>
      </c>
      <c r="I939" s="19"/>
    </row>
    <row r="940" ht="15.75" customHeight="1">
      <c r="A940" s="3"/>
      <c r="B940" s="19"/>
      <c r="C940" s="19"/>
      <c r="D940" s="19"/>
      <c r="E940" s="19"/>
      <c r="F940" s="28"/>
      <c r="G940" s="30"/>
      <c r="H940" s="21" t="str">
        <f t="shared" si="1"/>
        <v/>
      </c>
      <c r="I940" s="19"/>
    </row>
    <row r="941" ht="15.75" customHeight="1">
      <c r="A941" s="3"/>
      <c r="B941" s="19"/>
      <c r="C941" s="19"/>
      <c r="D941" s="19"/>
      <c r="E941" s="19"/>
      <c r="F941" s="28"/>
      <c r="G941" s="30"/>
      <c r="H941" s="21" t="str">
        <f t="shared" si="1"/>
        <v/>
      </c>
      <c r="I941" s="19"/>
    </row>
    <row r="942" ht="15.75" customHeight="1">
      <c r="A942" s="3"/>
      <c r="B942" s="19"/>
      <c r="C942" s="19"/>
      <c r="D942" s="19"/>
      <c r="E942" s="19"/>
      <c r="F942" s="28"/>
      <c r="G942" s="30"/>
      <c r="H942" s="21" t="str">
        <f t="shared" si="1"/>
        <v/>
      </c>
      <c r="I942" s="19"/>
    </row>
    <row r="943" ht="15.75" customHeight="1">
      <c r="A943" s="3"/>
      <c r="B943" s="19"/>
      <c r="C943" s="19"/>
      <c r="D943" s="19"/>
      <c r="E943" s="19"/>
      <c r="F943" s="28"/>
      <c r="G943" s="30"/>
      <c r="H943" s="21" t="str">
        <f t="shared" si="1"/>
        <v/>
      </c>
      <c r="I943" s="19"/>
    </row>
    <row r="944" ht="15.75" customHeight="1">
      <c r="A944" s="3"/>
      <c r="B944" s="19"/>
      <c r="C944" s="19"/>
      <c r="D944" s="19"/>
      <c r="E944" s="19"/>
      <c r="F944" s="28"/>
      <c r="G944" s="30"/>
      <c r="H944" s="21" t="str">
        <f t="shared" si="1"/>
        <v/>
      </c>
      <c r="I944" s="19"/>
    </row>
    <row r="945" ht="15.75" customHeight="1">
      <c r="A945" s="3"/>
      <c r="B945" s="19"/>
      <c r="C945" s="19"/>
      <c r="D945" s="19"/>
      <c r="E945" s="19"/>
      <c r="F945" s="28"/>
      <c r="G945" s="30"/>
      <c r="H945" s="21" t="str">
        <f t="shared" si="1"/>
        <v/>
      </c>
      <c r="I945" s="19"/>
    </row>
    <row r="946" ht="15.75" customHeight="1">
      <c r="A946" s="3"/>
      <c r="B946" s="19"/>
      <c r="C946" s="19"/>
      <c r="D946" s="19"/>
      <c r="E946" s="19"/>
      <c r="F946" s="28"/>
      <c r="G946" s="30"/>
      <c r="H946" s="21" t="str">
        <f t="shared" si="1"/>
        <v/>
      </c>
      <c r="I946" s="19"/>
    </row>
    <row r="947" ht="15.75" customHeight="1">
      <c r="A947" s="3"/>
      <c r="B947" s="19"/>
      <c r="C947" s="19"/>
      <c r="D947" s="19"/>
      <c r="E947" s="19"/>
      <c r="F947" s="28"/>
      <c r="G947" s="30"/>
      <c r="H947" s="21" t="str">
        <f t="shared" si="1"/>
        <v/>
      </c>
      <c r="I947" s="19"/>
    </row>
    <row r="948" ht="15.75" customHeight="1">
      <c r="A948" s="3"/>
      <c r="B948" s="19"/>
      <c r="C948" s="19"/>
      <c r="D948" s="19"/>
      <c r="E948" s="19"/>
      <c r="F948" s="28"/>
      <c r="G948" s="30"/>
      <c r="H948" s="21" t="str">
        <f t="shared" si="1"/>
        <v/>
      </c>
      <c r="I948" s="19"/>
    </row>
    <row r="949" ht="15.75" customHeight="1">
      <c r="A949" s="3"/>
      <c r="B949" s="19"/>
      <c r="C949" s="19"/>
      <c r="D949" s="19"/>
      <c r="E949" s="19"/>
      <c r="F949" s="28"/>
      <c r="G949" s="30"/>
      <c r="H949" s="21" t="str">
        <f t="shared" si="1"/>
        <v/>
      </c>
      <c r="I949" s="19"/>
    </row>
    <row r="950" ht="15.75" customHeight="1">
      <c r="A950" s="3"/>
      <c r="B950" s="19"/>
      <c r="C950" s="19"/>
      <c r="D950" s="19"/>
      <c r="E950" s="19"/>
      <c r="F950" s="28"/>
      <c r="G950" s="30"/>
      <c r="H950" s="21" t="str">
        <f t="shared" si="1"/>
        <v/>
      </c>
      <c r="I950" s="19"/>
    </row>
    <row r="951" ht="15.75" customHeight="1">
      <c r="A951" s="3"/>
      <c r="B951" s="19"/>
      <c r="C951" s="19"/>
      <c r="D951" s="19"/>
      <c r="E951" s="19"/>
      <c r="F951" s="28"/>
      <c r="G951" s="30"/>
      <c r="H951" s="21" t="str">
        <f t="shared" si="1"/>
        <v/>
      </c>
      <c r="I951" s="19"/>
    </row>
    <row r="952" ht="15.75" customHeight="1">
      <c r="A952" s="3"/>
      <c r="B952" s="19"/>
      <c r="C952" s="19"/>
      <c r="D952" s="19"/>
      <c r="E952" s="19"/>
      <c r="F952" s="28"/>
      <c r="G952" s="30"/>
      <c r="H952" s="21" t="str">
        <f t="shared" si="1"/>
        <v/>
      </c>
      <c r="I952" s="19"/>
    </row>
    <row r="953" ht="15.75" customHeight="1">
      <c r="A953" s="3"/>
      <c r="B953" s="19"/>
      <c r="C953" s="19"/>
      <c r="D953" s="19"/>
      <c r="E953" s="19"/>
      <c r="F953" s="28"/>
      <c r="G953" s="30"/>
      <c r="H953" s="21" t="str">
        <f t="shared" si="1"/>
        <v/>
      </c>
      <c r="I953" s="19"/>
    </row>
    <row r="954" ht="15.75" customHeight="1">
      <c r="A954" s="3"/>
      <c r="B954" s="19"/>
      <c r="C954" s="19"/>
      <c r="D954" s="19"/>
      <c r="E954" s="19"/>
      <c r="F954" s="28"/>
      <c r="G954" s="30"/>
      <c r="H954" s="21" t="str">
        <f t="shared" si="1"/>
        <v/>
      </c>
      <c r="I954" s="19"/>
    </row>
    <row r="955" ht="15.75" customHeight="1">
      <c r="A955" s="3"/>
      <c r="B955" s="19"/>
      <c r="C955" s="19"/>
      <c r="D955" s="19"/>
      <c r="E955" s="19"/>
      <c r="F955" s="28"/>
      <c r="G955" s="30"/>
      <c r="H955" s="21" t="str">
        <f t="shared" si="1"/>
        <v/>
      </c>
      <c r="I955" s="19"/>
    </row>
    <row r="956" ht="15.75" customHeight="1">
      <c r="A956" s="3"/>
      <c r="B956" s="19"/>
      <c r="C956" s="19"/>
      <c r="D956" s="19"/>
      <c r="E956" s="19"/>
      <c r="F956" s="28"/>
      <c r="G956" s="30"/>
      <c r="H956" s="21" t="str">
        <f t="shared" si="1"/>
        <v/>
      </c>
      <c r="I956" s="19"/>
    </row>
    <row r="957" ht="15.75" customHeight="1">
      <c r="A957" s="3"/>
      <c r="B957" s="19"/>
      <c r="C957" s="19"/>
      <c r="D957" s="19"/>
      <c r="E957" s="19"/>
      <c r="F957" s="28"/>
      <c r="G957" s="30"/>
      <c r="H957" s="21" t="str">
        <f t="shared" si="1"/>
        <v/>
      </c>
      <c r="I957" s="19"/>
    </row>
    <row r="958" ht="15.75" customHeight="1">
      <c r="A958" s="3"/>
      <c r="B958" s="19"/>
      <c r="C958" s="19"/>
      <c r="D958" s="19"/>
      <c r="E958" s="19"/>
      <c r="F958" s="28"/>
      <c r="G958" s="30"/>
      <c r="H958" s="21" t="str">
        <f t="shared" si="1"/>
        <v/>
      </c>
      <c r="I958" s="19"/>
    </row>
    <row r="959" ht="15.75" customHeight="1">
      <c r="A959" s="3"/>
      <c r="B959" s="19"/>
      <c r="C959" s="19"/>
      <c r="D959" s="19"/>
      <c r="E959" s="19"/>
      <c r="F959" s="28"/>
      <c r="G959" s="30"/>
      <c r="H959" s="21" t="str">
        <f t="shared" si="1"/>
        <v/>
      </c>
      <c r="I959" s="19"/>
    </row>
    <row r="960" ht="15.75" customHeight="1">
      <c r="A960" s="3"/>
      <c r="B960" s="19"/>
      <c r="C960" s="19"/>
      <c r="D960" s="19"/>
      <c r="E960" s="19"/>
      <c r="F960" s="28"/>
      <c r="G960" s="30"/>
      <c r="H960" s="21" t="str">
        <f t="shared" si="1"/>
        <v/>
      </c>
      <c r="I960" s="19"/>
    </row>
    <row r="961" ht="15.75" customHeight="1">
      <c r="A961" s="3"/>
      <c r="B961" s="19"/>
      <c r="C961" s="19"/>
      <c r="D961" s="19"/>
      <c r="E961" s="19"/>
      <c r="F961" s="28"/>
      <c r="G961" s="30"/>
      <c r="H961" s="21" t="str">
        <f t="shared" si="1"/>
        <v/>
      </c>
      <c r="I961" s="19"/>
    </row>
    <row r="962" ht="15.75" customHeight="1">
      <c r="A962" s="3"/>
      <c r="B962" s="19"/>
      <c r="C962" s="19"/>
      <c r="D962" s="19"/>
      <c r="E962" s="19"/>
      <c r="F962" s="28"/>
      <c r="G962" s="30"/>
      <c r="H962" s="21" t="str">
        <f t="shared" si="1"/>
        <v/>
      </c>
      <c r="I962" s="19"/>
    </row>
    <row r="963" ht="15.75" customHeight="1">
      <c r="A963" s="3"/>
      <c r="B963" s="19"/>
      <c r="C963" s="19"/>
      <c r="D963" s="19"/>
      <c r="E963" s="19"/>
      <c r="F963" s="28"/>
      <c r="G963" s="30"/>
      <c r="H963" s="21" t="str">
        <f t="shared" si="1"/>
        <v/>
      </c>
      <c r="I963" s="19"/>
    </row>
    <row r="964" ht="15.75" customHeight="1">
      <c r="A964" s="3"/>
      <c r="B964" s="19"/>
      <c r="C964" s="19"/>
      <c r="D964" s="19"/>
      <c r="E964" s="19"/>
      <c r="F964" s="28"/>
      <c r="G964" s="30"/>
      <c r="H964" s="21" t="str">
        <f t="shared" si="1"/>
        <v/>
      </c>
      <c r="I964" s="19"/>
    </row>
    <row r="965" ht="15.75" customHeight="1">
      <c r="A965" s="3"/>
      <c r="B965" s="19"/>
      <c r="C965" s="19"/>
      <c r="D965" s="19"/>
      <c r="E965" s="19"/>
      <c r="F965" s="28"/>
      <c r="G965" s="30"/>
      <c r="H965" s="21" t="str">
        <f t="shared" si="1"/>
        <v/>
      </c>
      <c r="I965" s="19"/>
    </row>
    <row r="966" ht="15.75" customHeight="1">
      <c r="A966" s="3"/>
      <c r="B966" s="19"/>
      <c r="C966" s="19"/>
      <c r="D966" s="19"/>
      <c r="E966" s="19"/>
      <c r="F966" s="28"/>
      <c r="G966" s="30"/>
      <c r="H966" s="21" t="str">
        <f t="shared" si="1"/>
        <v/>
      </c>
      <c r="I966" s="19"/>
    </row>
    <row r="967" ht="15.75" customHeight="1">
      <c r="A967" s="3"/>
      <c r="B967" s="19"/>
      <c r="C967" s="19"/>
      <c r="D967" s="19"/>
      <c r="E967" s="19"/>
      <c r="F967" s="28"/>
      <c r="G967" s="30"/>
      <c r="H967" s="21" t="str">
        <f t="shared" si="1"/>
        <v/>
      </c>
      <c r="I967" s="19"/>
    </row>
    <row r="968" ht="15.75" customHeight="1">
      <c r="A968" s="3"/>
      <c r="B968" s="19"/>
      <c r="C968" s="19"/>
      <c r="D968" s="19"/>
      <c r="E968" s="19"/>
      <c r="F968" s="28"/>
      <c r="G968" s="30"/>
      <c r="H968" s="21" t="str">
        <f t="shared" si="1"/>
        <v/>
      </c>
      <c r="I968" s="19"/>
    </row>
    <row r="969" ht="15.75" customHeight="1">
      <c r="A969" s="3"/>
      <c r="B969" s="19"/>
      <c r="C969" s="19"/>
      <c r="D969" s="19"/>
      <c r="E969" s="19"/>
      <c r="F969" s="28"/>
      <c r="G969" s="30"/>
      <c r="H969" s="21" t="str">
        <f t="shared" si="1"/>
        <v/>
      </c>
      <c r="I969" s="19"/>
    </row>
    <row r="970" ht="15.75" customHeight="1">
      <c r="A970" s="3"/>
      <c r="B970" s="19"/>
      <c r="C970" s="19"/>
      <c r="D970" s="19"/>
      <c r="E970" s="19"/>
      <c r="F970" s="28"/>
      <c r="G970" s="30"/>
      <c r="H970" s="21" t="str">
        <f t="shared" si="1"/>
        <v/>
      </c>
      <c r="I970" s="19"/>
    </row>
    <row r="971" ht="15.75" customHeight="1">
      <c r="A971" s="3"/>
      <c r="B971" s="19"/>
      <c r="C971" s="19"/>
      <c r="D971" s="19"/>
      <c r="E971" s="19"/>
      <c r="F971" s="28"/>
      <c r="G971" s="30"/>
      <c r="H971" s="21" t="str">
        <f t="shared" si="1"/>
        <v/>
      </c>
      <c r="I971" s="19"/>
    </row>
    <row r="972" ht="15.75" customHeight="1">
      <c r="A972" s="3"/>
      <c r="B972" s="19"/>
      <c r="C972" s="19"/>
      <c r="D972" s="19"/>
      <c r="E972" s="19"/>
      <c r="F972" s="28"/>
      <c r="G972" s="30"/>
      <c r="H972" s="21" t="str">
        <f t="shared" si="1"/>
        <v/>
      </c>
      <c r="I972" s="19"/>
    </row>
    <row r="973" ht="15.75" customHeight="1">
      <c r="A973" s="3"/>
      <c r="B973" s="19"/>
      <c r="C973" s="19"/>
      <c r="D973" s="19"/>
      <c r="E973" s="19"/>
      <c r="F973" s="28"/>
      <c r="G973" s="30"/>
      <c r="H973" s="21" t="str">
        <f t="shared" si="1"/>
        <v/>
      </c>
      <c r="I973" s="19"/>
    </row>
    <row r="974" ht="15.75" customHeight="1">
      <c r="A974" s="3"/>
      <c r="B974" s="19"/>
      <c r="C974" s="19"/>
      <c r="D974" s="19"/>
      <c r="E974" s="19"/>
      <c r="F974" s="28"/>
      <c r="G974" s="30"/>
      <c r="H974" s="21" t="str">
        <f t="shared" si="1"/>
        <v/>
      </c>
      <c r="I974" s="19"/>
    </row>
    <row r="975" ht="15.75" customHeight="1">
      <c r="A975" s="3"/>
      <c r="B975" s="19"/>
      <c r="C975" s="19"/>
      <c r="D975" s="19"/>
      <c r="E975" s="19"/>
      <c r="F975" s="28"/>
      <c r="G975" s="30"/>
      <c r="H975" s="21" t="str">
        <f t="shared" si="1"/>
        <v/>
      </c>
      <c r="I975" s="19"/>
    </row>
    <row r="976" ht="15.75" customHeight="1">
      <c r="A976" s="3"/>
      <c r="B976" s="19"/>
      <c r="C976" s="19"/>
      <c r="D976" s="19"/>
      <c r="E976" s="19"/>
      <c r="F976" s="28"/>
      <c r="G976" s="30"/>
      <c r="H976" s="21" t="str">
        <f t="shared" si="1"/>
        <v/>
      </c>
      <c r="I976" s="19"/>
    </row>
    <row r="977" ht="15.75" customHeight="1">
      <c r="A977" s="3"/>
      <c r="B977" s="19"/>
      <c r="C977" s="19"/>
      <c r="D977" s="19"/>
      <c r="E977" s="19"/>
      <c r="F977" s="28"/>
      <c r="G977" s="30"/>
      <c r="H977" s="21" t="str">
        <f t="shared" si="1"/>
        <v/>
      </c>
      <c r="I977" s="19"/>
    </row>
    <row r="978" ht="15.75" customHeight="1">
      <c r="A978" s="3"/>
      <c r="B978" s="19"/>
      <c r="C978" s="19"/>
      <c r="D978" s="19"/>
      <c r="E978" s="19"/>
      <c r="F978" s="28"/>
      <c r="G978" s="30"/>
      <c r="H978" s="21" t="str">
        <f t="shared" si="1"/>
        <v/>
      </c>
      <c r="I978" s="19"/>
    </row>
    <row r="979" ht="15.75" customHeight="1">
      <c r="A979" s="3"/>
      <c r="B979" s="19"/>
      <c r="C979" s="19"/>
      <c r="D979" s="19"/>
      <c r="E979" s="19"/>
      <c r="F979" s="28"/>
      <c r="G979" s="30"/>
      <c r="H979" s="21" t="str">
        <f t="shared" si="1"/>
        <v/>
      </c>
      <c r="I979" s="19"/>
    </row>
    <row r="980" ht="15.75" customHeight="1">
      <c r="A980" s="3"/>
      <c r="B980" s="19"/>
      <c r="C980" s="19"/>
      <c r="D980" s="19"/>
      <c r="E980" s="19"/>
      <c r="F980" s="28"/>
      <c r="G980" s="30"/>
      <c r="H980" s="21" t="str">
        <f t="shared" si="1"/>
        <v/>
      </c>
      <c r="I980" s="19"/>
    </row>
    <row r="981" ht="15.75" customHeight="1">
      <c r="A981" s="3"/>
      <c r="B981" s="19"/>
      <c r="C981" s="19"/>
      <c r="D981" s="19"/>
      <c r="E981" s="19"/>
      <c r="F981" s="28"/>
      <c r="G981" s="30"/>
      <c r="H981" s="21" t="str">
        <f t="shared" si="1"/>
        <v/>
      </c>
      <c r="I981" s="19"/>
    </row>
    <row r="982" ht="15.75" customHeight="1">
      <c r="A982" s="3"/>
      <c r="B982" s="19"/>
      <c r="C982" s="19"/>
      <c r="D982" s="19"/>
      <c r="E982" s="19"/>
      <c r="F982" s="28"/>
      <c r="G982" s="30"/>
      <c r="H982" s="21" t="str">
        <f t="shared" si="1"/>
        <v/>
      </c>
      <c r="I982" s="19"/>
    </row>
    <row r="983" ht="15.75" customHeight="1">
      <c r="A983" s="3"/>
      <c r="B983" s="19"/>
      <c r="C983" s="19"/>
      <c r="D983" s="19"/>
      <c r="E983" s="19"/>
      <c r="F983" s="28"/>
      <c r="G983" s="30"/>
      <c r="H983" s="21" t="str">
        <f t="shared" si="1"/>
        <v/>
      </c>
      <c r="I983" s="19"/>
    </row>
    <row r="984" ht="15.75" customHeight="1">
      <c r="A984" s="3"/>
      <c r="B984" s="19"/>
      <c r="C984" s="19"/>
      <c r="D984" s="19"/>
      <c r="E984" s="19"/>
      <c r="F984" s="28"/>
      <c r="G984" s="30"/>
      <c r="H984" s="21" t="str">
        <f t="shared" si="1"/>
        <v/>
      </c>
      <c r="I984" s="19"/>
    </row>
    <row r="985" ht="15.75" customHeight="1">
      <c r="A985" s="3"/>
      <c r="B985" s="19"/>
      <c r="C985" s="19"/>
      <c r="D985" s="19"/>
      <c r="E985" s="19"/>
      <c r="F985" s="28"/>
      <c r="G985" s="30"/>
      <c r="H985" s="21" t="str">
        <f t="shared" si="1"/>
        <v/>
      </c>
      <c r="I985" s="19"/>
    </row>
    <row r="986" ht="15.75" customHeight="1">
      <c r="A986" s="3"/>
      <c r="B986" s="19"/>
      <c r="C986" s="19"/>
      <c r="D986" s="19"/>
      <c r="E986" s="19"/>
      <c r="F986" s="28"/>
      <c r="G986" s="30"/>
      <c r="H986" s="21" t="str">
        <f t="shared" si="1"/>
        <v/>
      </c>
      <c r="I986" s="19"/>
    </row>
    <row r="987" ht="15.75" customHeight="1">
      <c r="A987" s="3"/>
      <c r="B987" s="19"/>
      <c r="C987" s="19"/>
      <c r="D987" s="19"/>
      <c r="E987" s="19"/>
      <c r="F987" s="28"/>
      <c r="G987" s="30"/>
      <c r="H987" s="21" t="str">
        <f t="shared" si="1"/>
        <v/>
      </c>
      <c r="I987" s="19"/>
    </row>
    <row r="988" ht="15.75" customHeight="1">
      <c r="A988" s="3"/>
      <c r="B988" s="19"/>
      <c r="C988" s="19"/>
      <c r="D988" s="19"/>
      <c r="E988" s="19"/>
      <c r="F988" s="28"/>
      <c r="G988" s="30"/>
      <c r="H988" s="21" t="str">
        <f t="shared" si="1"/>
        <v/>
      </c>
      <c r="I988" s="19"/>
    </row>
    <row r="989" ht="15.75" customHeight="1">
      <c r="A989" s="3"/>
      <c r="B989" s="19"/>
      <c r="C989" s="19"/>
      <c r="D989" s="19"/>
      <c r="E989" s="19"/>
      <c r="F989" s="28"/>
      <c r="G989" s="30"/>
      <c r="H989" s="21" t="str">
        <f t="shared" si="1"/>
        <v/>
      </c>
      <c r="I989" s="19"/>
    </row>
    <row r="990" ht="15.75" customHeight="1">
      <c r="A990" s="3"/>
      <c r="B990" s="19"/>
      <c r="C990" s="19"/>
      <c r="D990" s="19"/>
      <c r="E990" s="19"/>
      <c r="F990" s="28"/>
      <c r="G990" s="30"/>
      <c r="H990" s="21" t="str">
        <f t="shared" si="1"/>
        <v/>
      </c>
      <c r="I990" s="19"/>
    </row>
    <row r="991" ht="15.75" customHeight="1">
      <c r="A991" s="3"/>
      <c r="B991" s="19"/>
      <c r="C991" s="19"/>
      <c r="D991" s="19"/>
      <c r="E991" s="19"/>
      <c r="F991" s="28"/>
      <c r="G991" s="30"/>
      <c r="H991" s="21" t="str">
        <f t="shared" si="1"/>
        <v/>
      </c>
      <c r="I991" s="19"/>
    </row>
    <row r="992" ht="15.75" customHeight="1">
      <c r="A992" s="3"/>
      <c r="B992" s="19"/>
      <c r="C992" s="19"/>
      <c r="D992" s="19"/>
      <c r="E992" s="19"/>
      <c r="F992" s="28"/>
      <c r="G992" s="30"/>
      <c r="H992" s="21" t="str">
        <f t="shared" si="1"/>
        <v/>
      </c>
      <c r="I992" s="19"/>
    </row>
    <row r="993" ht="15.75" customHeight="1">
      <c r="A993" s="3"/>
      <c r="B993" s="19"/>
      <c r="C993" s="19"/>
      <c r="D993" s="19"/>
      <c r="E993" s="19"/>
      <c r="F993" s="28"/>
      <c r="G993" s="30"/>
      <c r="H993" s="21" t="str">
        <f t="shared" si="1"/>
        <v/>
      </c>
      <c r="I993" s="19"/>
    </row>
    <row r="994" ht="15.75" customHeight="1">
      <c r="A994" s="3"/>
      <c r="B994" s="19"/>
      <c r="C994" s="19"/>
      <c r="D994" s="19"/>
      <c r="E994" s="19"/>
      <c r="F994" s="28"/>
      <c r="G994" s="30"/>
      <c r="H994" s="21" t="str">
        <f t="shared" si="1"/>
        <v/>
      </c>
      <c r="I994" s="19"/>
    </row>
    <row r="995" ht="15.75" customHeight="1">
      <c r="A995" s="3"/>
      <c r="B995" s="19"/>
      <c r="C995" s="19"/>
      <c r="D995" s="19"/>
      <c r="E995" s="19"/>
      <c r="F995" s="28"/>
      <c r="G995" s="30"/>
      <c r="H995" s="21" t="str">
        <f t="shared" si="1"/>
        <v/>
      </c>
      <c r="I995" s="19"/>
    </row>
    <row r="996" ht="15.75" customHeight="1">
      <c r="A996" s="3"/>
      <c r="B996" s="19"/>
      <c r="C996" s="19"/>
      <c r="D996" s="19"/>
      <c r="E996" s="19"/>
      <c r="F996" s="28"/>
      <c r="G996" s="30"/>
      <c r="H996" s="21" t="str">
        <f t="shared" si="1"/>
        <v/>
      </c>
      <c r="I996" s="19"/>
    </row>
    <row r="997" ht="15.75" customHeight="1">
      <c r="A997" s="3"/>
      <c r="B997" s="19"/>
      <c r="C997" s="19"/>
      <c r="D997" s="19"/>
      <c r="E997" s="19"/>
      <c r="F997" s="28"/>
      <c r="G997" s="30"/>
      <c r="H997" s="21" t="str">
        <f t="shared" si="1"/>
        <v/>
      </c>
      <c r="I997" s="19"/>
    </row>
    <row r="998" ht="15.75" customHeight="1">
      <c r="A998" s="3"/>
      <c r="B998" s="19"/>
      <c r="C998" s="19"/>
      <c r="D998" s="19"/>
      <c r="E998" s="19"/>
      <c r="F998" s="28"/>
      <c r="G998" s="30"/>
      <c r="H998" s="21" t="str">
        <f t="shared" si="1"/>
        <v/>
      </c>
      <c r="I998" s="19"/>
    </row>
    <row r="999" ht="15.75" customHeight="1">
      <c r="A999" s="3"/>
      <c r="B999" s="19"/>
      <c r="C999" s="19"/>
      <c r="D999" s="19"/>
      <c r="E999" s="19"/>
      <c r="F999" s="28"/>
      <c r="G999" s="30"/>
      <c r="H999" s="21" t="str">
        <f t="shared" si="1"/>
        <v/>
      </c>
      <c r="I999" s="19"/>
    </row>
    <row r="1000" ht="15.75" customHeight="1">
      <c r="A1000" s="3"/>
      <c r="B1000" s="19"/>
      <c r="C1000" s="19"/>
      <c r="D1000" s="19"/>
      <c r="E1000" s="19"/>
      <c r="F1000" s="28"/>
      <c r="G1000" s="30"/>
      <c r="H1000" s="21" t="str">
        <f t="shared" si="1"/>
        <v/>
      </c>
      <c r="I1000" s="19"/>
    </row>
    <row r="1001" ht="15.75" customHeight="1">
      <c r="A1001" s="3"/>
      <c r="B1001" s="19"/>
      <c r="C1001" s="19"/>
      <c r="D1001" s="19"/>
      <c r="E1001" s="19"/>
      <c r="F1001" s="28"/>
      <c r="G1001" s="30"/>
      <c r="H1001" s="21" t="str">
        <f t="shared" si="1"/>
        <v/>
      </c>
      <c r="I1001" s="19"/>
    </row>
    <row r="1002" ht="15.75" customHeight="1">
      <c r="A1002" s="3"/>
      <c r="B1002" s="19"/>
      <c r="C1002" s="19"/>
      <c r="D1002" s="19"/>
      <c r="E1002" s="19"/>
      <c r="F1002" s="28"/>
      <c r="G1002" s="30"/>
      <c r="H1002" s="21" t="str">
        <f t="shared" si="1"/>
        <v/>
      </c>
      <c r="I1002" s="19"/>
    </row>
    <row r="1003" ht="15.75" customHeight="1">
      <c r="A1003" s="3"/>
      <c r="B1003" s="19"/>
      <c r="C1003" s="19"/>
      <c r="D1003" s="19"/>
      <c r="E1003" s="19"/>
      <c r="F1003" s="28"/>
      <c r="G1003" s="30"/>
      <c r="H1003" s="21" t="str">
        <f t="shared" si="1"/>
        <v/>
      </c>
      <c r="I1003" s="19"/>
    </row>
    <row r="1004" ht="15.75" customHeight="1">
      <c r="A1004" s="3"/>
      <c r="B1004" s="19"/>
      <c r="C1004" s="19"/>
      <c r="D1004" s="19"/>
      <c r="E1004" s="19"/>
      <c r="F1004" s="28"/>
      <c r="G1004" s="30"/>
      <c r="H1004" s="21" t="str">
        <f t="shared" si="1"/>
        <v/>
      </c>
      <c r="I1004" s="19"/>
    </row>
    <row r="1005" ht="15.75" customHeight="1">
      <c r="A1005" s="3"/>
      <c r="B1005" s="19"/>
      <c r="C1005" s="19"/>
      <c r="D1005" s="19"/>
      <c r="E1005" s="19"/>
      <c r="F1005" s="28"/>
      <c r="G1005" s="30"/>
      <c r="H1005" s="21" t="str">
        <f t="shared" si="1"/>
        <v/>
      </c>
      <c r="I1005" s="19"/>
    </row>
    <row r="1006" ht="15.75" customHeight="1">
      <c r="A1006" s="3"/>
      <c r="B1006" s="19"/>
      <c r="C1006" s="19"/>
      <c r="D1006" s="19"/>
      <c r="E1006" s="19"/>
      <c r="F1006" s="28"/>
      <c r="G1006" s="30"/>
      <c r="H1006" s="21" t="str">
        <f t="shared" si="1"/>
        <v/>
      </c>
      <c r="I1006" s="19"/>
    </row>
    <row r="1007" ht="15.75" customHeight="1">
      <c r="A1007" s="3"/>
      <c r="B1007" s="19"/>
      <c r="C1007" s="19"/>
      <c r="D1007" s="19"/>
      <c r="E1007" s="19"/>
      <c r="F1007" s="28"/>
      <c r="G1007" s="30"/>
      <c r="H1007" s="21" t="str">
        <f t="shared" si="1"/>
        <v/>
      </c>
      <c r="I1007" s="19"/>
    </row>
    <row r="1008" ht="15.75" customHeight="1">
      <c r="A1008" s="3"/>
      <c r="B1008" s="19"/>
      <c r="C1008" s="19"/>
      <c r="D1008" s="19"/>
      <c r="E1008" s="19"/>
      <c r="F1008" s="28"/>
      <c r="G1008" s="30"/>
      <c r="H1008" s="21" t="str">
        <f t="shared" si="1"/>
        <v/>
      </c>
      <c r="I1008" s="19"/>
    </row>
    <row r="1009" ht="15.75" customHeight="1">
      <c r="A1009" s="3"/>
      <c r="B1009" s="19"/>
      <c r="C1009" s="19"/>
      <c r="D1009" s="19"/>
      <c r="E1009" s="19"/>
      <c r="F1009" s="28"/>
      <c r="G1009" s="30"/>
      <c r="H1009" s="21" t="str">
        <f t="shared" si="1"/>
        <v/>
      </c>
      <c r="I1009" s="19"/>
    </row>
    <row r="1010" ht="15.75" customHeight="1">
      <c r="A1010" s="3"/>
      <c r="B1010" s="19"/>
      <c r="C1010" s="19"/>
      <c r="D1010" s="19"/>
      <c r="E1010" s="19"/>
      <c r="F1010" s="28"/>
      <c r="G1010" s="30"/>
      <c r="H1010" s="21" t="str">
        <f t="shared" si="1"/>
        <v/>
      </c>
      <c r="I1010" s="19"/>
    </row>
    <row r="1011" ht="15.75" customHeight="1">
      <c r="A1011" s="3"/>
      <c r="B1011" s="19"/>
      <c r="C1011" s="19"/>
      <c r="D1011" s="19"/>
      <c r="E1011" s="19"/>
      <c r="F1011" s="28"/>
      <c r="G1011" s="30"/>
      <c r="H1011" s="21" t="str">
        <f t="shared" si="1"/>
        <v/>
      </c>
      <c r="I1011" s="19"/>
    </row>
    <row r="1012" ht="15.75" customHeight="1">
      <c r="A1012" s="3"/>
      <c r="B1012" s="19"/>
      <c r="C1012" s="19"/>
      <c r="D1012" s="19"/>
      <c r="E1012" s="19"/>
      <c r="F1012" s="28"/>
      <c r="G1012" s="30"/>
      <c r="H1012" s="21" t="str">
        <f t="shared" si="1"/>
        <v/>
      </c>
      <c r="I1012" s="19"/>
    </row>
    <row r="1013" ht="15.75" customHeight="1">
      <c r="A1013" s="3"/>
      <c r="B1013" s="19"/>
      <c r="C1013" s="19"/>
      <c r="D1013" s="19"/>
      <c r="E1013" s="19"/>
      <c r="F1013" s="28"/>
      <c r="G1013" s="30"/>
      <c r="H1013" s="21" t="str">
        <f t="shared" si="1"/>
        <v/>
      </c>
      <c r="I1013" s="19"/>
    </row>
    <row r="1014" ht="15.75" customHeight="1">
      <c r="A1014" s="3"/>
      <c r="B1014" s="19"/>
      <c r="C1014" s="19"/>
      <c r="D1014" s="19"/>
      <c r="E1014" s="19"/>
      <c r="F1014" s="28"/>
      <c r="G1014" s="30"/>
      <c r="H1014" s="21" t="str">
        <f t="shared" si="1"/>
        <v/>
      </c>
      <c r="I1014" s="19"/>
    </row>
    <row r="1015" ht="15.75" customHeight="1">
      <c r="A1015" s="3"/>
      <c r="B1015" s="19"/>
      <c r="C1015" s="19"/>
      <c r="D1015" s="19"/>
      <c r="E1015" s="19"/>
      <c r="F1015" s="28"/>
      <c r="G1015" s="30"/>
      <c r="H1015" s="21" t="str">
        <f t="shared" si="1"/>
        <v/>
      </c>
      <c r="I1015" s="19"/>
    </row>
    <row r="1016" ht="15.75" customHeight="1">
      <c r="A1016" s="3"/>
      <c r="B1016" s="19"/>
      <c r="C1016" s="19"/>
      <c r="D1016" s="19"/>
      <c r="E1016" s="19"/>
      <c r="F1016" s="28"/>
      <c r="G1016" s="30"/>
      <c r="H1016" s="21" t="str">
        <f t="shared" si="1"/>
        <v/>
      </c>
      <c r="I1016" s="19"/>
    </row>
    <row r="1017" ht="15.75" customHeight="1">
      <c r="A1017" s="3"/>
      <c r="B1017" s="19"/>
      <c r="C1017" s="19"/>
      <c r="D1017" s="19"/>
      <c r="E1017" s="19"/>
      <c r="F1017" s="28"/>
      <c r="G1017" s="30"/>
      <c r="H1017" s="21" t="str">
        <f t="shared" si="1"/>
        <v/>
      </c>
      <c r="I1017" s="19"/>
    </row>
    <row r="1018" ht="15.75" customHeight="1">
      <c r="A1018" s="3"/>
      <c r="B1018" s="19"/>
      <c r="C1018" s="19"/>
      <c r="D1018" s="19"/>
      <c r="E1018" s="19"/>
      <c r="F1018" s="28"/>
      <c r="G1018" s="30"/>
      <c r="H1018" s="21" t="str">
        <f t="shared" si="1"/>
        <v/>
      </c>
      <c r="I1018" s="19"/>
    </row>
    <row r="1019" ht="15.75" customHeight="1">
      <c r="A1019" s="3"/>
      <c r="B1019" s="19"/>
      <c r="C1019" s="19"/>
      <c r="D1019" s="19"/>
      <c r="E1019" s="19"/>
      <c r="F1019" s="28"/>
      <c r="G1019" s="30"/>
      <c r="H1019" s="21" t="str">
        <f t="shared" si="1"/>
        <v/>
      </c>
      <c r="I1019" s="19"/>
    </row>
    <row r="1020" ht="15.75" customHeight="1">
      <c r="A1020" s="3"/>
      <c r="B1020" s="19"/>
      <c r="C1020" s="19"/>
      <c r="D1020" s="19"/>
      <c r="E1020" s="19"/>
      <c r="F1020" s="28"/>
      <c r="G1020" s="30"/>
      <c r="H1020" s="21" t="str">
        <f t="shared" si="1"/>
        <v/>
      </c>
      <c r="I1020" s="19"/>
    </row>
    <row r="1021" ht="15.75" customHeight="1">
      <c r="A1021" s="3"/>
      <c r="B1021" s="19"/>
      <c r="C1021" s="19"/>
      <c r="D1021" s="19"/>
      <c r="E1021" s="19"/>
      <c r="F1021" s="28"/>
      <c r="G1021" s="30"/>
      <c r="H1021" s="21" t="str">
        <f t="shared" si="1"/>
        <v/>
      </c>
      <c r="I1021" s="19"/>
    </row>
    <row r="1022" ht="15.75" customHeight="1">
      <c r="A1022" s="3"/>
      <c r="B1022" s="19"/>
      <c r="C1022" s="19"/>
      <c r="D1022" s="19"/>
      <c r="E1022" s="19"/>
      <c r="F1022" s="28"/>
      <c r="G1022" s="30"/>
      <c r="H1022" s="21" t="str">
        <f t="shared" si="1"/>
        <v/>
      </c>
      <c r="I1022" s="19"/>
    </row>
    <row r="1023" ht="15.75" customHeight="1">
      <c r="A1023" s="3"/>
      <c r="B1023" s="19"/>
      <c r="C1023" s="19"/>
      <c r="D1023" s="19"/>
      <c r="E1023" s="19"/>
      <c r="F1023" s="28"/>
      <c r="G1023" s="30"/>
      <c r="H1023" s="21" t="str">
        <f t="shared" si="1"/>
        <v/>
      </c>
      <c r="I1023" s="19"/>
    </row>
    <row r="1024" ht="15.75" customHeight="1">
      <c r="A1024" s="3"/>
      <c r="B1024" s="19"/>
      <c r="C1024" s="19"/>
      <c r="D1024" s="19"/>
      <c r="E1024" s="19"/>
      <c r="F1024" s="28"/>
      <c r="G1024" s="30"/>
      <c r="H1024" s="21" t="str">
        <f t="shared" si="1"/>
        <v/>
      </c>
      <c r="I1024" s="19"/>
    </row>
    <row r="1025" ht="15.75" customHeight="1">
      <c r="A1025" s="3"/>
      <c r="B1025" s="19"/>
      <c r="C1025" s="19"/>
      <c r="D1025" s="19"/>
      <c r="E1025" s="19"/>
      <c r="F1025" s="28"/>
      <c r="G1025" s="30"/>
      <c r="H1025" s="21" t="str">
        <f t="shared" si="1"/>
        <v/>
      </c>
      <c r="I1025" s="19"/>
    </row>
    <row r="1026" ht="15.75" customHeight="1">
      <c r="A1026" s="3"/>
      <c r="B1026" s="19"/>
      <c r="C1026" s="19"/>
      <c r="D1026" s="19"/>
      <c r="E1026" s="19"/>
      <c r="F1026" s="28"/>
      <c r="G1026" s="30"/>
      <c r="H1026" s="21" t="str">
        <f t="shared" si="1"/>
        <v/>
      </c>
      <c r="I1026" s="19"/>
    </row>
    <row r="1027" ht="15.75" customHeight="1">
      <c r="A1027" s="3"/>
      <c r="B1027" s="19"/>
      <c r="C1027" s="19"/>
      <c r="D1027" s="19"/>
      <c r="E1027" s="19"/>
      <c r="F1027" s="28"/>
      <c r="G1027" s="30"/>
      <c r="H1027" s="21" t="str">
        <f t="shared" si="1"/>
        <v/>
      </c>
      <c r="I1027" s="19"/>
    </row>
    <row r="1028" ht="15.75" customHeight="1">
      <c r="A1028" s="3"/>
      <c r="B1028" s="19"/>
      <c r="C1028" s="19"/>
      <c r="D1028" s="19"/>
      <c r="E1028" s="19"/>
      <c r="F1028" s="28"/>
      <c r="G1028" s="30"/>
      <c r="H1028" s="21" t="str">
        <f t="shared" si="1"/>
        <v/>
      </c>
      <c r="I1028" s="19"/>
    </row>
    <row r="1029" ht="15.75" customHeight="1">
      <c r="A1029" s="3"/>
      <c r="B1029" s="19"/>
      <c r="C1029" s="19"/>
      <c r="D1029" s="19"/>
      <c r="E1029" s="19"/>
      <c r="F1029" s="28"/>
      <c r="G1029" s="30"/>
      <c r="H1029" s="21" t="str">
        <f t="shared" si="1"/>
        <v/>
      </c>
      <c r="I1029" s="19"/>
    </row>
    <row r="1030" ht="15.75" customHeight="1">
      <c r="A1030" s="3"/>
      <c r="B1030" s="19"/>
      <c r="C1030" s="19"/>
      <c r="D1030" s="19"/>
      <c r="E1030" s="19"/>
      <c r="F1030" s="28"/>
      <c r="G1030" s="30"/>
      <c r="H1030" s="21" t="str">
        <f t="shared" si="1"/>
        <v/>
      </c>
      <c r="I1030" s="19"/>
    </row>
    <row r="1031" ht="15.75" customHeight="1">
      <c r="A1031" s="3"/>
      <c r="B1031" s="19"/>
      <c r="C1031" s="19"/>
      <c r="D1031" s="19"/>
      <c r="E1031" s="19"/>
      <c r="F1031" s="28"/>
      <c r="G1031" s="30"/>
      <c r="H1031" s="21" t="str">
        <f t="shared" si="1"/>
        <v/>
      </c>
      <c r="I1031" s="19"/>
    </row>
    <row r="1032" ht="15.75" customHeight="1">
      <c r="A1032" s="3"/>
      <c r="B1032" s="19"/>
      <c r="C1032" s="19"/>
      <c r="D1032" s="19"/>
      <c r="E1032" s="19"/>
      <c r="F1032" s="28"/>
      <c r="G1032" s="30"/>
      <c r="H1032" s="21" t="str">
        <f t="shared" si="1"/>
        <v/>
      </c>
      <c r="I1032" s="19"/>
    </row>
    <row r="1033" ht="15.75" customHeight="1">
      <c r="A1033" s="3"/>
      <c r="B1033" s="19"/>
      <c r="C1033" s="19"/>
      <c r="D1033" s="19"/>
      <c r="E1033" s="19"/>
      <c r="F1033" s="28"/>
      <c r="G1033" s="30"/>
      <c r="H1033" s="21" t="str">
        <f t="shared" si="1"/>
        <v/>
      </c>
      <c r="I1033" s="19"/>
    </row>
    <row r="1034" ht="15.75" customHeight="1">
      <c r="A1034" s="3"/>
      <c r="B1034" s="19"/>
      <c r="C1034" s="19"/>
      <c r="D1034" s="19"/>
      <c r="E1034" s="19"/>
      <c r="F1034" s="28"/>
      <c r="G1034" s="30"/>
      <c r="H1034" s="21" t="str">
        <f t="shared" si="1"/>
        <v/>
      </c>
      <c r="I1034" s="19"/>
    </row>
    <row r="1035" ht="15.75" customHeight="1">
      <c r="A1035" s="3"/>
      <c r="B1035" s="19"/>
      <c r="C1035" s="19"/>
      <c r="D1035" s="19"/>
      <c r="E1035" s="19"/>
      <c r="F1035" s="28"/>
      <c r="G1035" s="30"/>
      <c r="H1035" s="21" t="str">
        <f t="shared" si="1"/>
        <v/>
      </c>
      <c r="I1035" s="19"/>
    </row>
    <row r="1036" ht="15.75" customHeight="1">
      <c r="A1036" s="3"/>
      <c r="B1036" s="19"/>
      <c r="C1036" s="19"/>
      <c r="D1036" s="19"/>
      <c r="E1036" s="19"/>
      <c r="F1036" s="28"/>
      <c r="G1036" s="30"/>
      <c r="H1036" s="21" t="str">
        <f t="shared" si="1"/>
        <v/>
      </c>
      <c r="I1036" s="19"/>
    </row>
    <row r="1037" ht="15.75" customHeight="1">
      <c r="A1037" s="3"/>
      <c r="B1037" s="19"/>
      <c r="C1037" s="19"/>
      <c r="D1037" s="19"/>
      <c r="E1037" s="19"/>
      <c r="F1037" s="28"/>
      <c r="G1037" s="30"/>
      <c r="H1037" s="21" t="str">
        <f t="shared" si="1"/>
        <v/>
      </c>
      <c r="I1037" s="19"/>
    </row>
    <row r="1038" ht="15.75" customHeight="1">
      <c r="A1038" s="3"/>
      <c r="B1038" s="19"/>
      <c r="C1038" s="19"/>
      <c r="D1038" s="19"/>
      <c r="E1038" s="19"/>
      <c r="F1038" s="28"/>
      <c r="G1038" s="30"/>
      <c r="H1038" s="21" t="str">
        <f t="shared" si="1"/>
        <v/>
      </c>
      <c r="I1038" s="19"/>
    </row>
    <row r="1039" ht="15.75" customHeight="1">
      <c r="A1039" s="3"/>
      <c r="B1039" s="19"/>
      <c r="C1039" s="19"/>
      <c r="D1039" s="19"/>
      <c r="E1039" s="19"/>
      <c r="F1039" s="28"/>
      <c r="G1039" s="30"/>
      <c r="H1039" s="21" t="str">
        <f t="shared" si="1"/>
        <v/>
      </c>
      <c r="I1039" s="19"/>
    </row>
    <row r="1040" ht="15.75" customHeight="1">
      <c r="A1040" s="3"/>
      <c r="B1040" s="19"/>
      <c r="C1040" s="19"/>
      <c r="D1040" s="19"/>
      <c r="E1040" s="19"/>
      <c r="F1040" s="28"/>
      <c r="G1040" s="30"/>
      <c r="H1040" s="21" t="str">
        <f t="shared" si="1"/>
        <v/>
      </c>
      <c r="I1040" s="19"/>
    </row>
    <row r="1041" ht="15.75" customHeight="1">
      <c r="A1041" s="3"/>
      <c r="B1041" s="19"/>
      <c r="C1041" s="19"/>
      <c r="D1041" s="19"/>
      <c r="E1041" s="19"/>
      <c r="F1041" s="28"/>
      <c r="G1041" s="30"/>
      <c r="H1041" s="21" t="str">
        <f t="shared" si="1"/>
        <v/>
      </c>
      <c r="I1041" s="19"/>
    </row>
    <row r="1042" ht="15.75" customHeight="1">
      <c r="A1042" s="3"/>
      <c r="B1042" s="19"/>
      <c r="C1042" s="19"/>
      <c r="D1042" s="19"/>
      <c r="E1042" s="19"/>
      <c r="F1042" s="28"/>
      <c r="G1042" s="30"/>
      <c r="H1042" s="21" t="str">
        <f t="shared" si="1"/>
        <v/>
      </c>
      <c r="I1042" s="19"/>
    </row>
    <row r="1043" ht="15.75" customHeight="1">
      <c r="A1043" s="3"/>
      <c r="B1043" s="19"/>
      <c r="C1043" s="19"/>
      <c r="D1043" s="19"/>
      <c r="E1043" s="19"/>
      <c r="F1043" s="28"/>
      <c r="G1043" s="30"/>
      <c r="H1043" s="21" t="str">
        <f t="shared" si="1"/>
        <v/>
      </c>
      <c r="I1043" s="19"/>
    </row>
    <row r="1044" ht="15.75" customHeight="1">
      <c r="A1044" s="3"/>
      <c r="B1044" s="19"/>
      <c r="C1044" s="19"/>
      <c r="D1044" s="19"/>
      <c r="E1044" s="19"/>
      <c r="F1044" s="28"/>
      <c r="G1044" s="30"/>
      <c r="H1044" s="21" t="str">
        <f t="shared" si="1"/>
        <v/>
      </c>
      <c r="I1044" s="19"/>
    </row>
    <row r="1045" ht="15.75" customHeight="1">
      <c r="A1045" s="3"/>
      <c r="B1045" s="19"/>
      <c r="C1045" s="19"/>
      <c r="D1045" s="19"/>
      <c r="E1045" s="19"/>
      <c r="F1045" s="28"/>
      <c r="G1045" s="30"/>
      <c r="H1045" s="21" t="str">
        <f t="shared" si="1"/>
        <v/>
      </c>
      <c r="I1045" s="19"/>
    </row>
    <row r="1046" ht="15.75" customHeight="1">
      <c r="A1046" s="3"/>
      <c r="B1046" s="19"/>
      <c r="C1046" s="19"/>
      <c r="D1046" s="19"/>
      <c r="E1046" s="19"/>
      <c r="F1046" s="28"/>
      <c r="G1046" s="30"/>
      <c r="H1046" s="21" t="str">
        <f t="shared" si="1"/>
        <v/>
      </c>
      <c r="I1046" s="19"/>
    </row>
    <row r="1047" ht="15.75" customHeight="1">
      <c r="A1047" s="3"/>
      <c r="B1047" s="19"/>
      <c r="C1047" s="19"/>
      <c r="D1047" s="19"/>
      <c r="E1047" s="19"/>
      <c r="F1047" s="28"/>
      <c r="G1047" s="30"/>
      <c r="H1047" s="21" t="str">
        <f t="shared" si="1"/>
        <v/>
      </c>
      <c r="I1047" s="19"/>
    </row>
    <row r="1048" ht="15.75" customHeight="1">
      <c r="A1048" s="3"/>
      <c r="B1048" s="19"/>
      <c r="C1048" s="19"/>
      <c r="D1048" s="19"/>
      <c r="E1048" s="19"/>
      <c r="F1048" s="28"/>
      <c r="G1048" s="30"/>
      <c r="H1048" s="21" t="str">
        <f t="shared" si="1"/>
        <v/>
      </c>
      <c r="I1048" s="19"/>
    </row>
    <row r="1049" ht="15.75" customHeight="1">
      <c r="A1049" s="3"/>
      <c r="B1049" s="19"/>
      <c r="C1049" s="19"/>
      <c r="D1049" s="19"/>
      <c r="E1049" s="19"/>
      <c r="F1049" s="28"/>
      <c r="G1049" s="30"/>
      <c r="H1049" s="21" t="str">
        <f t="shared" si="1"/>
        <v/>
      </c>
      <c r="I1049" s="19"/>
    </row>
    <row r="1050" ht="15.75" customHeight="1">
      <c r="A1050" s="3"/>
      <c r="B1050" s="19"/>
      <c r="C1050" s="19"/>
      <c r="D1050" s="19"/>
      <c r="E1050" s="19"/>
      <c r="F1050" s="28"/>
      <c r="G1050" s="30"/>
      <c r="H1050" s="21" t="str">
        <f t="shared" si="1"/>
        <v/>
      </c>
      <c r="I1050" s="19"/>
    </row>
    <row r="1051" ht="15.75" customHeight="1">
      <c r="A1051" s="3"/>
      <c r="B1051" s="19"/>
      <c r="C1051" s="19"/>
      <c r="D1051" s="19"/>
      <c r="E1051" s="19"/>
      <c r="F1051" s="28"/>
      <c r="G1051" s="30"/>
      <c r="H1051" s="21" t="str">
        <f t="shared" si="1"/>
        <v/>
      </c>
      <c r="I1051" s="19"/>
    </row>
    <row r="1052" ht="15.75" customHeight="1">
      <c r="A1052" s="3"/>
      <c r="B1052" s="19"/>
      <c r="C1052" s="19"/>
      <c r="D1052" s="19"/>
      <c r="E1052" s="19"/>
      <c r="F1052" s="28"/>
      <c r="G1052" s="30"/>
      <c r="H1052" s="21" t="str">
        <f t="shared" si="1"/>
        <v/>
      </c>
      <c r="I1052" s="19"/>
    </row>
    <row r="1053" ht="15.75" customHeight="1">
      <c r="A1053" s="3"/>
      <c r="B1053" s="19"/>
      <c r="C1053" s="19"/>
      <c r="D1053" s="19"/>
      <c r="E1053" s="19"/>
      <c r="F1053" s="28"/>
      <c r="G1053" s="30"/>
      <c r="H1053" s="21" t="str">
        <f t="shared" si="1"/>
        <v/>
      </c>
      <c r="I1053" s="19"/>
    </row>
    <row r="1054" ht="15.75" customHeight="1">
      <c r="A1054" s="3"/>
      <c r="B1054" s="19"/>
      <c r="C1054" s="19"/>
      <c r="D1054" s="19"/>
      <c r="E1054" s="19"/>
      <c r="F1054" s="28"/>
      <c r="G1054" s="30"/>
      <c r="H1054" s="21" t="str">
        <f t="shared" si="1"/>
        <v/>
      </c>
      <c r="I1054" s="19"/>
    </row>
    <row r="1055" ht="15.75" customHeight="1">
      <c r="A1055" s="3"/>
      <c r="B1055" s="19"/>
      <c r="C1055" s="19"/>
      <c r="D1055" s="19"/>
      <c r="E1055" s="19"/>
      <c r="F1055" s="28"/>
      <c r="G1055" s="30"/>
      <c r="H1055" s="21" t="str">
        <f t="shared" si="1"/>
        <v/>
      </c>
      <c r="I1055" s="19"/>
    </row>
    <row r="1056" ht="15.75" customHeight="1">
      <c r="A1056" s="3"/>
      <c r="B1056" s="19"/>
      <c r="C1056" s="19"/>
      <c r="D1056" s="19"/>
      <c r="E1056" s="19"/>
      <c r="F1056" s="28"/>
      <c r="G1056" s="30"/>
      <c r="H1056" s="21" t="str">
        <f t="shared" si="1"/>
        <v/>
      </c>
      <c r="I1056" s="19"/>
    </row>
    <row r="1057" ht="15.75" customHeight="1">
      <c r="A1057" s="3"/>
      <c r="B1057" s="19"/>
      <c r="C1057" s="19"/>
      <c r="D1057" s="19"/>
      <c r="E1057" s="19"/>
      <c r="F1057" s="28"/>
      <c r="G1057" s="30"/>
      <c r="H1057" s="21" t="str">
        <f t="shared" si="1"/>
        <v/>
      </c>
      <c r="I1057" s="19"/>
    </row>
    <row r="1058" ht="15.75" customHeight="1">
      <c r="A1058" s="3"/>
      <c r="B1058" s="19"/>
      <c r="C1058" s="19"/>
      <c r="D1058" s="19"/>
      <c r="E1058" s="19"/>
      <c r="F1058" s="28"/>
      <c r="G1058" s="30"/>
      <c r="H1058" s="21" t="str">
        <f t="shared" si="1"/>
        <v/>
      </c>
      <c r="I1058" s="19"/>
    </row>
    <row r="1059" ht="15.75" customHeight="1">
      <c r="A1059" s="3"/>
      <c r="B1059" s="19"/>
      <c r="C1059" s="19"/>
      <c r="D1059" s="19"/>
      <c r="E1059" s="19"/>
      <c r="F1059" s="28"/>
      <c r="G1059" s="30"/>
      <c r="H1059" s="21" t="str">
        <f t="shared" si="1"/>
        <v/>
      </c>
      <c r="I1059" s="19"/>
    </row>
    <row r="1060" ht="15.75" customHeight="1">
      <c r="A1060" s="3"/>
      <c r="B1060" s="19"/>
      <c r="C1060" s="19"/>
      <c r="D1060" s="19"/>
      <c r="E1060" s="19"/>
      <c r="F1060" s="28"/>
      <c r="G1060" s="30"/>
      <c r="H1060" s="21" t="str">
        <f t="shared" si="1"/>
        <v/>
      </c>
      <c r="I1060" s="19"/>
    </row>
    <row r="1061" ht="15.75" customHeight="1">
      <c r="A1061" s="3"/>
      <c r="B1061" s="19"/>
      <c r="C1061" s="19"/>
      <c r="D1061" s="19"/>
      <c r="E1061" s="19"/>
      <c r="F1061" s="28"/>
      <c r="G1061" s="30"/>
      <c r="H1061" s="21" t="str">
        <f t="shared" si="1"/>
        <v/>
      </c>
      <c r="I1061" s="19"/>
    </row>
    <row r="1062" ht="15.75" customHeight="1">
      <c r="A1062" s="3"/>
      <c r="B1062" s="19"/>
      <c r="C1062" s="19"/>
      <c r="D1062" s="19"/>
      <c r="E1062" s="19"/>
      <c r="F1062" s="28"/>
      <c r="G1062" s="30"/>
      <c r="H1062" s="21" t="str">
        <f t="shared" si="1"/>
        <v/>
      </c>
      <c r="I1062" s="19"/>
    </row>
    <row r="1063" ht="15.75" customHeight="1">
      <c r="A1063" s="3"/>
      <c r="B1063" s="19"/>
      <c r="C1063" s="19"/>
      <c r="D1063" s="19"/>
      <c r="E1063" s="19"/>
      <c r="F1063" s="28"/>
      <c r="G1063" s="30"/>
      <c r="H1063" s="21" t="str">
        <f t="shared" si="1"/>
        <v/>
      </c>
      <c r="I1063" s="19"/>
    </row>
    <row r="1064" ht="15.75" customHeight="1">
      <c r="A1064" s="3"/>
      <c r="B1064" s="19"/>
      <c r="C1064" s="19"/>
      <c r="D1064" s="19"/>
      <c r="E1064" s="19"/>
      <c r="F1064" s="28"/>
      <c r="G1064" s="30"/>
      <c r="H1064" s="21" t="str">
        <f t="shared" si="1"/>
        <v/>
      </c>
      <c r="I1064" s="19"/>
    </row>
    <row r="1065" ht="15.75" customHeight="1">
      <c r="A1065" s="3"/>
      <c r="B1065" s="19"/>
      <c r="C1065" s="19"/>
      <c r="D1065" s="19"/>
      <c r="E1065" s="19"/>
      <c r="F1065" s="28"/>
      <c r="G1065" s="30"/>
      <c r="H1065" s="21" t="str">
        <f t="shared" si="1"/>
        <v/>
      </c>
      <c r="I1065" s="19"/>
    </row>
    <row r="1066" ht="15.75" customHeight="1">
      <c r="A1066" s="3"/>
      <c r="B1066" s="19"/>
      <c r="C1066" s="19"/>
      <c r="D1066" s="19"/>
      <c r="E1066" s="19"/>
      <c r="F1066" s="28"/>
      <c r="G1066" s="30"/>
      <c r="H1066" s="21" t="str">
        <f t="shared" si="1"/>
        <v/>
      </c>
      <c r="I1066" s="19"/>
    </row>
    <row r="1067" ht="15.75" customHeight="1">
      <c r="A1067" s="3"/>
      <c r="B1067" s="19"/>
      <c r="C1067" s="19"/>
      <c r="D1067" s="19"/>
      <c r="E1067" s="19"/>
      <c r="F1067" s="28"/>
      <c r="G1067" s="30"/>
      <c r="H1067" s="21" t="str">
        <f t="shared" si="1"/>
        <v/>
      </c>
      <c r="I1067" s="19"/>
    </row>
    <row r="1068" ht="15.75" customHeight="1">
      <c r="A1068" s="3"/>
      <c r="B1068" s="19"/>
      <c r="C1068" s="19"/>
      <c r="D1068" s="19"/>
      <c r="E1068" s="19"/>
      <c r="F1068" s="28"/>
      <c r="G1068" s="30"/>
      <c r="H1068" s="21" t="str">
        <f t="shared" si="1"/>
        <v/>
      </c>
      <c r="I1068" s="19"/>
    </row>
    <row r="1069" ht="15.75" customHeight="1">
      <c r="A1069" s="3"/>
      <c r="B1069" s="19"/>
      <c r="C1069" s="19"/>
      <c r="D1069" s="19"/>
      <c r="E1069" s="19"/>
      <c r="F1069" s="28"/>
      <c r="G1069" s="30"/>
      <c r="H1069" s="21" t="str">
        <f t="shared" si="1"/>
        <v/>
      </c>
      <c r="I1069" s="19"/>
    </row>
    <row r="1070" ht="15.75" customHeight="1">
      <c r="A1070" s="3"/>
      <c r="B1070" s="19"/>
      <c r="C1070" s="19"/>
      <c r="D1070" s="19"/>
      <c r="E1070" s="19"/>
      <c r="F1070" s="28"/>
      <c r="G1070" s="30"/>
      <c r="H1070" s="21" t="str">
        <f t="shared" si="1"/>
        <v/>
      </c>
      <c r="I1070" s="19"/>
    </row>
    <row r="1071" ht="15.75" customHeight="1">
      <c r="A1071" s="3"/>
      <c r="B1071" s="19"/>
      <c r="C1071" s="19"/>
      <c r="D1071" s="19"/>
      <c r="E1071" s="19"/>
      <c r="F1071" s="28"/>
      <c r="G1071" s="30"/>
      <c r="H1071" s="21" t="str">
        <f t="shared" si="1"/>
        <v/>
      </c>
      <c r="I1071" s="19"/>
    </row>
    <row r="1072" ht="15.75" customHeight="1">
      <c r="A1072" s="3"/>
      <c r="B1072" s="19"/>
      <c r="C1072" s="19"/>
      <c r="D1072" s="19"/>
      <c r="E1072" s="19"/>
      <c r="F1072" s="28"/>
      <c r="G1072" s="30"/>
      <c r="H1072" s="21" t="str">
        <f t="shared" si="1"/>
        <v/>
      </c>
      <c r="I1072" s="19"/>
    </row>
    <row r="1073" ht="15.75" customHeight="1">
      <c r="A1073" s="3"/>
      <c r="B1073" s="19"/>
      <c r="C1073" s="19"/>
      <c r="D1073" s="19"/>
      <c r="E1073" s="19"/>
      <c r="F1073" s="28"/>
      <c r="G1073" s="30"/>
      <c r="H1073" s="21" t="str">
        <f t="shared" si="1"/>
        <v/>
      </c>
      <c r="I1073" s="19"/>
    </row>
    <row r="1074" ht="15.75" customHeight="1">
      <c r="A1074" s="3"/>
      <c r="B1074" s="19"/>
      <c r="C1074" s="19"/>
      <c r="D1074" s="19"/>
      <c r="E1074" s="19"/>
      <c r="F1074" s="28"/>
      <c r="G1074" s="30"/>
      <c r="H1074" s="21" t="str">
        <f t="shared" si="1"/>
        <v/>
      </c>
      <c r="I1074" s="19"/>
    </row>
    <row r="1075" ht="15.75" customHeight="1">
      <c r="A1075" s="3"/>
      <c r="B1075" s="19"/>
      <c r="C1075" s="19"/>
      <c r="D1075" s="19"/>
      <c r="E1075" s="19"/>
      <c r="F1075" s="28"/>
      <c r="G1075" s="30"/>
      <c r="H1075" s="21" t="str">
        <f t="shared" si="1"/>
        <v/>
      </c>
      <c r="I1075" s="19"/>
    </row>
    <row r="1076" ht="15.75" customHeight="1">
      <c r="A1076" s="3"/>
      <c r="B1076" s="19"/>
      <c r="C1076" s="19"/>
      <c r="D1076" s="19"/>
      <c r="E1076" s="19"/>
      <c r="F1076" s="28"/>
      <c r="G1076" s="30"/>
      <c r="H1076" s="21" t="str">
        <f t="shared" si="1"/>
        <v/>
      </c>
      <c r="I1076" s="19"/>
    </row>
    <row r="1077" ht="15.75" customHeight="1">
      <c r="A1077" s="3"/>
      <c r="B1077" s="19"/>
      <c r="C1077" s="19"/>
      <c r="D1077" s="19"/>
      <c r="E1077" s="19"/>
      <c r="F1077" s="28"/>
      <c r="G1077" s="30"/>
      <c r="H1077" s="21" t="str">
        <f t="shared" si="1"/>
        <v/>
      </c>
      <c r="I1077" s="19"/>
    </row>
    <row r="1078" ht="15.75" customHeight="1">
      <c r="A1078" s="3"/>
      <c r="B1078" s="19"/>
      <c r="C1078" s="19"/>
      <c r="D1078" s="19"/>
      <c r="E1078" s="19"/>
      <c r="F1078" s="28"/>
      <c r="G1078" s="30"/>
      <c r="H1078" s="21" t="str">
        <f t="shared" si="1"/>
        <v/>
      </c>
      <c r="I1078" s="19"/>
    </row>
    <row r="1079" ht="15.75" customHeight="1">
      <c r="A1079" s="3"/>
      <c r="B1079" s="19"/>
      <c r="C1079" s="19"/>
      <c r="D1079" s="19"/>
      <c r="E1079" s="19"/>
      <c r="F1079" s="28"/>
      <c r="G1079" s="30"/>
      <c r="H1079" s="21" t="str">
        <f t="shared" si="1"/>
        <v/>
      </c>
      <c r="I1079" s="19"/>
    </row>
    <row r="1080" ht="15.75" customHeight="1">
      <c r="A1080" s="3"/>
      <c r="B1080" s="19"/>
      <c r="C1080" s="19"/>
      <c r="D1080" s="19"/>
      <c r="E1080" s="19"/>
      <c r="F1080" s="28"/>
      <c r="G1080" s="30"/>
      <c r="H1080" s="21" t="str">
        <f t="shared" si="1"/>
        <v/>
      </c>
      <c r="I1080" s="19"/>
    </row>
    <row r="1081" ht="15.75" customHeight="1">
      <c r="A1081" s="3"/>
      <c r="B1081" s="19"/>
      <c r="C1081" s="19"/>
      <c r="D1081" s="19"/>
      <c r="E1081" s="19"/>
      <c r="F1081" s="28"/>
      <c r="G1081" s="30"/>
      <c r="H1081" s="21" t="str">
        <f t="shared" si="1"/>
        <v/>
      </c>
      <c r="I1081" s="19"/>
    </row>
    <row r="1082" ht="15.75" customHeight="1">
      <c r="A1082" s="3"/>
      <c r="B1082" s="19"/>
      <c r="C1082" s="19"/>
      <c r="D1082" s="19"/>
      <c r="E1082" s="19"/>
      <c r="F1082" s="28"/>
      <c r="G1082" s="30"/>
      <c r="H1082" s="21" t="str">
        <f t="shared" si="1"/>
        <v/>
      </c>
      <c r="I1082" s="19"/>
    </row>
    <row r="1083" ht="15.75" customHeight="1">
      <c r="A1083" s="3"/>
      <c r="B1083" s="19"/>
      <c r="C1083" s="19"/>
      <c r="D1083" s="19"/>
      <c r="E1083" s="19"/>
      <c r="F1083" s="28"/>
      <c r="G1083" s="30"/>
      <c r="H1083" s="21" t="str">
        <f t="shared" si="1"/>
        <v/>
      </c>
      <c r="I1083" s="19"/>
    </row>
    <row r="1084" ht="15.75" customHeight="1">
      <c r="A1084" s="3"/>
      <c r="B1084" s="19"/>
      <c r="C1084" s="19"/>
      <c r="D1084" s="19"/>
      <c r="E1084" s="19"/>
      <c r="F1084" s="28"/>
      <c r="G1084" s="30"/>
      <c r="H1084" s="21" t="str">
        <f t="shared" si="1"/>
        <v/>
      </c>
      <c r="I1084" s="19"/>
    </row>
    <row r="1085" ht="15.75" customHeight="1">
      <c r="A1085" s="3"/>
      <c r="B1085" s="19"/>
      <c r="C1085" s="19"/>
      <c r="D1085" s="19"/>
      <c r="E1085" s="19"/>
      <c r="F1085" s="28"/>
      <c r="G1085" s="30"/>
      <c r="H1085" s="21" t="str">
        <f t="shared" si="1"/>
        <v/>
      </c>
      <c r="I1085" s="19"/>
    </row>
    <row r="1086" ht="15.75" customHeight="1">
      <c r="A1086" s="3"/>
      <c r="B1086" s="19"/>
      <c r="C1086" s="19"/>
      <c r="D1086" s="19"/>
      <c r="E1086" s="19"/>
      <c r="F1086" s="28"/>
      <c r="G1086" s="30"/>
      <c r="H1086" s="21" t="str">
        <f t="shared" si="1"/>
        <v/>
      </c>
      <c r="I1086" s="19"/>
    </row>
    <row r="1087" ht="15.75" customHeight="1">
      <c r="A1087" s="3"/>
      <c r="B1087" s="19"/>
      <c r="C1087" s="19"/>
      <c r="D1087" s="19"/>
      <c r="E1087" s="19"/>
      <c r="F1087" s="28"/>
      <c r="G1087" s="30"/>
      <c r="H1087" s="21" t="str">
        <f t="shared" si="1"/>
        <v/>
      </c>
      <c r="I1087" s="19"/>
    </row>
    <row r="1088" ht="15.75" customHeight="1">
      <c r="A1088" s="3"/>
      <c r="B1088" s="19"/>
      <c r="C1088" s="19"/>
      <c r="D1088" s="19"/>
      <c r="E1088" s="19"/>
      <c r="F1088" s="28"/>
      <c r="G1088" s="30"/>
      <c r="H1088" s="21" t="str">
        <f t="shared" si="1"/>
        <v/>
      </c>
      <c r="I1088" s="19"/>
    </row>
    <row r="1089" ht="15.75" customHeight="1">
      <c r="A1089" s="3"/>
      <c r="B1089" s="19"/>
      <c r="C1089" s="19"/>
      <c r="D1089" s="19"/>
      <c r="E1089" s="19"/>
      <c r="F1089" s="28"/>
      <c r="G1089" s="30"/>
      <c r="H1089" s="21" t="str">
        <f t="shared" si="1"/>
        <v/>
      </c>
      <c r="I1089" s="19"/>
    </row>
    <row r="1090" ht="15.75" customHeight="1">
      <c r="A1090" s="3"/>
      <c r="B1090" s="19"/>
      <c r="C1090" s="19"/>
      <c r="D1090" s="19"/>
      <c r="E1090" s="19"/>
      <c r="F1090" s="28"/>
      <c r="G1090" s="30"/>
      <c r="H1090" s="21" t="str">
        <f t="shared" si="1"/>
        <v/>
      </c>
      <c r="I1090" s="19"/>
    </row>
    <row r="1091" ht="15.75" customHeight="1">
      <c r="A1091" s="3"/>
      <c r="B1091" s="19"/>
      <c r="C1091" s="19"/>
      <c r="D1091" s="19"/>
      <c r="E1091" s="19"/>
      <c r="F1091" s="28"/>
      <c r="G1091" s="30"/>
      <c r="H1091" s="21" t="str">
        <f t="shared" si="1"/>
        <v/>
      </c>
      <c r="I1091" s="19"/>
    </row>
    <row r="1092" ht="15.75" customHeight="1">
      <c r="A1092" s="3"/>
      <c r="B1092" s="19"/>
      <c r="C1092" s="19"/>
      <c r="D1092" s="19"/>
      <c r="E1092" s="19"/>
      <c r="F1092" s="28"/>
      <c r="G1092" s="30"/>
      <c r="H1092" s="21" t="str">
        <f t="shared" si="1"/>
        <v/>
      </c>
      <c r="I1092" s="19"/>
    </row>
    <row r="1093" ht="15.75" customHeight="1">
      <c r="A1093" s="3"/>
      <c r="B1093" s="19"/>
      <c r="C1093" s="19"/>
      <c r="D1093" s="19"/>
      <c r="E1093" s="19"/>
      <c r="F1093" s="28"/>
      <c r="G1093" s="30"/>
      <c r="H1093" s="21" t="str">
        <f t="shared" si="1"/>
        <v/>
      </c>
      <c r="I1093" s="19"/>
    </row>
    <row r="1094" ht="15.75" customHeight="1">
      <c r="A1094" s="3"/>
      <c r="B1094" s="19"/>
      <c r="C1094" s="19"/>
      <c r="D1094" s="19"/>
      <c r="E1094" s="19"/>
      <c r="F1094" s="28"/>
      <c r="G1094" s="30"/>
      <c r="H1094" s="21" t="str">
        <f t="shared" si="1"/>
        <v/>
      </c>
      <c r="I1094" s="19"/>
    </row>
    <row r="1095" ht="15.75" customHeight="1">
      <c r="A1095" s="3"/>
      <c r="B1095" s="19"/>
      <c r="C1095" s="19"/>
      <c r="D1095" s="19"/>
      <c r="E1095" s="19"/>
      <c r="F1095" s="28"/>
      <c r="G1095" s="30"/>
      <c r="H1095" s="21" t="str">
        <f t="shared" si="1"/>
        <v/>
      </c>
      <c r="I1095" s="19"/>
    </row>
    <row r="1096" ht="15.75" customHeight="1">
      <c r="A1096" s="3"/>
      <c r="B1096" s="19"/>
      <c r="C1096" s="19"/>
      <c r="D1096" s="19"/>
      <c r="E1096" s="19"/>
      <c r="F1096" s="28"/>
      <c r="G1096" s="30"/>
      <c r="H1096" s="21" t="str">
        <f t="shared" si="1"/>
        <v/>
      </c>
      <c r="I1096" s="19"/>
    </row>
    <row r="1097" ht="15.75" customHeight="1">
      <c r="A1097" s="3"/>
      <c r="B1097" s="19"/>
      <c r="C1097" s="19"/>
      <c r="D1097" s="19"/>
      <c r="E1097" s="19"/>
      <c r="F1097" s="28"/>
      <c r="G1097" s="30"/>
      <c r="H1097" s="21" t="str">
        <f t="shared" si="1"/>
        <v/>
      </c>
      <c r="I1097" s="19"/>
    </row>
    <row r="1098" ht="15.75" customHeight="1">
      <c r="A1098" s="3"/>
      <c r="B1098" s="19"/>
      <c r="C1098" s="19"/>
      <c r="D1098" s="19"/>
      <c r="E1098" s="19"/>
      <c r="F1098" s="28"/>
      <c r="G1098" s="30"/>
      <c r="H1098" s="21" t="str">
        <f t="shared" si="1"/>
        <v/>
      </c>
      <c r="I1098" s="19"/>
    </row>
    <row r="1099" ht="15.75" customHeight="1">
      <c r="A1099" s="3"/>
      <c r="B1099" s="19"/>
      <c r="C1099" s="19"/>
      <c r="D1099" s="19"/>
      <c r="E1099" s="19"/>
      <c r="F1099" s="28"/>
      <c r="G1099" s="30"/>
      <c r="H1099" s="21" t="str">
        <f t="shared" si="1"/>
        <v/>
      </c>
      <c r="I1099" s="19"/>
    </row>
    <row r="1100" ht="15.75" customHeight="1">
      <c r="A1100" s="3"/>
      <c r="B1100" s="19"/>
      <c r="C1100" s="19"/>
      <c r="D1100" s="19"/>
      <c r="E1100" s="19"/>
      <c r="F1100" s="28"/>
      <c r="G1100" s="30"/>
      <c r="H1100" s="21" t="str">
        <f t="shared" si="1"/>
        <v/>
      </c>
      <c r="I1100" s="19"/>
    </row>
    <row r="1101" ht="15.75" customHeight="1">
      <c r="A1101" s="3"/>
      <c r="B1101" s="19"/>
      <c r="C1101" s="19"/>
      <c r="D1101" s="19"/>
      <c r="E1101" s="19"/>
      <c r="F1101" s="28"/>
      <c r="G1101" s="30"/>
      <c r="H1101" s="21" t="str">
        <f t="shared" si="1"/>
        <v/>
      </c>
      <c r="I1101" s="19"/>
    </row>
    <row r="1102" ht="15.75" customHeight="1">
      <c r="A1102" s="3"/>
      <c r="B1102" s="19"/>
      <c r="C1102" s="19"/>
      <c r="D1102" s="19"/>
      <c r="E1102" s="19"/>
      <c r="F1102" s="28"/>
      <c r="G1102" s="30"/>
      <c r="H1102" s="21" t="str">
        <f t="shared" si="1"/>
        <v/>
      </c>
      <c r="I1102" s="19"/>
    </row>
    <row r="1103" ht="15.75" customHeight="1">
      <c r="A1103" s="3"/>
      <c r="B1103" s="19"/>
      <c r="C1103" s="19"/>
      <c r="D1103" s="19"/>
      <c r="E1103" s="19"/>
      <c r="F1103" s="28"/>
      <c r="G1103" s="30"/>
      <c r="H1103" s="21" t="str">
        <f t="shared" si="1"/>
        <v/>
      </c>
      <c r="I1103" s="19"/>
    </row>
    <row r="1104" ht="15.75" customHeight="1">
      <c r="A1104" s="3"/>
      <c r="B1104" s="19"/>
      <c r="C1104" s="19"/>
      <c r="D1104" s="19"/>
      <c r="E1104" s="19"/>
      <c r="F1104" s="28"/>
      <c r="G1104" s="30"/>
      <c r="H1104" s="21" t="str">
        <f t="shared" si="1"/>
        <v/>
      </c>
      <c r="I1104" s="19"/>
    </row>
    <row r="1105" ht="15.75" customHeight="1">
      <c r="A1105" s="3"/>
      <c r="B1105" s="19"/>
      <c r="C1105" s="19"/>
      <c r="D1105" s="19"/>
      <c r="E1105" s="19"/>
      <c r="F1105" s="28"/>
      <c r="G1105" s="30"/>
      <c r="H1105" s="21" t="str">
        <f t="shared" si="1"/>
        <v/>
      </c>
      <c r="I1105" s="19"/>
    </row>
    <row r="1106" ht="15.75" customHeight="1">
      <c r="A1106" s="3"/>
      <c r="B1106" s="19"/>
      <c r="C1106" s="19"/>
      <c r="D1106" s="19"/>
      <c r="E1106" s="19"/>
      <c r="F1106" s="28"/>
      <c r="G1106" s="30"/>
      <c r="H1106" s="21" t="str">
        <f t="shared" si="1"/>
        <v/>
      </c>
      <c r="I1106" s="19"/>
    </row>
    <row r="1107" ht="15.75" customHeight="1">
      <c r="A1107" s="3"/>
      <c r="B1107" s="19"/>
      <c r="C1107" s="19"/>
      <c r="D1107" s="19"/>
      <c r="E1107" s="19"/>
      <c r="F1107" s="28"/>
      <c r="G1107" s="30"/>
      <c r="H1107" s="21" t="str">
        <f t="shared" si="1"/>
        <v/>
      </c>
      <c r="I1107" s="19"/>
    </row>
    <row r="1108" ht="15.75" customHeight="1">
      <c r="A1108" s="3"/>
      <c r="B1108" s="19"/>
      <c r="C1108" s="19"/>
      <c r="D1108" s="19"/>
      <c r="E1108" s="19"/>
      <c r="F1108" s="28"/>
      <c r="G1108" s="30"/>
      <c r="H1108" s="21" t="str">
        <f t="shared" si="1"/>
        <v/>
      </c>
      <c r="I1108" s="19"/>
    </row>
    <row r="1109" ht="15.75" customHeight="1">
      <c r="A1109" s="3"/>
      <c r="B1109" s="19"/>
      <c r="C1109" s="19"/>
      <c r="D1109" s="19"/>
      <c r="E1109" s="19"/>
      <c r="F1109" s="28"/>
      <c r="G1109" s="30"/>
      <c r="H1109" s="21" t="str">
        <f t="shared" si="1"/>
        <v/>
      </c>
      <c r="I1109" s="19"/>
    </row>
    <row r="1110" ht="15.75" customHeight="1">
      <c r="A1110" s="3"/>
      <c r="B1110" s="19"/>
      <c r="C1110" s="19"/>
      <c r="D1110" s="19"/>
      <c r="E1110" s="19"/>
      <c r="F1110" s="28"/>
      <c r="G1110" s="30"/>
      <c r="H1110" s="21" t="str">
        <f t="shared" si="1"/>
        <v/>
      </c>
      <c r="I1110" s="19"/>
    </row>
    <row r="1111" ht="15.75" customHeight="1">
      <c r="A1111" s="3"/>
      <c r="B1111" s="19"/>
      <c r="C1111" s="19"/>
      <c r="D1111" s="19"/>
      <c r="E1111" s="19"/>
      <c r="F1111" s="28"/>
      <c r="G1111" s="30"/>
      <c r="H1111" s="21" t="str">
        <f t="shared" si="1"/>
        <v/>
      </c>
      <c r="I1111" s="19"/>
    </row>
    <row r="1112" ht="15.75" customHeight="1">
      <c r="A1112" s="3"/>
      <c r="B1112" s="19"/>
      <c r="C1112" s="19"/>
      <c r="D1112" s="19"/>
      <c r="E1112" s="19"/>
      <c r="F1112" s="28"/>
      <c r="G1112" s="30"/>
      <c r="H1112" s="21" t="str">
        <f t="shared" si="1"/>
        <v/>
      </c>
      <c r="I1112" s="19"/>
    </row>
    <row r="1113" ht="15.75" customHeight="1">
      <c r="A1113" s="3"/>
      <c r="B1113" s="19"/>
      <c r="C1113" s="19"/>
      <c r="D1113" s="19"/>
      <c r="E1113" s="19"/>
      <c r="F1113" s="28"/>
      <c r="G1113" s="30"/>
      <c r="H1113" s="21" t="str">
        <f t="shared" si="1"/>
        <v/>
      </c>
      <c r="I1113" s="19"/>
    </row>
    <row r="1114" ht="15.75" customHeight="1">
      <c r="A1114" s="3"/>
      <c r="B1114" s="19"/>
      <c r="C1114" s="19"/>
      <c r="D1114" s="19"/>
      <c r="E1114" s="19"/>
      <c r="F1114" s="28"/>
      <c r="G1114" s="30"/>
      <c r="H1114" s="21" t="str">
        <f t="shared" si="1"/>
        <v/>
      </c>
      <c r="I1114" s="19"/>
    </row>
    <row r="1115" ht="15.75" customHeight="1">
      <c r="A1115" s="3"/>
      <c r="B1115" s="19"/>
      <c r="C1115" s="19"/>
      <c r="D1115" s="19"/>
      <c r="E1115" s="19"/>
      <c r="F1115" s="28"/>
      <c r="G1115" s="30"/>
      <c r="H1115" s="21" t="str">
        <f t="shared" si="1"/>
        <v/>
      </c>
      <c r="I1115" s="19"/>
    </row>
    <row r="1116" ht="15.75" customHeight="1">
      <c r="A1116" s="3"/>
      <c r="B1116" s="19"/>
      <c r="C1116" s="19"/>
      <c r="D1116" s="19"/>
      <c r="E1116" s="19"/>
      <c r="F1116" s="28"/>
      <c r="G1116" s="30"/>
      <c r="H1116" s="21" t="str">
        <f t="shared" si="1"/>
        <v/>
      </c>
      <c r="I1116" s="19"/>
    </row>
    <row r="1117" ht="15.75" customHeight="1">
      <c r="A1117" s="3"/>
      <c r="B1117" s="19"/>
      <c r="C1117" s="19"/>
      <c r="D1117" s="19"/>
      <c r="E1117" s="19"/>
      <c r="F1117" s="28"/>
      <c r="G1117" s="30"/>
      <c r="H1117" s="21" t="str">
        <f t="shared" si="1"/>
        <v/>
      </c>
      <c r="I1117" s="19"/>
    </row>
    <row r="1118" ht="15.75" customHeight="1">
      <c r="A1118" s="3"/>
      <c r="B1118" s="19"/>
      <c r="C1118" s="19"/>
      <c r="D1118" s="19"/>
      <c r="E1118" s="19"/>
      <c r="F1118" s="28"/>
      <c r="G1118" s="30"/>
      <c r="H1118" s="21" t="str">
        <f t="shared" si="1"/>
        <v/>
      </c>
      <c r="I1118" s="19"/>
    </row>
    <row r="1119" ht="15.75" customHeight="1">
      <c r="A1119" s="3"/>
      <c r="B1119" s="19"/>
      <c r="C1119" s="19"/>
      <c r="D1119" s="19"/>
      <c r="E1119" s="19"/>
      <c r="F1119" s="28"/>
      <c r="G1119" s="30"/>
      <c r="H1119" s="21" t="str">
        <f t="shared" si="1"/>
        <v/>
      </c>
      <c r="I1119" s="19"/>
    </row>
    <row r="1120" ht="15.75" customHeight="1">
      <c r="A1120" s="3"/>
      <c r="B1120" s="19"/>
      <c r="C1120" s="19"/>
      <c r="D1120" s="19"/>
      <c r="E1120" s="19"/>
      <c r="F1120" s="28"/>
      <c r="G1120" s="30"/>
      <c r="H1120" s="21" t="str">
        <f t="shared" si="1"/>
        <v/>
      </c>
      <c r="I1120" s="19"/>
    </row>
    <row r="1121" ht="15.75" customHeight="1">
      <c r="A1121" s="3"/>
      <c r="B1121" s="19"/>
      <c r="C1121" s="19"/>
      <c r="D1121" s="19"/>
      <c r="E1121" s="19"/>
      <c r="F1121" s="28"/>
      <c r="G1121" s="30"/>
      <c r="H1121" s="21" t="str">
        <f t="shared" si="1"/>
        <v/>
      </c>
      <c r="I1121" s="19"/>
    </row>
    <row r="1122" ht="15.75" customHeight="1">
      <c r="A1122" s="3"/>
      <c r="B1122" s="19"/>
      <c r="C1122" s="19"/>
      <c r="D1122" s="19"/>
      <c r="E1122" s="19"/>
      <c r="F1122" s="28"/>
      <c r="G1122" s="30"/>
      <c r="H1122" s="21" t="str">
        <f t="shared" si="1"/>
        <v/>
      </c>
      <c r="I1122" s="19"/>
    </row>
    <row r="1123" ht="15.75" customHeight="1">
      <c r="A1123" s="3"/>
      <c r="B1123" s="19"/>
      <c r="C1123" s="19"/>
      <c r="D1123" s="19"/>
      <c r="E1123" s="19"/>
      <c r="F1123" s="28"/>
      <c r="G1123" s="30"/>
      <c r="H1123" s="21" t="str">
        <f t="shared" si="1"/>
        <v/>
      </c>
      <c r="I1123" s="19"/>
    </row>
    <row r="1124" ht="15.75" customHeight="1">
      <c r="A1124" s="3"/>
      <c r="B1124" s="19"/>
      <c r="C1124" s="19"/>
      <c r="D1124" s="19"/>
      <c r="E1124" s="19"/>
      <c r="F1124" s="28"/>
      <c r="G1124" s="30"/>
      <c r="H1124" s="21" t="str">
        <f t="shared" si="1"/>
        <v/>
      </c>
      <c r="I1124" s="19"/>
    </row>
    <row r="1125" ht="15.75" customHeight="1">
      <c r="A1125" s="3"/>
      <c r="B1125" s="19"/>
      <c r="C1125" s="19"/>
      <c r="D1125" s="19"/>
      <c r="E1125" s="19"/>
      <c r="F1125" s="28"/>
      <c r="G1125" s="30"/>
      <c r="H1125" s="21" t="str">
        <f t="shared" si="1"/>
        <v/>
      </c>
      <c r="I1125" s="19"/>
    </row>
    <row r="1126" ht="15.75" customHeight="1">
      <c r="A1126" s="3"/>
      <c r="B1126" s="19"/>
      <c r="C1126" s="19"/>
      <c r="D1126" s="19"/>
      <c r="E1126" s="19"/>
      <c r="F1126" s="28"/>
      <c r="G1126" s="30"/>
      <c r="H1126" s="21" t="str">
        <f t="shared" si="1"/>
        <v/>
      </c>
      <c r="I1126" s="19"/>
    </row>
    <row r="1127" ht="15.75" customHeight="1">
      <c r="A1127" s="3"/>
      <c r="B1127" s="19"/>
      <c r="C1127" s="19"/>
      <c r="D1127" s="19"/>
      <c r="E1127" s="19"/>
      <c r="F1127" s="28"/>
      <c r="G1127" s="30"/>
      <c r="H1127" s="21" t="str">
        <f t="shared" si="1"/>
        <v/>
      </c>
      <c r="I1127" s="19"/>
    </row>
    <row r="1128" ht="15.75" customHeight="1">
      <c r="A1128" s="3"/>
      <c r="B1128" s="19"/>
      <c r="C1128" s="19"/>
      <c r="D1128" s="19"/>
      <c r="E1128" s="19"/>
      <c r="F1128" s="28"/>
      <c r="G1128" s="30"/>
      <c r="H1128" s="21" t="str">
        <f t="shared" si="1"/>
        <v/>
      </c>
      <c r="I1128" s="19"/>
    </row>
    <row r="1129" ht="15.75" customHeight="1">
      <c r="A1129" s="3"/>
      <c r="B1129" s="19"/>
      <c r="C1129" s="19"/>
      <c r="D1129" s="19"/>
      <c r="E1129" s="19"/>
      <c r="F1129" s="28"/>
      <c r="G1129" s="30"/>
      <c r="H1129" s="21" t="str">
        <f t="shared" si="1"/>
        <v/>
      </c>
      <c r="I1129" s="19"/>
    </row>
    <row r="1130" ht="15.75" customHeight="1">
      <c r="A1130" s="3"/>
      <c r="B1130" s="19"/>
      <c r="C1130" s="19"/>
      <c r="D1130" s="19"/>
      <c r="E1130" s="19"/>
      <c r="F1130" s="28"/>
      <c r="G1130" s="30"/>
      <c r="H1130" s="21" t="str">
        <f t="shared" si="1"/>
        <v/>
      </c>
      <c r="I1130" s="19"/>
    </row>
    <row r="1131" ht="15.75" customHeight="1">
      <c r="A1131" s="3"/>
      <c r="B1131" s="19"/>
      <c r="C1131" s="19"/>
      <c r="D1131" s="19"/>
      <c r="E1131" s="19"/>
      <c r="F1131" s="28"/>
      <c r="G1131" s="30"/>
      <c r="H1131" s="21" t="str">
        <f t="shared" si="1"/>
        <v/>
      </c>
      <c r="I1131" s="19"/>
    </row>
    <row r="1132" ht="15.75" customHeight="1">
      <c r="A1132" s="3"/>
      <c r="B1132" s="19"/>
      <c r="C1132" s="19"/>
      <c r="D1132" s="19"/>
      <c r="E1132" s="19"/>
      <c r="F1132" s="28"/>
      <c r="G1132" s="30"/>
      <c r="H1132" s="21" t="str">
        <f t="shared" si="1"/>
        <v/>
      </c>
      <c r="I1132" s="19"/>
    </row>
    <row r="1133" ht="15.75" customHeight="1">
      <c r="A1133" s="3"/>
      <c r="B1133" s="19"/>
      <c r="C1133" s="19"/>
      <c r="D1133" s="19"/>
      <c r="E1133" s="19"/>
      <c r="F1133" s="28"/>
      <c r="G1133" s="30"/>
      <c r="H1133" s="21" t="str">
        <f t="shared" si="1"/>
        <v/>
      </c>
      <c r="I1133" s="19"/>
    </row>
    <row r="1134" ht="15.75" customHeight="1">
      <c r="A1134" s="3"/>
      <c r="B1134" s="19"/>
      <c r="C1134" s="19"/>
      <c r="D1134" s="19"/>
      <c r="E1134" s="19"/>
      <c r="F1134" s="28"/>
      <c r="G1134" s="30"/>
      <c r="H1134" s="21" t="str">
        <f t="shared" si="1"/>
        <v/>
      </c>
      <c r="I1134" s="19"/>
    </row>
    <row r="1135" ht="15.75" customHeight="1">
      <c r="A1135" s="3"/>
      <c r="B1135" s="19"/>
      <c r="C1135" s="19"/>
      <c r="D1135" s="19"/>
      <c r="E1135" s="19"/>
      <c r="F1135" s="28"/>
      <c r="G1135" s="30"/>
      <c r="H1135" s="21" t="str">
        <f t="shared" si="1"/>
        <v/>
      </c>
      <c r="I1135" s="19"/>
    </row>
    <row r="1136" ht="15.75" customHeight="1">
      <c r="A1136" s="3"/>
      <c r="B1136" s="19"/>
      <c r="C1136" s="19"/>
      <c r="D1136" s="19"/>
      <c r="E1136" s="19"/>
      <c r="F1136" s="28"/>
      <c r="G1136" s="30"/>
      <c r="H1136" s="21" t="str">
        <f t="shared" si="1"/>
        <v/>
      </c>
      <c r="I1136" s="19"/>
    </row>
    <row r="1137" ht="15.75" customHeight="1">
      <c r="A1137" s="3"/>
      <c r="B1137" s="19"/>
      <c r="C1137" s="19"/>
      <c r="D1137" s="19"/>
      <c r="E1137" s="19"/>
      <c r="F1137" s="28"/>
      <c r="G1137" s="30"/>
      <c r="H1137" s="21" t="str">
        <f t="shared" si="1"/>
        <v/>
      </c>
      <c r="I1137" s="19"/>
    </row>
    <row r="1138" ht="15.75" customHeight="1">
      <c r="A1138" s="3"/>
      <c r="B1138" s="19"/>
      <c r="C1138" s="19"/>
      <c r="D1138" s="19"/>
      <c r="E1138" s="19"/>
      <c r="F1138" s="28"/>
      <c r="G1138" s="30"/>
      <c r="H1138" s="21" t="str">
        <f t="shared" si="1"/>
        <v/>
      </c>
      <c r="I1138" s="19"/>
    </row>
    <row r="1139" ht="15.75" customHeight="1">
      <c r="A1139" s="3"/>
      <c r="B1139" s="19"/>
      <c r="C1139" s="19"/>
      <c r="D1139" s="19"/>
      <c r="E1139" s="19"/>
      <c r="F1139" s="28"/>
      <c r="G1139" s="30"/>
      <c r="H1139" s="21" t="str">
        <f t="shared" si="1"/>
        <v/>
      </c>
      <c r="I1139" s="19"/>
    </row>
    <row r="1140" ht="15.75" customHeight="1">
      <c r="A1140" s="3"/>
      <c r="B1140" s="19"/>
      <c r="C1140" s="19"/>
      <c r="D1140" s="19"/>
      <c r="E1140" s="19"/>
      <c r="F1140" s="28"/>
      <c r="G1140" s="30"/>
      <c r="H1140" s="21" t="str">
        <f t="shared" si="1"/>
        <v/>
      </c>
      <c r="I1140" s="19"/>
    </row>
    <row r="1141" ht="15.75" customHeight="1">
      <c r="A1141" s="3"/>
      <c r="B1141" s="19"/>
      <c r="C1141" s="19"/>
      <c r="D1141" s="19"/>
      <c r="E1141" s="19"/>
      <c r="F1141" s="28"/>
      <c r="G1141" s="30"/>
      <c r="H1141" s="21" t="str">
        <f t="shared" si="1"/>
        <v/>
      </c>
      <c r="I1141" s="19"/>
    </row>
    <row r="1142" ht="15.75" customHeight="1">
      <c r="A1142" s="3"/>
      <c r="B1142" s="19"/>
      <c r="C1142" s="19"/>
      <c r="D1142" s="19"/>
      <c r="E1142" s="19"/>
      <c r="F1142" s="28"/>
      <c r="G1142" s="30"/>
      <c r="H1142" s="21" t="str">
        <f t="shared" si="1"/>
        <v/>
      </c>
      <c r="I1142" s="19"/>
    </row>
    <row r="1143" ht="15.75" customHeight="1">
      <c r="A1143" s="3"/>
      <c r="B1143" s="19"/>
      <c r="C1143" s="19"/>
      <c r="D1143" s="19"/>
      <c r="E1143" s="19"/>
      <c r="F1143" s="28"/>
      <c r="G1143" s="30"/>
      <c r="H1143" s="21" t="str">
        <f t="shared" si="1"/>
        <v/>
      </c>
      <c r="I1143" s="19"/>
    </row>
    <row r="1144" ht="15.75" customHeight="1">
      <c r="A1144" s="3"/>
      <c r="B1144" s="19"/>
      <c r="C1144" s="19"/>
      <c r="D1144" s="19"/>
      <c r="E1144" s="19"/>
      <c r="F1144" s="28"/>
      <c r="G1144" s="30"/>
      <c r="H1144" s="21" t="str">
        <f t="shared" si="1"/>
        <v/>
      </c>
      <c r="I1144" s="19"/>
    </row>
    <row r="1145" ht="15.75" customHeight="1">
      <c r="A1145" s="3"/>
      <c r="B1145" s="19"/>
      <c r="C1145" s="19"/>
      <c r="D1145" s="19"/>
      <c r="E1145" s="19"/>
      <c r="F1145" s="28"/>
      <c r="G1145" s="30"/>
      <c r="H1145" s="21" t="str">
        <f t="shared" si="1"/>
        <v/>
      </c>
      <c r="I1145" s="19"/>
    </row>
    <row r="1146" ht="15.75" customHeight="1">
      <c r="A1146" s="3"/>
      <c r="B1146" s="19"/>
      <c r="C1146" s="19"/>
      <c r="D1146" s="19"/>
      <c r="E1146" s="19"/>
      <c r="F1146" s="28"/>
      <c r="G1146" s="30"/>
      <c r="H1146" s="21" t="str">
        <f t="shared" si="1"/>
        <v/>
      </c>
      <c r="I1146" s="19"/>
    </row>
    <row r="1147" ht="15.75" customHeight="1">
      <c r="A1147" s="3"/>
      <c r="B1147" s="19"/>
      <c r="C1147" s="19"/>
      <c r="D1147" s="19"/>
      <c r="E1147" s="19"/>
      <c r="F1147" s="28"/>
      <c r="G1147" s="30"/>
      <c r="H1147" s="21" t="str">
        <f t="shared" si="1"/>
        <v/>
      </c>
      <c r="I1147" s="19"/>
    </row>
    <row r="1148" ht="15.75" customHeight="1">
      <c r="A1148" s="3"/>
      <c r="B1148" s="19"/>
      <c r="C1148" s="19"/>
      <c r="D1148" s="19"/>
      <c r="E1148" s="19"/>
      <c r="F1148" s="28"/>
      <c r="G1148" s="30"/>
      <c r="H1148" s="21" t="str">
        <f t="shared" si="1"/>
        <v/>
      </c>
      <c r="I1148" s="19"/>
    </row>
    <row r="1149" ht="15.75" customHeight="1">
      <c r="A1149" s="3"/>
      <c r="B1149" s="19"/>
      <c r="C1149" s="19"/>
      <c r="D1149" s="19"/>
      <c r="E1149" s="19"/>
      <c r="F1149" s="28"/>
      <c r="G1149" s="30"/>
      <c r="H1149" s="21" t="str">
        <f t="shared" si="1"/>
        <v/>
      </c>
      <c r="I1149" s="19"/>
    </row>
    <row r="1150" ht="15.75" customHeight="1">
      <c r="A1150" s="3"/>
      <c r="B1150" s="19"/>
      <c r="C1150" s="19"/>
      <c r="D1150" s="19"/>
      <c r="E1150" s="19"/>
      <c r="F1150" s="28"/>
      <c r="G1150" s="30"/>
      <c r="H1150" s="21" t="str">
        <f t="shared" si="1"/>
        <v/>
      </c>
      <c r="I1150" s="19"/>
    </row>
    <row r="1151" ht="15.75" customHeight="1">
      <c r="A1151" s="3"/>
      <c r="B1151" s="19"/>
      <c r="C1151" s="19"/>
      <c r="D1151" s="19"/>
      <c r="E1151" s="19"/>
      <c r="F1151" s="28"/>
      <c r="G1151" s="30"/>
      <c r="H1151" s="21" t="str">
        <f t="shared" si="1"/>
        <v/>
      </c>
      <c r="I1151" s="19"/>
    </row>
    <row r="1152" ht="15.75" customHeight="1">
      <c r="A1152" s="3"/>
      <c r="B1152" s="19"/>
      <c r="C1152" s="19"/>
      <c r="D1152" s="19"/>
      <c r="E1152" s="19"/>
      <c r="F1152" s="28"/>
      <c r="G1152" s="30"/>
      <c r="H1152" s="21" t="str">
        <f t="shared" si="1"/>
        <v/>
      </c>
      <c r="I1152" s="19"/>
    </row>
    <row r="1153" ht="15.75" customHeight="1">
      <c r="A1153" s="3"/>
      <c r="B1153" s="19"/>
      <c r="C1153" s="19"/>
      <c r="D1153" s="19"/>
      <c r="E1153" s="19"/>
      <c r="F1153" s="28"/>
      <c r="G1153" s="30"/>
      <c r="H1153" s="21" t="str">
        <f t="shared" si="1"/>
        <v/>
      </c>
      <c r="I1153" s="19"/>
    </row>
    <row r="1154" ht="15.75" customHeight="1">
      <c r="A1154" s="3"/>
      <c r="B1154" s="19"/>
      <c r="C1154" s="19"/>
      <c r="D1154" s="19"/>
      <c r="E1154" s="19"/>
      <c r="F1154" s="28"/>
      <c r="G1154" s="30"/>
      <c r="H1154" s="21" t="str">
        <f t="shared" si="1"/>
        <v/>
      </c>
      <c r="I1154" s="19"/>
    </row>
    <row r="1155" ht="15.75" customHeight="1">
      <c r="A1155" s="3"/>
      <c r="B1155" s="19"/>
      <c r="C1155" s="19"/>
      <c r="D1155" s="19"/>
      <c r="E1155" s="19"/>
      <c r="F1155" s="28"/>
      <c r="G1155" s="30"/>
      <c r="H1155" s="21" t="str">
        <f t="shared" si="1"/>
        <v/>
      </c>
      <c r="I1155" s="19"/>
    </row>
    <row r="1156" ht="15.75" customHeight="1">
      <c r="A1156" s="3"/>
      <c r="B1156" s="19"/>
      <c r="C1156" s="19"/>
      <c r="D1156" s="19"/>
      <c r="E1156" s="19"/>
      <c r="F1156" s="28"/>
      <c r="G1156" s="30"/>
      <c r="H1156" s="21" t="str">
        <f t="shared" si="1"/>
        <v/>
      </c>
      <c r="I1156" s="19"/>
    </row>
    <row r="1157" ht="15.75" customHeight="1">
      <c r="A1157" s="3"/>
      <c r="B1157" s="19"/>
      <c r="C1157" s="19"/>
      <c r="D1157" s="19"/>
      <c r="E1157" s="19"/>
      <c r="F1157" s="28"/>
      <c r="G1157" s="30"/>
      <c r="H1157" s="21" t="str">
        <f t="shared" si="1"/>
        <v/>
      </c>
      <c r="I1157" s="19"/>
    </row>
    <row r="1158" ht="15.75" customHeight="1">
      <c r="A1158" s="3"/>
      <c r="B1158" s="19"/>
      <c r="C1158" s="19"/>
      <c r="D1158" s="19"/>
      <c r="E1158" s="19"/>
      <c r="F1158" s="28"/>
      <c r="G1158" s="30"/>
      <c r="H1158" s="21" t="str">
        <f t="shared" si="1"/>
        <v/>
      </c>
      <c r="I1158" s="19"/>
    </row>
    <row r="1159" ht="15.75" customHeight="1">
      <c r="A1159" s="3"/>
      <c r="B1159" s="19"/>
      <c r="C1159" s="19"/>
      <c r="D1159" s="19"/>
      <c r="E1159" s="19"/>
      <c r="F1159" s="28"/>
      <c r="G1159" s="30"/>
      <c r="H1159" s="21" t="str">
        <f t="shared" si="1"/>
        <v/>
      </c>
      <c r="I1159" s="19"/>
    </row>
    <row r="1160" ht="15.75" customHeight="1">
      <c r="A1160" s="3"/>
      <c r="B1160" s="19"/>
      <c r="C1160" s="19"/>
      <c r="D1160" s="19"/>
      <c r="E1160" s="19"/>
      <c r="F1160" s="28"/>
      <c r="G1160" s="30"/>
      <c r="H1160" s="21" t="str">
        <f t="shared" si="1"/>
        <v/>
      </c>
      <c r="I1160" s="19"/>
    </row>
    <row r="1161" ht="15.75" customHeight="1">
      <c r="A1161" s="3"/>
      <c r="B1161" s="19"/>
      <c r="C1161" s="19"/>
      <c r="D1161" s="19"/>
      <c r="E1161" s="19"/>
      <c r="F1161" s="28"/>
      <c r="G1161" s="30"/>
      <c r="H1161" s="21" t="str">
        <f t="shared" si="1"/>
        <v/>
      </c>
      <c r="I1161" s="19"/>
    </row>
    <row r="1162" ht="15.75" customHeight="1">
      <c r="A1162" s="3"/>
      <c r="B1162" s="19"/>
      <c r="C1162" s="19"/>
      <c r="D1162" s="19"/>
      <c r="E1162" s="19"/>
      <c r="F1162" s="28"/>
      <c r="G1162" s="30"/>
      <c r="H1162" s="21" t="str">
        <f t="shared" si="1"/>
        <v/>
      </c>
      <c r="I1162" s="19"/>
    </row>
    <row r="1163" ht="15.75" customHeight="1">
      <c r="A1163" s="3"/>
      <c r="B1163" s="19"/>
      <c r="C1163" s="19"/>
      <c r="D1163" s="19"/>
      <c r="E1163" s="19"/>
      <c r="F1163" s="28"/>
      <c r="G1163" s="30"/>
      <c r="H1163" s="21" t="str">
        <f t="shared" si="1"/>
        <v/>
      </c>
      <c r="I1163" s="19"/>
    </row>
    <row r="1164" ht="15.75" customHeight="1">
      <c r="A1164" s="3"/>
      <c r="B1164" s="19"/>
      <c r="C1164" s="19"/>
      <c r="D1164" s="19"/>
      <c r="E1164" s="19"/>
      <c r="F1164" s="28"/>
      <c r="G1164" s="30"/>
      <c r="H1164" s="21" t="str">
        <f t="shared" si="1"/>
        <v/>
      </c>
      <c r="I1164" s="19"/>
    </row>
    <row r="1165" ht="15.75" customHeight="1">
      <c r="A1165" s="3"/>
      <c r="B1165" s="19"/>
      <c r="C1165" s="19"/>
      <c r="D1165" s="19"/>
      <c r="E1165" s="19"/>
      <c r="F1165" s="28"/>
      <c r="G1165" s="30"/>
      <c r="H1165" s="21" t="str">
        <f t="shared" si="1"/>
        <v/>
      </c>
      <c r="I1165" s="19"/>
    </row>
    <row r="1166" ht="15.75" customHeight="1">
      <c r="A1166" s="3"/>
      <c r="B1166" s="19"/>
      <c r="C1166" s="19"/>
      <c r="D1166" s="19"/>
      <c r="E1166" s="19"/>
      <c r="F1166" s="28"/>
      <c r="G1166" s="30"/>
      <c r="H1166" s="21" t="str">
        <f t="shared" si="1"/>
        <v/>
      </c>
      <c r="I1166" s="19"/>
    </row>
    <row r="1167" ht="15.75" customHeight="1">
      <c r="A1167" s="3"/>
      <c r="B1167" s="19"/>
      <c r="C1167" s="19"/>
      <c r="D1167" s="19"/>
      <c r="E1167" s="19"/>
      <c r="F1167" s="28"/>
      <c r="G1167" s="30"/>
      <c r="H1167" s="21" t="str">
        <f t="shared" si="1"/>
        <v/>
      </c>
      <c r="I1167" s="19"/>
    </row>
    <row r="1168" ht="15.75" customHeight="1">
      <c r="A1168" s="3"/>
      <c r="B1168" s="19"/>
      <c r="C1168" s="19"/>
      <c r="D1168" s="19"/>
      <c r="E1168" s="19"/>
      <c r="F1168" s="28"/>
      <c r="G1168" s="30"/>
      <c r="H1168" s="21" t="str">
        <f t="shared" si="1"/>
        <v/>
      </c>
      <c r="I1168" s="19"/>
    </row>
    <row r="1169" ht="15.75" customHeight="1">
      <c r="A1169" s="3"/>
      <c r="B1169" s="19"/>
      <c r="C1169" s="19"/>
      <c r="D1169" s="19"/>
      <c r="E1169" s="19"/>
      <c r="F1169" s="28"/>
      <c r="G1169" s="30"/>
      <c r="H1169" s="21" t="str">
        <f t="shared" si="1"/>
        <v/>
      </c>
      <c r="I1169" s="19"/>
    </row>
    <row r="1170" ht="15.75" customHeight="1">
      <c r="A1170" s="3"/>
      <c r="B1170" s="19"/>
      <c r="C1170" s="19"/>
      <c r="D1170" s="19"/>
      <c r="E1170" s="19"/>
      <c r="F1170" s="28"/>
      <c r="G1170" s="30"/>
      <c r="H1170" s="21" t="str">
        <f t="shared" si="1"/>
        <v/>
      </c>
      <c r="I1170" s="19"/>
    </row>
    <row r="1171" ht="15.75" customHeight="1">
      <c r="A1171" s="3"/>
      <c r="B1171" s="19"/>
      <c r="C1171" s="19"/>
      <c r="D1171" s="19"/>
      <c r="E1171" s="19"/>
      <c r="F1171" s="28"/>
      <c r="G1171" s="30"/>
      <c r="H1171" s="21" t="str">
        <f t="shared" si="1"/>
        <v/>
      </c>
      <c r="I1171" s="19"/>
    </row>
    <row r="1172" ht="15.75" customHeight="1">
      <c r="A1172" s="3"/>
      <c r="B1172" s="19"/>
      <c r="C1172" s="19"/>
      <c r="D1172" s="19"/>
      <c r="E1172" s="19"/>
      <c r="F1172" s="28"/>
      <c r="G1172" s="30"/>
      <c r="H1172" s="21" t="str">
        <f t="shared" si="1"/>
        <v/>
      </c>
      <c r="I1172" s="19"/>
    </row>
    <row r="1173" ht="15.75" customHeight="1">
      <c r="A1173" s="3"/>
      <c r="B1173" s="19"/>
      <c r="C1173" s="19"/>
      <c r="D1173" s="19"/>
      <c r="E1173" s="19"/>
      <c r="F1173" s="28"/>
      <c r="G1173" s="30"/>
      <c r="H1173" s="21" t="str">
        <f t="shared" si="1"/>
        <v/>
      </c>
      <c r="I1173" s="19"/>
    </row>
    <row r="1174" ht="15.75" customHeight="1">
      <c r="A1174" s="3"/>
      <c r="B1174" s="19"/>
      <c r="C1174" s="19"/>
      <c r="D1174" s="19"/>
      <c r="E1174" s="19"/>
      <c r="F1174" s="28"/>
      <c r="G1174" s="30"/>
      <c r="H1174" s="21" t="str">
        <f t="shared" si="1"/>
        <v/>
      </c>
      <c r="I1174" s="19"/>
    </row>
    <row r="1175" ht="15.75" customHeight="1">
      <c r="A1175" s="3"/>
      <c r="B1175" s="19"/>
      <c r="C1175" s="19"/>
      <c r="D1175" s="19"/>
      <c r="E1175" s="19"/>
      <c r="F1175" s="28"/>
      <c r="G1175" s="30"/>
      <c r="H1175" s="21" t="str">
        <f t="shared" si="1"/>
        <v/>
      </c>
      <c r="I1175" s="19"/>
    </row>
    <row r="1176" ht="15.75" customHeight="1">
      <c r="A1176" s="3"/>
      <c r="B1176" s="19"/>
      <c r="C1176" s="19"/>
      <c r="D1176" s="19"/>
      <c r="E1176" s="19"/>
      <c r="F1176" s="28"/>
      <c r="G1176" s="30"/>
      <c r="H1176" s="21" t="str">
        <f t="shared" si="1"/>
        <v/>
      </c>
      <c r="I1176" s="19"/>
    </row>
    <row r="1177" ht="15.75" customHeight="1">
      <c r="A1177" s="3"/>
      <c r="B1177" s="19"/>
      <c r="C1177" s="19"/>
      <c r="D1177" s="19"/>
      <c r="E1177" s="19"/>
      <c r="F1177" s="28"/>
      <c r="G1177" s="30"/>
      <c r="H1177" s="21" t="str">
        <f t="shared" si="1"/>
        <v/>
      </c>
      <c r="I1177" s="19"/>
    </row>
    <row r="1178" ht="15.75" customHeight="1">
      <c r="A1178" s="3"/>
      <c r="B1178" s="19"/>
      <c r="C1178" s="19"/>
      <c r="D1178" s="19"/>
      <c r="E1178" s="19"/>
      <c r="F1178" s="28"/>
      <c r="G1178" s="30"/>
      <c r="H1178" s="21" t="str">
        <f t="shared" si="1"/>
        <v/>
      </c>
      <c r="I1178" s="19"/>
    </row>
    <row r="1179" ht="15.75" customHeight="1">
      <c r="A1179" s="3"/>
      <c r="B1179" s="19"/>
      <c r="C1179" s="19"/>
      <c r="D1179" s="19"/>
      <c r="E1179" s="19"/>
      <c r="F1179" s="28"/>
      <c r="G1179" s="30"/>
      <c r="H1179" s="21" t="str">
        <f t="shared" si="1"/>
        <v/>
      </c>
      <c r="I1179" s="19"/>
    </row>
    <row r="1180" ht="15.75" customHeight="1">
      <c r="A1180" s="3"/>
      <c r="B1180" s="19"/>
      <c r="C1180" s="19"/>
      <c r="D1180" s="19"/>
      <c r="E1180" s="19"/>
      <c r="F1180" s="28"/>
      <c r="G1180" s="30"/>
      <c r="H1180" s="21" t="str">
        <f t="shared" si="1"/>
        <v/>
      </c>
      <c r="I1180" s="19"/>
    </row>
    <row r="1181" ht="15.75" customHeight="1">
      <c r="A1181" s="3"/>
      <c r="B1181" s="19"/>
      <c r="C1181" s="19"/>
      <c r="D1181" s="19"/>
      <c r="E1181" s="19"/>
      <c r="F1181" s="28"/>
      <c r="G1181" s="30"/>
      <c r="H1181" s="21" t="str">
        <f t="shared" si="1"/>
        <v/>
      </c>
      <c r="I1181" s="19"/>
    </row>
    <row r="1182" ht="15.75" customHeight="1">
      <c r="A1182" s="3"/>
      <c r="B1182" s="19"/>
      <c r="C1182" s="19"/>
      <c r="D1182" s="19"/>
      <c r="E1182" s="19"/>
      <c r="F1182" s="28"/>
      <c r="G1182" s="30"/>
      <c r="H1182" s="21" t="str">
        <f t="shared" si="1"/>
        <v/>
      </c>
      <c r="I1182" s="19"/>
    </row>
    <row r="1183" ht="15.75" customHeight="1">
      <c r="A1183" s="3"/>
      <c r="B1183" s="19"/>
      <c r="C1183" s="19"/>
      <c r="D1183" s="19"/>
      <c r="E1183" s="19"/>
      <c r="F1183" s="28"/>
      <c r="G1183" s="30"/>
      <c r="H1183" s="21" t="str">
        <f t="shared" si="1"/>
        <v/>
      </c>
      <c r="I1183" s="19"/>
    </row>
    <row r="1184" ht="15.75" customHeight="1">
      <c r="A1184" s="3"/>
      <c r="B1184" s="19"/>
      <c r="C1184" s="19"/>
      <c r="D1184" s="19"/>
      <c r="E1184" s="19"/>
      <c r="F1184" s="28"/>
      <c r="G1184" s="30"/>
      <c r="H1184" s="21" t="str">
        <f t="shared" si="1"/>
        <v/>
      </c>
      <c r="I1184" s="19"/>
    </row>
    <row r="1185" ht="15.75" customHeight="1">
      <c r="A1185" s="3"/>
      <c r="B1185" s="19"/>
      <c r="C1185" s="19"/>
      <c r="D1185" s="19"/>
      <c r="E1185" s="19"/>
      <c r="F1185" s="28"/>
      <c r="G1185" s="30"/>
      <c r="H1185" s="21" t="str">
        <f t="shared" si="1"/>
        <v/>
      </c>
      <c r="I1185" s="19"/>
    </row>
    <row r="1186" ht="15.75" customHeight="1">
      <c r="A1186" s="3"/>
      <c r="B1186" s="19"/>
      <c r="C1186" s="19"/>
      <c r="D1186" s="19"/>
      <c r="E1186" s="19"/>
      <c r="F1186" s="28"/>
      <c r="G1186" s="30"/>
      <c r="H1186" s="21" t="str">
        <f t="shared" si="1"/>
        <v/>
      </c>
      <c r="I1186" s="19"/>
    </row>
    <row r="1187" ht="15.75" customHeight="1">
      <c r="A1187" s="3"/>
      <c r="B1187" s="19"/>
      <c r="C1187" s="19"/>
      <c r="D1187" s="19"/>
      <c r="E1187" s="19"/>
      <c r="F1187" s="28"/>
      <c r="G1187" s="30"/>
      <c r="H1187" s="21" t="str">
        <f t="shared" si="1"/>
        <v/>
      </c>
      <c r="I1187" s="19"/>
    </row>
    <row r="1188" ht="15.75" customHeight="1">
      <c r="A1188" s="3"/>
      <c r="B1188" s="19"/>
      <c r="C1188" s="19"/>
      <c r="D1188" s="19"/>
      <c r="E1188" s="19"/>
      <c r="F1188" s="28"/>
      <c r="G1188" s="30"/>
      <c r="H1188" s="21" t="str">
        <f t="shared" si="1"/>
        <v/>
      </c>
      <c r="I1188" s="19"/>
    </row>
    <row r="1189" ht="15.75" customHeight="1">
      <c r="A1189" s="3"/>
      <c r="B1189" s="19"/>
      <c r="C1189" s="19"/>
      <c r="D1189" s="19"/>
      <c r="E1189" s="19"/>
      <c r="F1189" s="28"/>
      <c r="G1189" s="30"/>
      <c r="H1189" s="21" t="str">
        <f t="shared" si="1"/>
        <v/>
      </c>
      <c r="I1189" s="19"/>
    </row>
    <row r="1190" ht="15.75" customHeight="1">
      <c r="A1190" s="3"/>
      <c r="B1190" s="19"/>
      <c r="C1190" s="19"/>
      <c r="D1190" s="19"/>
      <c r="E1190" s="19"/>
      <c r="F1190" s="28"/>
      <c r="G1190" s="30"/>
      <c r="H1190" s="21" t="str">
        <f t="shared" si="1"/>
        <v/>
      </c>
      <c r="I1190" s="19"/>
    </row>
    <row r="1191" ht="15.75" customHeight="1">
      <c r="A1191" s="3"/>
      <c r="B1191" s="19"/>
      <c r="C1191" s="19"/>
      <c r="D1191" s="19"/>
      <c r="E1191" s="19"/>
      <c r="F1191" s="28"/>
      <c r="G1191" s="30"/>
      <c r="H1191" s="21" t="str">
        <f t="shared" si="1"/>
        <v/>
      </c>
      <c r="I1191" s="19"/>
    </row>
    <row r="1192" ht="15.75" customHeight="1">
      <c r="A1192" s="3"/>
      <c r="B1192" s="19"/>
      <c r="C1192" s="19"/>
      <c r="D1192" s="19"/>
      <c r="E1192" s="19"/>
      <c r="F1192" s="28"/>
      <c r="G1192" s="30"/>
      <c r="H1192" s="21" t="str">
        <f t="shared" si="1"/>
        <v/>
      </c>
      <c r="I1192" s="19"/>
    </row>
    <row r="1193" ht="15.75" customHeight="1">
      <c r="A1193" s="3"/>
      <c r="B1193" s="19"/>
      <c r="C1193" s="19"/>
      <c r="D1193" s="19"/>
      <c r="E1193" s="19"/>
      <c r="F1193" s="28"/>
      <c r="G1193" s="30"/>
      <c r="H1193" s="21" t="str">
        <f t="shared" si="1"/>
        <v/>
      </c>
      <c r="I1193" s="19"/>
    </row>
    <row r="1194" ht="15.75" customHeight="1">
      <c r="A1194" s="3"/>
      <c r="B1194" s="19"/>
      <c r="C1194" s="19"/>
      <c r="D1194" s="19"/>
      <c r="E1194" s="19"/>
      <c r="F1194" s="28"/>
      <c r="G1194" s="30"/>
      <c r="H1194" s="21" t="str">
        <f t="shared" si="1"/>
        <v/>
      </c>
      <c r="I1194" s="19"/>
    </row>
    <row r="1195" ht="15.75" customHeight="1">
      <c r="A1195" s="3"/>
      <c r="B1195" s="19"/>
      <c r="C1195" s="19"/>
      <c r="D1195" s="19"/>
      <c r="E1195" s="19"/>
      <c r="F1195" s="28"/>
      <c r="G1195" s="30"/>
      <c r="H1195" s="21" t="str">
        <f t="shared" si="1"/>
        <v/>
      </c>
      <c r="I1195" s="19"/>
    </row>
    <row r="1196" ht="15.75" customHeight="1">
      <c r="A1196" s="3"/>
      <c r="B1196" s="19"/>
      <c r="C1196" s="19"/>
      <c r="D1196" s="19"/>
      <c r="E1196" s="19"/>
      <c r="F1196" s="28"/>
      <c r="G1196" s="30"/>
      <c r="H1196" s="21" t="str">
        <f t="shared" si="1"/>
        <v/>
      </c>
      <c r="I1196" s="19"/>
    </row>
    <row r="1197" ht="15.75" customHeight="1">
      <c r="A1197" s="3"/>
      <c r="B1197" s="19"/>
      <c r="C1197" s="19"/>
      <c r="D1197" s="19"/>
      <c r="E1197" s="19"/>
      <c r="F1197" s="28"/>
      <c r="G1197" s="30"/>
      <c r="H1197" s="21" t="str">
        <f t="shared" si="1"/>
        <v/>
      </c>
      <c r="I1197" s="19"/>
    </row>
    <row r="1198" ht="15.75" customHeight="1">
      <c r="A1198" s="3"/>
      <c r="B1198" s="19"/>
      <c r="C1198" s="19"/>
      <c r="D1198" s="19"/>
      <c r="E1198" s="19"/>
      <c r="F1198" s="28"/>
      <c r="G1198" s="30"/>
      <c r="H1198" s="21" t="str">
        <f t="shared" si="1"/>
        <v/>
      </c>
      <c r="I1198" s="19"/>
    </row>
    <row r="1199" ht="15.75" customHeight="1">
      <c r="A1199" s="3"/>
      <c r="B1199" s="19"/>
      <c r="C1199" s="19"/>
      <c r="D1199" s="19"/>
      <c r="E1199" s="19"/>
      <c r="F1199" s="28"/>
      <c r="G1199" s="30"/>
      <c r="H1199" s="21" t="str">
        <f t="shared" si="1"/>
        <v/>
      </c>
      <c r="I1199" s="19"/>
    </row>
    <row r="1200" ht="15.75" customHeight="1">
      <c r="A1200" s="3"/>
      <c r="B1200" s="19"/>
      <c r="C1200" s="19"/>
      <c r="D1200" s="19"/>
      <c r="E1200" s="19"/>
      <c r="F1200" s="28"/>
      <c r="G1200" s="30"/>
      <c r="H1200" s="21" t="str">
        <f t="shared" si="1"/>
        <v/>
      </c>
      <c r="I1200" s="19"/>
    </row>
    <row r="1201" ht="15.75" customHeight="1">
      <c r="A1201" s="3"/>
      <c r="B1201" s="19"/>
      <c r="C1201" s="19"/>
      <c r="D1201" s="19"/>
      <c r="E1201" s="19"/>
      <c r="F1201" s="28"/>
      <c r="G1201" s="30"/>
      <c r="H1201" s="21" t="str">
        <f t="shared" si="1"/>
        <v/>
      </c>
      <c r="I1201" s="19"/>
    </row>
    <row r="1202" ht="15.75" customHeight="1">
      <c r="A1202" s="3"/>
      <c r="B1202" s="19"/>
      <c r="C1202" s="19"/>
      <c r="D1202" s="19"/>
      <c r="E1202" s="19"/>
      <c r="F1202" s="28"/>
      <c r="G1202" s="30"/>
      <c r="H1202" s="21" t="str">
        <f t="shared" si="1"/>
        <v/>
      </c>
      <c r="I1202" s="19"/>
    </row>
    <row r="1203" ht="15.75" customHeight="1">
      <c r="A1203" s="3"/>
      <c r="B1203" s="19"/>
      <c r="C1203" s="19"/>
      <c r="D1203" s="19"/>
      <c r="E1203" s="19"/>
      <c r="F1203" s="28"/>
      <c r="G1203" s="30"/>
      <c r="H1203" s="21" t="str">
        <f t="shared" si="1"/>
        <v/>
      </c>
      <c r="I1203" s="19"/>
    </row>
    <row r="1204" ht="15.75" customHeight="1">
      <c r="A1204" s="3"/>
      <c r="B1204" s="19"/>
      <c r="C1204" s="19"/>
      <c r="D1204" s="19"/>
      <c r="E1204" s="19"/>
      <c r="F1204" s="28"/>
      <c r="G1204" s="30"/>
      <c r="H1204" s="21" t="str">
        <f t="shared" si="1"/>
        <v/>
      </c>
      <c r="I1204" s="19"/>
    </row>
    <row r="1205" ht="15.75" customHeight="1">
      <c r="A1205" s="3"/>
      <c r="B1205" s="19"/>
      <c r="C1205" s="19"/>
      <c r="D1205" s="19"/>
      <c r="E1205" s="19"/>
      <c r="F1205" s="28"/>
      <c r="G1205" s="30"/>
      <c r="H1205" s="21" t="str">
        <f t="shared" si="1"/>
        <v/>
      </c>
      <c r="I1205" s="19"/>
    </row>
    <row r="1206" ht="15.75" customHeight="1">
      <c r="A1206" s="3"/>
      <c r="B1206" s="19"/>
      <c r="C1206" s="19"/>
      <c r="D1206" s="19"/>
      <c r="E1206" s="19"/>
      <c r="F1206" s="28"/>
      <c r="G1206" s="30"/>
      <c r="H1206" s="21" t="str">
        <f t="shared" si="1"/>
        <v/>
      </c>
      <c r="I1206" s="19"/>
    </row>
    <row r="1207" ht="15.75" customHeight="1">
      <c r="A1207" s="3"/>
      <c r="B1207" s="19"/>
      <c r="C1207" s="19"/>
      <c r="D1207" s="19"/>
      <c r="E1207" s="19"/>
      <c r="F1207" s="28"/>
      <c r="G1207" s="30"/>
      <c r="H1207" s="21" t="str">
        <f t="shared" si="1"/>
        <v/>
      </c>
      <c r="I1207" s="19"/>
    </row>
    <row r="1208" ht="15.75" customHeight="1">
      <c r="A1208" s="3"/>
      <c r="B1208" s="19"/>
      <c r="C1208" s="19"/>
      <c r="D1208" s="19"/>
      <c r="E1208" s="19"/>
      <c r="F1208" s="28"/>
      <c r="G1208" s="30"/>
      <c r="H1208" s="21" t="str">
        <f t="shared" si="1"/>
        <v/>
      </c>
      <c r="I1208" s="19"/>
    </row>
    <row r="1209" ht="15.75" customHeight="1">
      <c r="A1209" s="3"/>
      <c r="B1209" s="19"/>
      <c r="C1209" s="19"/>
      <c r="D1209" s="19"/>
      <c r="E1209" s="19"/>
      <c r="F1209" s="28"/>
      <c r="G1209" s="30"/>
      <c r="H1209" s="21" t="str">
        <f t="shared" si="1"/>
        <v/>
      </c>
      <c r="I1209" s="19"/>
    </row>
    <row r="1210" ht="15.75" customHeight="1">
      <c r="A1210" s="3"/>
      <c r="B1210" s="19"/>
      <c r="C1210" s="19"/>
      <c r="D1210" s="19"/>
      <c r="E1210" s="19"/>
      <c r="F1210" s="28"/>
      <c r="G1210" s="30"/>
      <c r="H1210" s="21" t="str">
        <f t="shared" si="1"/>
        <v/>
      </c>
      <c r="I1210" s="19"/>
    </row>
    <row r="1211" ht="15.75" customHeight="1">
      <c r="A1211" s="3"/>
      <c r="B1211" s="19"/>
      <c r="C1211" s="19"/>
      <c r="D1211" s="19"/>
      <c r="E1211" s="19"/>
      <c r="F1211" s="28"/>
      <c r="G1211" s="30"/>
      <c r="H1211" s="21" t="str">
        <f t="shared" si="1"/>
        <v/>
      </c>
      <c r="I1211" s="19"/>
    </row>
    <row r="1212" ht="15.75" customHeight="1">
      <c r="A1212" s="3"/>
      <c r="B1212" s="19"/>
      <c r="C1212" s="19"/>
      <c r="D1212" s="19"/>
      <c r="E1212" s="19"/>
      <c r="F1212" s="28"/>
      <c r="G1212" s="30"/>
      <c r="H1212" s="21" t="str">
        <f t="shared" si="1"/>
        <v/>
      </c>
      <c r="I1212" s="19"/>
    </row>
    <row r="1213" ht="15.75" customHeight="1">
      <c r="A1213" s="3"/>
      <c r="B1213" s="19"/>
      <c r="C1213" s="19"/>
      <c r="D1213" s="19"/>
      <c r="E1213" s="19"/>
      <c r="F1213" s="28"/>
      <c r="G1213" s="30"/>
      <c r="H1213" s="21" t="str">
        <f t="shared" si="1"/>
        <v/>
      </c>
      <c r="I1213" s="19"/>
    </row>
    <row r="1214" ht="15.75" customHeight="1">
      <c r="A1214" s="3"/>
      <c r="B1214" s="19"/>
      <c r="C1214" s="19"/>
      <c r="D1214" s="19"/>
      <c r="E1214" s="19"/>
      <c r="F1214" s="28"/>
      <c r="G1214" s="30"/>
      <c r="H1214" s="21" t="str">
        <f t="shared" si="1"/>
        <v/>
      </c>
      <c r="I1214" s="19"/>
    </row>
    <row r="1215" ht="15.75" customHeight="1">
      <c r="A1215" s="3"/>
      <c r="B1215" s="19"/>
      <c r="C1215" s="19"/>
      <c r="D1215" s="19"/>
      <c r="E1215" s="19"/>
      <c r="F1215" s="28"/>
      <c r="G1215" s="30"/>
      <c r="H1215" s="21" t="str">
        <f t="shared" si="1"/>
        <v/>
      </c>
      <c r="I1215" s="19"/>
    </row>
    <row r="1216" ht="15.75" customHeight="1">
      <c r="A1216" s="3"/>
      <c r="B1216" s="19"/>
      <c r="C1216" s="19"/>
      <c r="D1216" s="19"/>
      <c r="E1216" s="19"/>
      <c r="F1216" s="28"/>
      <c r="G1216" s="30"/>
      <c r="H1216" s="21" t="str">
        <f t="shared" si="1"/>
        <v/>
      </c>
      <c r="I1216" s="19"/>
    </row>
    <row r="1217" ht="15.75" customHeight="1">
      <c r="A1217" s="3"/>
      <c r="B1217" s="19"/>
      <c r="C1217" s="19"/>
      <c r="D1217" s="19"/>
      <c r="E1217" s="19"/>
      <c r="F1217" s="28"/>
      <c r="G1217" s="30"/>
      <c r="H1217" s="21" t="str">
        <f t="shared" si="1"/>
        <v/>
      </c>
      <c r="I1217" s="19"/>
    </row>
    <row r="1218" ht="15.75" customHeight="1">
      <c r="A1218" s="3"/>
      <c r="B1218" s="19"/>
      <c r="C1218" s="19"/>
      <c r="D1218" s="19"/>
      <c r="E1218" s="19"/>
      <c r="F1218" s="28"/>
      <c r="G1218" s="30"/>
      <c r="H1218" s="21" t="str">
        <f t="shared" si="1"/>
        <v/>
      </c>
      <c r="I1218" s="19"/>
    </row>
    <row r="1219" ht="15.75" customHeight="1">
      <c r="A1219" s="3"/>
      <c r="B1219" s="19"/>
      <c r="C1219" s="19"/>
      <c r="D1219" s="19"/>
      <c r="E1219" s="19"/>
      <c r="F1219" s="28"/>
      <c r="G1219" s="30"/>
      <c r="H1219" s="21" t="str">
        <f t="shared" si="1"/>
        <v/>
      </c>
      <c r="I1219" s="19"/>
    </row>
    <row r="1220" ht="15.75" customHeight="1">
      <c r="A1220" s="3"/>
      <c r="B1220" s="19"/>
      <c r="C1220" s="19"/>
      <c r="D1220" s="19"/>
      <c r="E1220" s="19"/>
      <c r="F1220" s="28"/>
      <c r="G1220" s="30"/>
      <c r="H1220" s="21" t="str">
        <f t="shared" si="1"/>
        <v/>
      </c>
      <c r="I1220" s="19"/>
    </row>
    <row r="1221" ht="15.75" customHeight="1">
      <c r="A1221" s="3"/>
      <c r="B1221" s="19"/>
      <c r="C1221" s="19"/>
      <c r="D1221" s="19"/>
      <c r="E1221" s="19"/>
      <c r="F1221" s="28"/>
      <c r="G1221" s="30"/>
      <c r="H1221" s="21" t="str">
        <f t="shared" si="1"/>
        <v/>
      </c>
      <c r="I1221" s="19"/>
    </row>
    <row r="1222" ht="15.75" customHeight="1">
      <c r="A1222" s="3"/>
      <c r="B1222" s="19"/>
      <c r="C1222" s="19"/>
      <c r="D1222" s="19"/>
      <c r="E1222" s="19"/>
      <c r="F1222" s="28"/>
      <c r="G1222" s="30"/>
      <c r="H1222" s="21" t="str">
        <f t="shared" si="1"/>
        <v/>
      </c>
      <c r="I1222" s="19"/>
    </row>
    <row r="1223" ht="15.75" customHeight="1">
      <c r="A1223" s="3"/>
      <c r="B1223" s="19"/>
      <c r="C1223" s="19"/>
      <c r="D1223" s="19"/>
      <c r="E1223" s="19"/>
      <c r="F1223" s="28"/>
      <c r="G1223" s="30"/>
      <c r="H1223" s="21" t="str">
        <f t="shared" si="1"/>
        <v/>
      </c>
      <c r="I1223" s="19"/>
    </row>
    <row r="1224" ht="15.75" customHeight="1">
      <c r="A1224" s="3"/>
      <c r="B1224" s="19"/>
      <c r="C1224" s="19"/>
      <c r="D1224" s="19"/>
      <c r="E1224" s="19"/>
      <c r="F1224" s="28"/>
      <c r="G1224" s="30"/>
      <c r="H1224" s="21" t="str">
        <f t="shared" si="1"/>
        <v/>
      </c>
      <c r="I1224" s="19"/>
    </row>
    <row r="1225" ht="15.75" customHeight="1">
      <c r="A1225" s="3"/>
      <c r="B1225" s="19"/>
      <c r="C1225" s="19"/>
      <c r="D1225" s="19"/>
      <c r="E1225" s="19"/>
      <c r="F1225" s="28"/>
      <c r="G1225" s="30"/>
      <c r="H1225" s="21" t="str">
        <f t="shared" si="1"/>
        <v/>
      </c>
      <c r="I1225" s="19"/>
    </row>
    <row r="1226" ht="15.75" customHeight="1">
      <c r="A1226" s="3"/>
      <c r="B1226" s="19"/>
      <c r="C1226" s="19"/>
      <c r="D1226" s="19"/>
      <c r="E1226" s="19"/>
      <c r="F1226" s="28"/>
      <c r="G1226" s="30"/>
      <c r="H1226" s="21" t="str">
        <f t="shared" si="1"/>
        <v/>
      </c>
      <c r="I1226" s="19"/>
    </row>
    <row r="1227" ht="15.75" customHeight="1">
      <c r="A1227" s="3"/>
      <c r="B1227" s="19"/>
      <c r="C1227" s="19"/>
      <c r="D1227" s="19"/>
      <c r="E1227" s="19"/>
      <c r="F1227" s="28"/>
      <c r="G1227" s="30"/>
      <c r="H1227" s="21" t="str">
        <f t="shared" si="1"/>
        <v/>
      </c>
      <c r="I1227" s="19"/>
    </row>
    <row r="1228" ht="15.75" customHeight="1">
      <c r="A1228" s="3"/>
      <c r="B1228" s="19"/>
      <c r="C1228" s="19"/>
      <c r="D1228" s="19"/>
      <c r="E1228" s="19"/>
      <c r="F1228" s="28"/>
      <c r="G1228" s="30"/>
      <c r="H1228" s="21" t="str">
        <f t="shared" si="1"/>
        <v/>
      </c>
      <c r="I1228" s="19"/>
    </row>
    <row r="1229" ht="15.75" customHeight="1">
      <c r="A1229" s="3"/>
      <c r="B1229" s="19"/>
      <c r="C1229" s="19"/>
      <c r="D1229" s="19"/>
      <c r="E1229" s="19"/>
      <c r="F1229" s="28"/>
      <c r="G1229" s="30"/>
      <c r="H1229" s="21" t="str">
        <f t="shared" si="1"/>
        <v/>
      </c>
      <c r="I1229" s="19"/>
    </row>
    <row r="1230" ht="15.75" customHeight="1">
      <c r="A1230" s="3"/>
      <c r="B1230" s="19"/>
      <c r="C1230" s="19"/>
      <c r="D1230" s="19"/>
      <c r="E1230" s="19"/>
      <c r="F1230" s="28"/>
      <c r="G1230" s="30"/>
      <c r="H1230" s="21" t="str">
        <f t="shared" si="1"/>
        <v/>
      </c>
      <c r="I1230" s="19"/>
    </row>
    <row r="1231" ht="15.75" customHeight="1">
      <c r="A1231" s="3"/>
      <c r="B1231" s="19"/>
      <c r="C1231" s="19"/>
      <c r="D1231" s="19"/>
      <c r="E1231" s="19"/>
      <c r="F1231" s="28"/>
      <c r="G1231" s="30"/>
      <c r="H1231" s="21" t="str">
        <f t="shared" si="1"/>
        <v/>
      </c>
      <c r="I1231" s="19"/>
    </row>
    <row r="1232" ht="15.75" customHeight="1">
      <c r="A1232" s="3"/>
      <c r="B1232" s="19"/>
      <c r="C1232" s="19"/>
      <c r="D1232" s="19"/>
      <c r="E1232" s="19"/>
      <c r="F1232" s="28"/>
      <c r="G1232" s="30"/>
      <c r="H1232" s="21" t="str">
        <f t="shared" si="1"/>
        <v/>
      </c>
      <c r="I1232" s="19"/>
    </row>
    <row r="1233" ht="15.75" customHeight="1">
      <c r="A1233" s="3"/>
      <c r="B1233" s="19"/>
      <c r="C1233" s="19"/>
      <c r="D1233" s="19"/>
      <c r="E1233" s="19"/>
      <c r="F1233" s="28"/>
      <c r="G1233" s="30"/>
      <c r="H1233" s="21" t="str">
        <f t="shared" si="1"/>
        <v/>
      </c>
      <c r="I1233" s="19"/>
    </row>
    <row r="1234" ht="15.75" customHeight="1">
      <c r="A1234" s="3"/>
      <c r="B1234" s="19"/>
      <c r="C1234" s="19"/>
      <c r="D1234" s="19"/>
      <c r="E1234" s="19"/>
      <c r="F1234" s="28"/>
      <c r="G1234" s="30"/>
      <c r="H1234" s="21" t="str">
        <f t="shared" si="1"/>
        <v/>
      </c>
      <c r="I1234" s="19"/>
    </row>
    <row r="1235" ht="15.75" customHeight="1">
      <c r="A1235" s="3"/>
      <c r="B1235" s="19"/>
      <c r="C1235" s="19"/>
      <c r="D1235" s="19"/>
      <c r="E1235" s="19"/>
      <c r="F1235" s="28"/>
      <c r="G1235" s="30"/>
      <c r="H1235" s="21" t="str">
        <f t="shared" si="1"/>
        <v/>
      </c>
      <c r="I1235" s="19"/>
    </row>
    <row r="1236" ht="15.75" customHeight="1">
      <c r="A1236" s="3"/>
      <c r="B1236" s="19"/>
      <c r="C1236" s="19"/>
      <c r="D1236" s="19"/>
      <c r="E1236" s="19"/>
      <c r="F1236" s="28"/>
      <c r="G1236" s="30"/>
      <c r="H1236" s="21" t="str">
        <f t="shared" si="1"/>
        <v/>
      </c>
      <c r="I1236" s="19"/>
    </row>
    <row r="1237" ht="15.75" customHeight="1">
      <c r="A1237" s="3"/>
      <c r="B1237" s="19"/>
      <c r="C1237" s="19"/>
      <c r="D1237" s="19"/>
      <c r="E1237" s="19"/>
      <c r="F1237" s="28"/>
      <c r="G1237" s="30"/>
      <c r="H1237" s="21" t="str">
        <f t="shared" si="1"/>
        <v/>
      </c>
      <c r="I1237" s="19"/>
    </row>
    <row r="1238" ht="15.75" customHeight="1">
      <c r="A1238" s="3"/>
      <c r="B1238" s="19"/>
      <c r="C1238" s="19"/>
      <c r="D1238" s="19"/>
      <c r="E1238" s="19"/>
      <c r="F1238" s="28"/>
      <c r="G1238" s="30"/>
      <c r="H1238" s="21" t="str">
        <f t="shared" si="1"/>
        <v/>
      </c>
      <c r="I1238" s="19"/>
    </row>
    <row r="1239" ht="15.75" customHeight="1">
      <c r="A1239" s="3"/>
      <c r="B1239" s="19"/>
      <c r="C1239" s="19"/>
      <c r="D1239" s="19"/>
      <c r="E1239" s="19"/>
      <c r="F1239" s="28"/>
      <c r="G1239" s="30"/>
      <c r="H1239" s="21" t="str">
        <f t="shared" si="1"/>
        <v/>
      </c>
      <c r="I1239" s="19"/>
    </row>
    <row r="1240" ht="15.75" customHeight="1">
      <c r="A1240" s="3"/>
      <c r="B1240" s="19"/>
      <c r="C1240" s="19"/>
      <c r="D1240" s="19"/>
      <c r="E1240" s="19"/>
      <c r="F1240" s="28"/>
      <c r="G1240" s="30"/>
      <c r="H1240" s="21" t="str">
        <f t="shared" si="1"/>
        <v/>
      </c>
      <c r="I1240" s="19"/>
    </row>
    <row r="1241" ht="15.75" customHeight="1">
      <c r="A1241" s="3"/>
      <c r="B1241" s="19"/>
      <c r="C1241" s="19"/>
      <c r="D1241" s="19"/>
      <c r="E1241" s="19"/>
      <c r="F1241" s="28"/>
      <c r="G1241" s="30"/>
      <c r="H1241" s="21" t="str">
        <f t="shared" si="1"/>
        <v/>
      </c>
      <c r="I1241" s="19"/>
    </row>
    <row r="1242" ht="15.75" customHeight="1">
      <c r="A1242" s="3"/>
      <c r="B1242" s="19"/>
      <c r="C1242" s="19"/>
      <c r="D1242" s="19"/>
      <c r="E1242" s="19"/>
      <c r="F1242" s="28"/>
      <c r="G1242" s="30"/>
      <c r="H1242" s="21" t="str">
        <f t="shared" si="1"/>
        <v/>
      </c>
      <c r="I1242" s="19"/>
    </row>
    <row r="1243" ht="15.75" customHeight="1">
      <c r="A1243" s="3"/>
      <c r="B1243" s="19"/>
      <c r="C1243" s="19"/>
      <c r="D1243" s="19"/>
      <c r="E1243" s="19"/>
      <c r="F1243" s="28"/>
      <c r="G1243" s="30"/>
      <c r="H1243" s="21" t="str">
        <f t="shared" si="1"/>
        <v/>
      </c>
      <c r="I1243" s="19"/>
    </row>
    <row r="1244" ht="15.75" customHeight="1">
      <c r="A1244" s="3"/>
      <c r="B1244" s="19"/>
      <c r="C1244" s="19"/>
      <c r="D1244" s="19"/>
      <c r="E1244" s="19"/>
      <c r="F1244" s="28"/>
      <c r="G1244" s="30"/>
      <c r="H1244" s="21" t="str">
        <f t="shared" si="1"/>
        <v/>
      </c>
      <c r="I1244" s="19"/>
    </row>
    <row r="1245" ht="15.75" customHeight="1">
      <c r="A1245" s="3"/>
      <c r="B1245" s="19"/>
      <c r="C1245" s="19"/>
      <c r="D1245" s="19"/>
      <c r="E1245" s="19"/>
      <c r="F1245" s="28"/>
      <c r="G1245" s="30"/>
      <c r="H1245" s="21" t="str">
        <f t="shared" si="1"/>
        <v/>
      </c>
      <c r="I1245" s="19"/>
    </row>
    <row r="1246" ht="15.75" customHeight="1">
      <c r="A1246" s="3"/>
      <c r="B1246" s="19"/>
      <c r="C1246" s="19"/>
      <c r="D1246" s="19"/>
      <c r="E1246" s="19"/>
      <c r="F1246" s="28"/>
      <c r="G1246" s="30"/>
      <c r="H1246" s="21" t="str">
        <f t="shared" si="1"/>
        <v/>
      </c>
      <c r="I1246" s="19"/>
    </row>
    <row r="1247" ht="15.75" customHeight="1">
      <c r="A1247" s="3"/>
      <c r="B1247" s="19"/>
      <c r="C1247" s="19"/>
      <c r="D1247" s="19"/>
      <c r="E1247" s="19"/>
      <c r="F1247" s="28"/>
      <c r="G1247" s="30"/>
      <c r="H1247" s="21" t="str">
        <f t="shared" si="1"/>
        <v/>
      </c>
      <c r="I1247" s="19"/>
    </row>
    <row r="1248" ht="15.75" customHeight="1">
      <c r="A1248" s="3"/>
      <c r="B1248" s="19"/>
      <c r="C1248" s="19"/>
      <c r="D1248" s="19"/>
      <c r="E1248" s="19"/>
      <c r="F1248" s="28"/>
      <c r="G1248" s="30"/>
      <c r="H1248" s="21" t="str">
        <f t="shared" si="1"/>
        <v/>
      </c>
      <c r="I1248" s="19"/>
    </row>
    <row r="1249" ht="15.75" customHeight="1">
      <c r="A1249" s="3"/>
      <c r="B1249" s="19"/>
      <c r="C1249" s="19"/>
      <c r="D1249" s="19"/>
      <c r="E1249" s="19"/>
      <c r="F1249" s="28"/>
      <c r="G1249" s="30"/>
      <c r="H1249" s="21" t="str">
        <f t="shared" si="1"/>
        <v/>
      </c>
      <c r="I1249" s="19"/>
    </row>
    <row r="1250" ht="15.75" customHeight="1">
      <c r="A1250" s="3"/>
      <c r="B1250" s="19"/>
      <c r="C1250" s="19"/>
      <c r="D1250" s="19"/>
      <c r="E1250" s="19"/>
      <c r="F1250" s="28"/>
      <c r="G1250" s="30"/>
      <c r="H1250" s="21" t="str">
        <f t="shared" si="1"/>
        <v/>
      </c>
      <c r="I1250" s="19"/>
    </row>
    <row r="1251" ht="15.75" customHeight="1">
      <c r="A1251" s="3"/>
      <c r="B1251" s="19"/>
      <c r="C1251" s="19"/>
      <c r="D1251" s="19"/>
      <c r="E1251" s="19"/>
      <c r="F1251" s="28"/>
      <c r="G1251" s="30"/>
      <c r="H1251" s="21" t="str">
        <f t="shared" si="1"/>
        <v/>
      </c>
      <c r="I1251" s="19"/>
    </row>
    <row r="1252" ht="15.75" customHeight="1">
      <c r="A1252" s="3"/>
      <c r="B1252" s="19"/>
      <c r="C1252" s="19"/>
      <c r="D1252" s="19"/>
      <c r="E1252" s="19"/>
      <c r="F1252" s="28"/>
      <c r="G1252" s="30"/>
      <c r="H1252" s="21" t="str">
        <f t="shared" si="1"/>
        <v/>
      </c>
      <c r="I1252" s="19"/>
    </row>
    <row r="1253" ht="15.75" customHeight="1">
      <c r="A1253" s="3"/>
      <c r="B1253" s="19"/>
      <c r="C1253" s="19"/>
      <c r="D1253" s="19"/>
      <c r="E1253" s="19"/>
      <c r="F1253" s="28"/>
      <c r="G1253" s="30"/>
      <c r="H1253" s="21" t="str">
        <f t="shared" si="1"/>
        <v/>
      </c>
      <c r="I1253" s="19"/>
    </row>
    <row r="1254" ht="15.75" customHeight="1">
      <c r="A1254" s="3"/>
      <c r="B1254" s="19"/>
      <c r="C1254" s="19"/>
      <c r="D1254" s="19"/>
      <c r="E1254" s="19"/>
      <c r="F1254" s="28"/>
      <c r="G1254" s="30"/>
      <c r="H1254" s="21" t="str">
        <f t="shared" si="1"/>
        <v/>
      </c>
      <c r="I1254" s="19"/>
    </row>
    <row r="1255" ht="15.75" customHeight="1">
      <c r="A1255" s="3"/>
      <c r="B1255" s="19"/>
      <c r="C1255" s="19"/>
      <c r="D1255" s="19"/>
      <c r="E1255" s="19"/>
      <c r="F1255" s="28"/>
      <c r="G1255" s="30"/>
      <c r="H1255" s="21" t="str">
        <f t="shared" si="1"/>
        <v/>
      </c>
      <c r="I1255" s="19"/>
    </row>
    <row r="1256" ht="15.75" customHeight="1">
      <c r="A1256" s="3"/>
      <c r="B1256" s="19"/>
      <c r="C1256" s="19"/>
      <c r="D1256" s="19"/>
      <c r="E1256" s="19"/>
      <c r="F1256" s="28"/>
      <c r="G1256" s="30"/>
      <c r="H1256" s="21" t="str">
        <f t="shared" si="1"/>
        <v/>
      </c>
      <c r="I1256" s="19"/>
    </row>
    <row r="1257" ht="15.75" customHeight="1">
      <c r="A1257" s="3"/>
      <c r="B1257" s="19"/>
      <c r="C1257" s="19"/>
      <c r="D1257" s="19"/>
      <c r="E1257" s="19"/>
      <c r="F1257" s="28"/>
      <c r="G1257" s="30"/>
      <c r="H1257" s="21" t="str">
        <f t="shared" si="1"/>
        <v/>
      </c>
      <c r="I1257" s="19"/>
    </row>
    <row r="1258" ht="15.75" customHeight="1">
      <c r="A1258" s="3"/>
      <c r="B1258" s="19"/>
      <c r="C1258" s="19"/>
      <c r="D1258" s="19"/>
      <c r="E1258" s="19"/>
      <c r="F1258" s="28"/>
      <c r="G1258" s="30"/>
      <c r="H1258" s="21" t="str">
        <f t="shared" si="1"/>
        <v/>
      </c>
      <c r="I1258" s="19"/>
    </row>
    <row r="1259" ht="15.75" customHeight="1">
      <c r="A1259" s="3"/>
      <c r="B1259" s="19"/>
      <c r="C1259" s="19"/>
      <c r="D1259" s="19"/>
      <c r="E1259" s="19"/>
      <c r="F1259" s="28"/>
      <c r="G1259" s="30"/>
      <c r="H1259" s="21" t="str">
        <f t="shared" si="1"/>
        <v/>
      </c>
      <c r="I1259" s="19"/>
    </row>
    <row r="1260" ht="15.75" customHeight="1">
      <c r="A1260" s="3"/>
      <c r="B1260" s="19"/>
      <c r="C1260" s="19"/>
      <c r="D1260" s="19"/>
      <c r="E1260" s="19"/>
      <c r="F1260" s="28"/>
      <c r="G1260" s="30"/>
      <c r="H1260" s="21" t="str">
        <f t="shared" si="1"/>
        <v/>
      </c>
      <c r="I1260" s="19"/>
    </row>
    <row r="1261" ht="15.75" customHeight="1">
      <c r="A1261" s="3"/>
      <c r="B1261" s="19"/>
      <c r="C1261" s="19"/>
      <c r="D1261" s="19"/>
      <c r="E1261" s="19"/>
      <c r="F1261" s="28"/>
      <c r="G1261" s="30"/>
      <c r="H1261" s="21" t="str">
        <f t="shared" si="1"/>
        <v/>
      </c>
      <c r="I1261" s="19"/>
    </row>
    <row r="1262" ht="15.75" customHeight="1">
      <c r="A1262" s="3"/>
      <c r="B1262" s="19"/>
      <c r="C1262" s="19"/>
      <c r="D1262" s="19"/>
      <c r="E1262" s="19"/>
      <c r="F1262" s="28"/>
      <c r="G1262" s="30"/>
      <c r="H1262" s="21" t="str">
        <f t="shared" si="1"/>
        <v/>
      </c>
      <c r="I1262" s="19"/>
    </row>
    <row r="1263" ht="15.75" customHeight="1">
      <c r="A1263" s="3"/>
      <c r="B1263" s="19"/>
      <c r="C1263" s="19"/>
      <c r="D1263" s="19"/>
      <c r="E1263" s="19"/>
      <c r="F1263" s="28"/>
      <c r="G1263" s="30"/>
      <c r="H1263" s="21" t="str">
        <f t="shared" si="1"/>
        <v/>
      </c>
      <c r="I1263" s="19"/>
    </row>
    <row r="1264" ht="15.75" customHeight="1">
      <c r="A1264" s="3"/>
      <c r="B1264" s="19"/>
      <c r="C1264" s="19"/>
      <c r="D1264" s="19"/>
      <c r="E1264" s="19"/>
      <c r="F1264" s="28"/>
      <c r="G1264" s="30"/>
      <c r="H1264" s="21" t="str">
        <f t="shared" si="1"/>
        <v/>
      </c>
      <c r="I1264" s="19"/>
    </row>
    <row r="1265" ht="15.75" customHeight="1">
      <c r="A1265" s="3"/>
      <c r="B1265" s="19"/>
      <c r="C1265" s="19"/>
      <c r="D1265" s="19"/>
      <c r="E1265" s="19"/>
      <c r="F1265" s="28"/>
      <c r="G1265" s="30"/>
      <c r="H1265" s="21" t="str">
        <f t="shared" si="1"/>
        <v/>
      </c>
      <c r="I1265" s="19"/>
    </row>
    <row r="1266" ht="15.75" customHeight="1">
      <c r="A1266" s="3"/>
      <c r="B1266" s="19"/>
      <c r="C1266" s="19"/>
      <c r="D1266" s="19"/>
      <c r="E1266" s="19"/>
      <c r="F1266" s="28"/>
      <c r="G1266" s="30"/>
      <c r="H1266" s="21" t="str">
        <f t="shared" si="1"/>
        <v/>
      </c>
      <c r="I1266" s="19"/>
    </row>
    <row r="1267" ht="15.75" customHeight="1">
      <c r="A1267" s="3"/>
      <c r="B1267" s="19"/>
      <c r="C1267" s="19"/>
      <c r="D1267" s="19"/>
      <c r="E1267" s="19"/>
      <c r="F1267" s="28"/>
      <c r="G1267" s="30"/>
      <c r="H1267" s="21" t="str">
        <f t="shared" si="1"/>
        <v/>
      </c>
      <c r="I1267" s="19"/>
    </row>
    <row r="1268" ht="15.75" customHeight="1">
      <c r="A1268" s="3"/>
      <c r="B1268" s="19"/>
      <c r="C1268" s="19"/>
      <c r="D1268" s="19"/>
      <c r="E1268" s="19"/>
      <c r="F1268" s="28"/>
      <c r="G1268" s="30"/>
      <c r="H1268" s="21" t="str">
        <f t="shared" si="1"/>
        <v/>
      </c>
      <c r="I1268" s="19"/>
    </row>
    <row r="1269" ht="15.75" customHeight="1">
      <c r="A1269" s="3"/>
      <c r="B1269" s="19"/>
      <c r="C1269" s="19"/>
      <c r="D1269" s="19"/>
      <c r="E1269" s="19"/>
      <c r="F1269" s="28"/>
      <c r="G1269" s="30"/>
      <c r="H1269" s="21" t="str">
        <f t="shared" si="1"/>
        <v/>
      </c>
      <c r="I1269" s="19"/>
    </row>
    <row r="1270" ht="15.75" customHeight="1">
      <c r="A1270" s="3"/>
      <c r="B1270" s="19"/>
      <c r="C1270" s="19"/>
      <c r="D1270" s="19"/>
      <c r="E1270" s="19"/>
      <c r="F1270" s="28"/>
      <c r="G1270" s="30"/>
      <c r="H1270" s="21" t="str">
        <f t="shared" si="1"/>
        <v/>
      </c>
      <c r="I1270" s="19"/>
    </row>
    <row r="1271" ht="15.75" customHeight="1">
      <c r="A1271" s="3"/>
      <c r="B1271" s="19"/>
      <c r="C1271" s="19"/>
      <c r="D1271" s="19"/>
      <c r="E1271" s="19"/>
      <c r="F1271" s="28"/>
      <c r="G1271" s="30"/>
      <c r="H1271" s="21" t="str">
        <f t="shared" si="1"/>
        <v/>
      </c>
      <c r="I1271" s="19"/>
    </row>
    <row r="1272" ht="15.75" customHeight="1">
      <c r="A1272" s="3"/>
      <c r="B1272" s="19"/>
      <c r="C1272" s="19"/>
      <c r="D1272" s="19"/>
      <c r="E1272" s="19"/>
      <c r="F1272" s="28"/>
      <c r="G1272" s="30"/>
      <c r="H1272" s="21" t="str">
        <f t="shared" si="1"/>
        <v/>
      </c>
      <c r="I1272" s="19"/>
    </row>
    <row r="1273" ht="15.75" customHeight="1">
      <c r="A1273" s="3"/>
      <c r="B1273" s="19"/>
      <c r="C1273" s="19"/>
      <c r="D1273" s="19"/>
      <c r="E1273" s="19"/>
      <c r="F1273" s="28"/>
      <c r="G1273" s="30"/>
      <c r="H1273" s="21" t="str">
        <f t="shared" si="1"/>
        <v/>
      </c>
      <c r="I1273" s="19"/>
    </row>
    <row r="1274" ht="15.75" customHeight="1">
      <c r="A1274" s="3"/>
      <c r="B1274" s="19"/>
      <c r="C1274" s="19"/>
      <c r="D1274" s="19"/>
      <c r="E1274" s="19"/>
      <c r="F1274" s="28"/>
      <c r="G1274" s="30"/>
      <c r="H1274" s="21" t="str">
        <f t="shared" si="1"/>
        <v/>
      </c>
      <c r="I1274" s="19"/>
    </row>
    <row r="1275" ht="15.75" customHeight="1">
      <c r="A1275" s="3"/>
      <c r="B1275" s="19"/>
      <c r="C1275" s="19"/>
      <c r="D1275" s="19"/>
      <c r="E1275" s="19"/>
      <c r="F1275" s="28"/>
      <c r="G1275" s="30"/>
      <c r="H1275" s="21" t="str">
        <f t="shared" si="1"/>
        <v/>
      </c>
      <c r="I1275" s="19"/>
    </row>
    <row r="1276" ht="15.75" customHeight="1">
      <c r="A1276" s="3"/>
      <c r="B1276" s="19"/>
      <c r="C1276" s="19"/>
      <c r="D1276" s="19"/>
      <c r="E1276" s="19"/>
      <c r="F1276" s="28"/>
      <c r="G1276" s="30"/>
      <c r="H1276" s="21" t="str">
        <f t="shared" si="1"/>
        <v/>
      </c>
      <c r="I1276" s="19"/>
    </row>
    <row r="1277" ht="15.75" customHeight="1">
      <c r="A1277" s="3"/>
      <c r="B1277" s="19"/>
      <c r="C1277" s="19"/>
      <c r="D1277" s="19"/>
      <c r="E1277" s="19"/>
      <c r="F1277" s="28"/>
      <c r="G1277" s="30"/>
      <c r="H1277" s="21" t="str">
        <f t="shared" si="1"/>
        <v/>
      </c>
      <c r="I1277" s="19"/>
    </row>
    <row r="1278" ht="15.75" customHeight="1">
      <c r="A1278" s="3"/>
      <c r="B1278" s="19"/>
      <c r="C1278" s="19"/>
      <c r="D1278" s="19"/>
      <c r="E1278" s="19"/>
      <c r="F1278" s="28"/>
      <c r="G1278" s="30"/>
      <c r="H1278" s="21" t="str">
        <f t="shared" si="1"/>
        <v/>
      </c>
      <c r="I1278" s="19"/>
    </row>
    <row r="1279" ht="15.75" customHeight="1">
      <c r="A1279" s="3"/>
      <c r="B1279" s="19"/>
      <c r="C1279" s="19"/>
      <c r="D1279" s="19"/>
      <c r="E1279" s="19"/>
      <c r="F1279" s="28"/>
      <c r="G1279" s="30"/>
      <c r="H1279" s="21" t="str">
        <f t="shared" si="1"/>
        <v/>
      </c>
      <c r="I1279" s="19"/>
    </row>
    <row r="1280" ht="15.75" customHeight="1">
      <c r="A1280" s="3"/>
      <c r="B1280" s="19"/>
      <c r="C1280" s="19"/>
      <c r="D1280" s="19"/>
      <c r="E1280" s="19"/>
      <c r="F1280" s="28"/>
      <c r="G1280" s="30"/>
      <c r="H1280" s="21" t="str">
        <f t="shared" si="1"/>
        <v/>
      </c>
      <c r="I1280" s="19"/>
    </row>
    <row r="1281" ht="15.75" customHeight="1">
      <c r="A1281" s="3"/>
      <c r="B1281" s="19"/>
      <c r="C1281" s="19"/>
      <c r="D1281" s="19"/>
      <c r="E1281" s="19"/>
      <c r="F1281" s="28"/>
      <c r="G1281" s="30"/>
      <c r="H1281" s="21" t="str">
        <f t="shared" si="1"/>
        <v/>
      </c>
      <c r="I1281" s="19"/>
    </row>
    <row r="1282" ht="15.75" customHeight="1">
      <c r="A1282" s="3"/>
      <c r="B1282" s="19"/>
      <c r="C1282" s="19"/>
      <c r="D1282" s="19"/>
      <c r="E1282" s="19"/>
      <c r="F1282" s="28"/>
      <c r="G1282" s="30"/>
      <c r="H1282" s="21" t="str">
        <f t="shared" si="1"/>
        <v/>
      </c>
      <c r="I1282" s="19"/>
    </row>
    <row r="1283" ht="15.75" customHeight="1">
      <c r="A1283" s="3"/>
      <c r="B1283" s="19"/>
      <c r="C1283" s="19"/>
      <c r="D1283" s="19"/>
      <c r="E1283" s="19"/>
      <c r="F1283" s="28"/>
      <c r="G1283" s="30"/>
      <c r="H1283" s="21" t="str">
        <f t="shared" si="1"/>
        <v/>
      </c>
      <c r="I1283" s="19"/>
    </row>
    <row r="1284" ht="15.75" customHeight="1">
      <c r="A1284" s="3"/>
      <c r="B1284" s="19"/>
      <c r="C1284" s="19"/>
      <c r="D1284" s="19"/>
      <c r="E1284" s="19"/>
      <c r="F1284" s="28"/>
      <c r="G1284" s="30"/>
      <c r="H1284" s="21" t="str">
        <f t="shared" si="1"/>
        <v/>
      </c>
      <c r="I1284" s="19"/>
    </row>
    <row r="1285" ht="15.75" customHeight="1">
      <c r="A1285" s="3"/>
      <c r="B1285" s="19"/>
      <c r="C1285" s="19"/>
      <c r="D1285" s="19"/>
      <c r="E1285" s="19"/>
      <c r="F1285" s="28"/>
      <c r="G1285" s="30"/>
      <c r="H1285" s="21" t="str">
        <f t="shared" si="1"/>
        <v/>
      </c>
      <c r="I1285" s="19"/>
    </row>
    <row r="1286" ht="15.75" customHeight="1">
      <c r="A1286" s="3"/>
      <c r="B1286" s="19"/>
      <c r="C1286" s="19"/>
      <c r="D1286" s="19"/>
      <c r="E1286" s="19"/>
      <c r="F1286" s="28"/>
      <c r="G1286" s="30"/>
      <c r="H1286" s="21" t="str">
        <f t="shared" si="1"/>
        <v/>
      </c>
      <c r="I1286" s="19"/>
    </row>
    <row r="1287" ht="15.75" customHeight="1">
      <c r="A1287" s="3"/>
      <c r="B1287" s="19"/>
      <c r="C1287" s="19"/>
      <c r="D1287" s="19"/>
      <c r="E1287" s="19"/>
      <c r="F1287" s="28"/>
      <c r="G1287" s="30"/>
      <c r="H1287" s="21" t="str">
        <f t="shared" si="1"/>
        <v/>
      </c>
      <c r="I1287" s="19"/>
    </row>
    <row r="1288" ht="15.75" customHeight="1">
      <c r="A1288" s="3"/>
      <c r="B1288" s="19"/>
      <c r="C1288" s="19"/>
      <c r="D1288" s="19"/>
      <c r="E1288" s="19"/>
      <c r="F1288" s="28"/>
      <c r="G1288" s="30"/>
      <c r="H1288" s="21" t="str">
        <f t="shared" si="1"/>
        <v/>
      </c>
      <c r="I1288" s="19"/>
    </row>
    <row r="1289" ht="15.75" customHeight="1">
      <c r="A1289" s="3"/>
      <c r="B1289" s="19"/>
      <c r="C1289" s="19"/>
      <c r="D1289" s="19"/>
      <c r="E1289" s="19"/>
      <c r="F1289" s="28"/>
      <c r="G1289" s="30"/>
      <c r="H1289" s="21" t="str">
        <f t="shared" si="1"/>
        <v/>
      </c>
      <c r="I1289" s="19"/>
    </row>
    <row r="1290" ht="15.75" customHeight="1">
      <c r="A1290" s="3"/>
      <c r="B1290" s="19"/>
      <c r="C1290" s="19"/>
      <c r="D1290" s="19"/>
      <c r="E1290" s="19"/>
      <c r="F1290" s="28"/>
      <c r="G1290" s="30"/>
      <c r="H1290" s="21" t="str">
        <f t="shared" si="1"/>
        <v/>
      </c>
      <c r="I1290" s="19"/>
    </row>
    <row r="1291" ht="15.75" customHeight="1">
      <c r="A1291" s="3"/>
      <c r="B1291" s="19"/>
      <c r="C1291" s="19"/>
      <c r="D1291" s="19"/>
      <c r="E1291" s="19"/>
      <c r="F1291" s="28"/>
      <c r="G1291" s="30"/>
      <c r="H1291" s="21" t="str">
        <f t="shared" si="1"/>
        <v/>
      </c>
      <c r="I1291" s="19"/>
    </row>
    <row r="1292" ht="15.75" customHeight="1">
      <c r="A1292" s="3"/>
      <c r="B1292" s="19"/>
      <c r="C1292" s="19"/>
      <c r="D1292" s="19"/>
      <c r="E1292" s="19"/>
      <c r="F1292" s="28"/>
      <c r="G1292" s="30"/>
      <c r="H1292" s="21" t="str">
        <f t="shared" si="1"/>
        <v/>
      </c>
      <c r="I1292" s="19"/>
    </row>
    <row r="1293" ht="15.75" customHeight="1">
      <c r="A1293" s="3"/>
      <c r="B1293" s="19"/>
      <c r="C1293" s="19"/>
      <c r="D1293" s="19"/>
      <c r="E1293" s="19"/>
      <c r="F1293" s="28"/>
      <c r="G1293" s="30"/>
      <c r="H1293" s="21" t="str">
        <f t="shared" si="1"/>
        <v/>
      </c>
      <c r="I1293" s="19"/>
    </row>
    <row r="1294" ht="15.75" customHeight="1">
      <c r="A1294" s="3"/>
      <c r="B1294" s="19"/>
      <c r="C1294" s="19"/>
      <c r="D1294" s="19"/>
      <c r="E1294" s="19"/>
      <c r="F1294" s="28"/>
      <c r="G1294" s="30"/>
      <c r="H1294" s="21" t="str">
        <f t="shared" si="1"/>
        <v/>
      </c>
      <c r="I1294" s="19"/>
    </row>
    <row r="1295" ht="15.75" customHeight="1">
      <c r="A1295" s="3"/>
      <c r="B1295" s="19"/>
      <c r="C1295" s="19"/>
      <c r="D1295" s="19"/>
      <c r="E1295" s="19"/>
      <c r="F1295" s="28"/>
      <c r="G1295" s="30"/>
      <c r="H1295" s="21" t="str">
        <f t="shared" si="1"/>
        <v/>
      </c>
      <c r="I1295" s="19"/>
    </row>
    <row r="1296" ht="15.75" customHeight="1">
      <c r="A1296" s="3"/>
      <c r="B1296" s="19"/>
      <c r="C1296" s="19"/>
      <c r="D1296" s="19"/>
      <c r="E1296" s="19"/>
      <c r="F1296" s="28"/>
      <c r="G1296" s="30"/>
      <c r="H1296" s="21" t="str">
        <f t="shared" si="1"/>
        <v/>
      </c>
      <c r="I1296" s="19"/>
    </row>
    <row r="1297" ht="15.75" customHeight="1">
      <c r="A1297" s="3"/>
      <c r="B1297" s="19"/>
      <c r="C1297" s="19"/>
      <c r="D1297" s="19"/>
      <c r="E1297" s="19"/>
      <c r="F1297" s="28"/>
      <c r="G1297" s="30"/>
      <c r="H1297" s="21" t="str">
        <f t="shared" si="1"/>
        <v/>
      </c>
      <c r="I1297" s="19"/>
    </row>
    <row r="1298" ht="15.75" customHeight="1">
      <c r="A1298" s="3"/>
      <c r="B1298" s="19"/>
      <c r="C1298" s="19"/>
      <c r="D1298" s="19"/>
      <c r="E1298" s="19"/>
      <c r="F1298" s="28"/>
      <c r="G1298" s="30"/>
      <c r="H1298" s="21" t="str">
        <f t="shared" si="1"/>
        <v/>
      </c>
      <c r="I1298" s="19"/>
    </row>
    <row r="1299" ht="15.75" customHeight="1">
      <c r="A1299" s="3"/>
      <c r="B1299" s="19"/>
      <c r="C1299" s="19"/>
      <c r="D1299" s="19"/>
      <c r="E1299" s="19"/>
      <c r="F1299" s="28"/>
      <c r="G1299" s="30"/>
      <c r="H1299" s="21" t="str">
        <f t="shared" si="1"/>
        <v/>
      </c>
      <c r="I1299" s="19"/>
    </row>
    <row r="1300" ht="15.75" customHeight="1">
      <c r="A1300" s="3"/>
      <c r="B1300" s="19"/>
      <c r="C1300" s="19"/>
      <c r="D1300" s="19"/>
      <c r="E1300" s="19"/>
      <c r="F1300" s="28"/>
      <c r="G1300" s="30"/>
      <c r="H1300" s="21" t="str">
        <f t="shared" si="1"/>
        <v/>
      </c>
      <c r="I1300" s="19"/>
    </row>
    <row r="1301" ht="15.75" customHeight="1">
      <c r="A1301" s="3"/>
      <c r="B1301" s="19"/>
      <c r="C1301" s="19"/>
      <c r="D1301" s="19"/>
      <c r="E1301" s="19"/>
      <c r="F1301" s="28"/>
      <c r="G1301" s="30"/>
      <c r="H1301" s="21" t="str">
        <f t="shared" si="1"/>
        <v/>
      </c>
      <c r="I1301" s="19"/>
    </row>
    <row r="1302" ht="15.75" customHeight="1">
      <c r="A1302" s="3"/>
      <c r="B1302" s="19"/>
      <c r="C1302" s="19"/>
      <c r="D1302" s="19"/>
      <c r="E1302" s="19"/>
      <c r="F1302" s="28"/>
      <c r="G1302" s="30"/>
      <c r="H1302" s="21" t="str">
        <f t="shared" si="1"/>
        <v/>
      </c>
      <c r="I1302" s="19"/>
    </row>
    <row r="1303" ht="15.75" customHeight="1">
      <c r="A1303" s="3"/>
      <c r="B1303" s="19"/>
      <c r="C1303" s="19"/>
      <c r="D1303" s="19"/>
      <c r="E1303" s="19"/>
      <c r="F1303" s="28"/>
      <c r="G1303" s="30"/>
      <c r="H1303" s="21" t="str">
        <f t="shared" si="1"/>
        <v/>
      </c>
      <c r="I1303" s="19"/>
    </row>
    <row r="1304" ht="15.75" customHeight="1">
      <c r="A1304" s="3"/>
      <c r="B1304" s="19"/>
      <c r="C1304" s="19"/>
      <c r="D1304" s="19"/>
      <c r="E1304" s="19"/>
      <c r="F1304" s="28"/>
      <c r="G1304" s="30"/>
      <c r="H1304" s="21" t="str">
        <f t="shared" si="1"/>
        <v/>
      </c>
      <c r="I1304" s="19"/>
    </row>
    <row r="1305" ht="15.75" customHeight="1">
      <c r="A1305" s="3"/>
      <c r="B1305" s="19"/>
      <c r="C1305" s="19"/>
      <c r="D1305" s="19"/>
      <c r="E1305" s="19"/>
      <c r="F1305" s="28"/>
      <c r="G1305" s="30"/>
      <c r="H1305" s="21" t="str">
        <f t="shared" si="1"/>
        <v/>
      </c>
      <c r="I1305" s="19"/>
    </row>
    <row r="1306" ht="15.75" customHeight="1">
      <c r="A1306" s="3"/>
      <c r="B1306" s="19"/>
      <c r="C1306" s="19"/>
      <c r="D1306" s="19"/>
      <c r="E1306" s="19"/>
      <c r="F1306" s="28"/>
      <c r="G1306" s="30"/>
      <c r="H1306" s="21" t="str">
        <f t="shared" si="1"/>
        <v/>
      </c>
      <c r="I1306" s="19"/>
    </row>
    <row r="1307" ht="15.75" customHeight="1">
      <c r="A1307" s="3"/>
      <c r="B1307" s="19"/>
      <c r="C1307" s="19"/>
      <c r="D1307" s="19"/>
      <c r="E1307" s="19"/>
      <c r="F1307" s="28"/>
      <c r="G1307" s="30"/>
      <c r="H1307" s="21" t="str">
        <f t="shared" si="1"/>
        <v/>
      </c>
      <c r="I1307" s="19"/>
    </row>
    <row r="1308" ht="15.75" customHeight="1">
      <c r="A1308" s="3"/>
      <c r="B1308" s="19"/>
      <c r="C1308" s="19"/>
      <c r="D1308" s="19"/>
      <c r="E1308" s="19"/>
      <c r="F1308" s="28"/>
      <c r="G1308" s="30"/>
      <c r="H1308" s="21" t="str">
        <f t="shared" si="1"/>
        <v/>
      </c>
      <c r="I1308" s="19"/>
    </row>
    <row r="1309" ht="15.75" customHeight="1">
      <c r="A1309" s="3"/>
      <c r="B1309" s="19"/>
      <c r="C1309" s="19"/>
      <c r="D1309" s="19"/>
      <c r="E1309" s="19"/>
      <c r="F1309" s="28"/>
      <c r="G1309" s="30"/>
      <c r="H1309" s="21" t="str">
        <f t="shared" si="1"/>
        <v/>
      </c>
      <c r="I1309" s="19"/>
    </row>
    <row r="1310" ht="15.75" customHeight="1">
      <c r="A1310" s="3"/>
      <c r="B1310" s="19"/>
      <c r="C1310" s="19"/>
      <c r="D1310" s="19"/>
      <c r="E1310" s="19"/>
      <c r="F1310" s="28"/>
      <c r="G1310" s="30"/>
      <c r="H1310" s="21" t="str">
        <f t="shared" si="1"/>
        <v/>
      </c>
      <c r="I1310" s="19"/>
    </row>
    <row r="1311" ht="15.75" customHeight="1">
      <c r="A1311" s="3"/>
      <c r="B1311" s="19"/>
      <c r="C1311" s="19"/>
      <c r="D1311" s="19"/>
      <c r="E1311" s="19"/>
      <c r="F1311" s="28"/>
      <c r="G1311" s="30"/>
      <c r="H1311" s="21" t="str">
        <f t="shared" si="1"/>
        <v/>
      </c>
      <c r="I1311" s="19"/>
    </row>
    <row r="1312" ht="15.75" customHeight="1">
      <c r="A1312" s="3"/>
      <c r="B1312" s="19"/>
      <c r="C1312" s="19"/>
      <c r="D1312" s="19"/>
      <c r="E1312" s="19"/>
      <c r="F1312" s="28"/>
      <c r="G1312" s="30"/>
      <c r="H1312" s="21" t="str">
        <f t="shared" si="1"/>
        <v/>
      </c>
      <c r="I1312" s="19"/>
    </row>
    <row r="1313" ht="15.75" customHeight="1">
      <c r="A1313" s="3"/>
      <c r="B1313" s="19"/>
      <c r="C1313" s="19"/>
      <c r="D1313" s="19"/>
      <c r="E1313" s="19"/>
      <c r="F1313" s="28"/>
      <c r="G1313" s="30"/>
      <c r="H1313" s="21" t="str">
        <f t="shared" si="1"/>
        <v/>
      </c>
      <c r="I1313" s="19"/>
    </row>
    <row r="1314" ht="15.75" customHeight="1">
      <c r="A1314" s="3"/>
      <c r="B1314" s="19"/>
      <c r="C1314" s="19"/>
      <c r="D1314" s="19"/>
      <c r="E1314" s="19"/>
      <c r="F1314" s="28"/>
      <c r="G1314" s="30"/>
      <c r="H1314" s="21" t="str">
        <f t="shared" si="1"/>
        <v/>
      </c>
      <c r="I1314" s="19"/>
    </row>
    <row r="1315" ht="15.75" customHeight="1">
      <c r="A1315" s="3"/>
      <c r="B1315" s="19"/>
      <c r="C1315" s="19"/>
      <c r="D1315" s="19"/>
      <c r="E1315" s="19"/>
      <c r="F1315" s="28"/>
      <c r="G1315" s="30"/>
      <c r="H1315" s="21" t="str">
        <f t="shared" si="1"/>
        <v/>
      </c>
      <c r="I1315" s="19"/>
    </row>
    <row r="1316" ht="15.75" customHeight="1">
      <c r="A1316" s="3"/>
      <c r="B1316" s="19"/>
      <c r="C1316" s="19"/>
      <c r="D1316" s="19"/>
      <c r="E1316" s="19"/>
      <c r="F1316" s="28"/>
      <c r="G1316" s="30"/>
      <c r="H1316" s="21" t="str">
        <f t="shared" si="1"/>
        <v/>
      </c>
      <c r="I1316" s="19"/>
    </row>
    <row r="1317" ht="15.75" customHeight="1">
      <c r="A1317" s="3"/>
      <c r="B1317" s="19"/>
      <c r="C1317" s="19"/>
      <c r="D1317" s="19"/>
      <c r="E1317" s="19"/>
      <c r="F1317" s="28"/>
      <c r="G1317" s="30"/>
      <c r="H1317" s="21" t="str">
        <f t="shared" si="1"/>
        <v/>
      </c>
      <c r="I1317" s="19"/>
    </row>
    <row r="1318" ht="15.75" customHeight="1">
      <c r="A1318" s="3"/>
      <c r="B1318" s="19"/>
      <c r="C1318" s="19"/>
      <c r="D1318" s="19"/>
      <c r="E1318" s="19"/>
      <c r="F1318" s="28"/>
      <c r="G1318" s="30"/>
      <c r="H1318" s="21" t="str">
        <f t="shared" si="1"/>
        <v/>
      </c>
      <c r="I1318" s="19"/>
    </row>
    <row r="1319" ht="15.75" customHeight="1">
      <c r="A1319" s="3"/>
      <c r="B1319" s="19"/>
      <c r="C1319" s="19"/>
      <c r="D1319" s="19"/>
      <c r="E1319" s="19"/>
      <c r="F1319" s="28"/>
      <c r="G1319" s="30"/>
      <c r="H1319" s="21" t="str">
        <f t="shared" si="1"/>
        <v/>
      </c>
      <c r="I1319" s="19"/>
    </row>
    <row r="1320" ht="15.75" customHeight="1">
      <c r="A1320" s="3"/>
      <c r="B1320" s="19"/>
      <c r="C1320" s="19"/>
      <c r="D1320" s="19"/>
      <c r="E1320" s="19"/>
      <c r="F1320" s="28"/>
      <c r="G1320" s="30"/>
      <c r="H1320" s="21" t="str">
        <f t="shared" si="1"/>
        <v/>
      </c>
      <c r="I1320" s="19"/>
    </row>
    <row r="1321" ht="15.75" customHeight="1">
      <c r="A1321" s="3"/>
      <c r="B1321" s="19"/>
      <c r="C1321" s="19"/>
      <c r="D1321" s="19"/>
      <c r="E1321" s="19"/>
      <c r="F1321" s="28"/>
      <c r="G1321" s="30"/>
      <c r="H1321" s="21" t="str">
        <f t="shared" si="1"/>
        <v/>
      </c>
      <c r="I1321" s="19"/>
    </row>
    <row r="1322" ht="15.75" customHeight="1">
      <c r="A1322" s="3"/>
      <c r="B1322" s="19"/>
      <c r="C1322" s="19"/>
      <c r="D1322" s="19"/>
      <c r="E1322" s="19"/>
      <c r="F1322" s="28"/>
      <c r="G1322" s="30"/>
      <c r="H1322" s="21" t="str">
        <f t="shared" si="1"/>
        <v/>
      </c>
      <c r="I1322" s="19"/>
    </row>
    <row r="1323" ht="15.75" customHeight="1">
      <c r="A1323" s="3"/>
      <c r="B1323" s="19"/>
      <c r="C1323" s="19"/>
      <c r="D1323" s="19"/>
      <c r="E1323" s="19"/>
      <c r="F1323" s="28"/>
      <c r="G1323" s="30"/>
      <c r="H1323" s="21" t="str">
        <f t="shared" si="1"/>
        <v/>
      </c>
      <c r="I1323" s="19"/>
    </row>
    <row r="1324" ht="15.75" customHeight="1">
      <c r="A1324" s="3"/>
      <c r="B1324" s="19"/>
      <c r="C1324" s="19"/>
      <c r="D1324" s="19"/>
      <c r="E1324" s="19"/>
      <c r="F1324" s="28"/>
      <c r="G1324" s="30"/>
      <c r="H1324" s="21" t="str">
        <f t="shared" si="1"/>
        <v/>
      </c>
      <c r="I1324" s="19"/>
    </row>
    <row r="1325" ht="15.75" customHeight="1">
      <c r="A1325" s="3"/>
      <c r="B1325" s="19"/>
      <c r="C1325" s="19"/>
      <c r="D1325" s="19"/>
      <c r="E1325" s="19"/>
      <c r="F1325" s="28"/>
      <c r="G1325" s="30"/>
      <c r="H1325" s="21" t="str">
        <f t="shared" si="1"/>
        <v/>
      </c>
      <c r="I1325" s="19"/>
    </row>
    <row r="1326" ht="15.75" customHeight="1">
      <c r="A1326" s="3"/>
      <c r="B1326" s="19"/>
      <c r="C1326" s="19"/>
      <c r="D1326" s="19"/>
      <c r="E1326" s="19"/>
      <c r="F1326" s="28"/>
      <c r="G1326" s="30"/>
      <c r="H1326" s="21" t="str">
        <f t="shared" si="1"/>
        <v/>
      </c>
      <c r="I1326" s="19"/>
    </row>
    <row r="1327" ht="15.75" customHeight="1">
      <c r="A1327" s="3"/>
      <c r="B1327" s="19"/>
      <c r="C1327" s="19"/>
      <c r="D1327" s="19"/>
      <c r="E1327" s="19"/>
      <c r="F1327" s="28"/>
      <c r="G1327" s="30"/>
      <c r="H1327" s="21" t="str">
        <f t="shared" si="1"/>
        <v/>
      </c>
      <c r="I1327" s="19"/>
    </row>
    <row r="1328" ht="15.75" customHeight="1">
      <c r="A1328" s="3"/>
      <c r="B1328" s="19"/>
      <c r="C1328" s="19"/>
      <c r="D1328" s="19"/>
      <c r="E1328" s="19"/>
      <c r="F1328" s="28"/>
      <c r="G1328" s="30"/>
      <c r="H1328" s="21" t="str">
        <f t="shared" si="1"/>
        <v/>
      </c>
      <c r="I1328" s="19"/>
    </row>
    <row r="1329" ht="15.75" customHeight="1">
      <c r="A1329" s="3"/>
      <c r="B1329" s="19"/>
      <c r="C1329" s="19"/>
      <c r="D1329" s="19"/>
      <c r="E1329" s="19"/>
      <c r="F1329" s="28"/>
      <c r="G1329" s="30"/>
      <c r="H1329" s="21" t="str">
        <f t="shared" si="1"/>
        <v/>
      </c>
      <c r="I1329" s="19"/>
    </row>
    <row r="1330" ht="15.75" customHeight="1">
      <c r="A1330" s="3"/>
      <c r="B1330" s="19"/>
      <c r="C1330" s="19"/>
      <c r="D1330" s="19"/>
      <c r="E1330" s="19"/>
      <c r="F1330" s="28"/>
      <c r="G1330" s="30"/>
      <c r="H1330" s="21" t="str">
        <f t="shared" si="1"/>
        <v/>
      </c>
      <c r="I1330" s="19"/>
    </row>
    <row r="1331" ht="15.75" customHeight="1">
      <c r="A1331" s="3"/>
      <c r="B1331" s="19"/>
      <c r="C1331" s="19"/>
      <c r="D1331" s="19"/>
      <c r="E1331" s="19"/>
      <c r="F1331" s="28"/>
      <c r="G1331" s="30"/>
      <c r="H1331" s="21" t="str">
        <f t="shared" si="1"/>
        <v/>
      </c>
      <c r="I1331" s="19"/>
    </row>
    <row r="1332" ht="15.75" customHeight="1">
      <c r="A1332" s="3"/>
      <c r="B1332" s="19"/>
      <c r="C1332" s="19"/>
      <c r="D1332" s="19"/>
      <c r="E1332" s="19"/>
      <c r="F1332" s="28"/>
      <c r="G1332" s="30"/>
      <c r="H1332" s="21" t="str">
        <f t="shared" si="1"/>
        <v/>
      </c>
      <c r="I1332" s="19"/>
    </row>
    <row r="1333" ht="15.75" customHeight="1">
      <c r="A1333" s="3"/>
      <c r="B1333" s="19"/>
      <c r="C1333" s="19"/>
      <c r="D1333" s="19"/>
      <c r="E1333" s="19"/>
      <c r="F1333" s="28"/>
      <c r="G1333" s="30"/>
      <c r="H1333" s="21" t="str">
        <f t="shared" si="1"/>
        <v/>
      </c>
      <c r="I1333" s="19"/>
    </row>
    <row r="1334" ht="15.75" customHeight="1">
      <c r="A1334" s="3"/>
      <c r="B1334" s="19"/>
      <c r="C1334" s="19"/>
      <c r="D1334" s="19"/>
      <c r="E1334" s="19"/>
      <c r="F1334" s="28"/>
      <c r="G1334" s="30"/>
      <c r="H1334" s="21" t="str">
        <f t="shared" si="1"/>
        <v/>
      </c>
      <c r="I1334" s="19"/>
    </row>
    <row r="1335" ht="15.75" customHeight="1">
      <c r="A1335" s="3"/>
      <c r="B1335" s="19"/>
      <c r="C1335" s="19"/>
      <c r="D1335" s="19"/>
      <c r="E1335" s="19"/>
      <c r="F1335" s="28"/>
      <c r="G1335" s="30"/>
      <c r="H1335" s="21" t="str">
        <f t="shared" si="1"/>
        <v/>
      </c>
      <c r="I1335" s="19"/>
    </row>
    <row r="1336" ht="15.75" customHeight="1">
      <c r="A1336" s="3"/>
      <c r="B1336" s="19"/>
      <c r="C1336" s="19"/>
      <c r="D1336" s="19"/>
      <c r="E1336" s="19"/>
      <c r="F1336" s="28"/>
      <c r="G1336" s="30"/>
      <c r="H1336" s="21" t="str">
        <f t="shared" si="1"/>
        <v/>
      </c>
      <c r="I1336" s="19"/>
    </row>
    <row r="1337" ht="15.75" customHeight="1">
      <c r="A1337" s="3"/>
      <c r="B1337" s="19"/>
      <c r="C1337" s="19"/>
      <c r="D1337" s="19"/>
      <c r="E1337" s="19"/>
      <c r="F1337" s="28"/>
      <c r="G1337" s="30"/>
      <c r="H1337" s="21" t="str">
        <f t="shared" si="1"/>
        <v/>
      </c>
      <c r="I1337" s="19"/>
    </row>
    <row r="1338" ht="15.75" customHeight="1">
      <c r="A1338" s="3"/>
      <c r="B1338" s="19"/>
      <c r="C1338" s="19"/>
      <c r="D1338" s="19"/>
      <c r="E1338" s="19"/>
      <c r="F1338" s="28"/>
      <c r="G1338" s="30"/>
      <c r="H1338" s="21" t="str">
        <f t="shared" si="1"/>
        <v/>
      </c>
      <c r="I1338" s="19"/>
    </row>
    <row r="1339" ht="15.75" customHeight="1">
      <c r="A1339" s="3"/>
      <c r="B1339" s="19"/>
      <c r="C1339" s="19"/>
      <c r="D1339" s="19"/>
      <c r="E1339" s="19"/>
      <c r="F1339" s="28"/>
      <c r="G1339" s="30"/>
      <c r="H1339" s="21" t="str">
        <f t="shared" si="1"/>
        <v/>
      </c>
      <c r="I1339" s="19"/>
    </row>
    <row r="1340" ht="15.75" customHeight="1">
      <c r="A1340" s="3"/>
      <c r="B1340" s="19"/>
      <c r="C1340" s="19"/>
      <c r="D1340" s="19"/>
      <c r="E1340" s="19"/>
      <c r="F1340" s="28"/>
      <c r="G1340" s="30"/>
      <c r="H1340" s="21" t="str">
        <f t="shared" si="1"/>
        <v/>
      </c>
      <c r="I1340" s="19"/>
    </row>
    <row r="1341" ht="15.75" customHeight="1">
      <c r="A1341" s="3"/>
      <c r="B1341" s="19"/>
      <c r="C1341" s="19"/>
      <c r="D1341" s="19"/>
      <c r="E1341" s="19"/>
      <c r="F1341" s="28"/>
      <c r="G1341" s="30"/>
      <c r="H1341" s="21" t="str">
        <f t="shared" si="1"/>
        <v/>
      </c>
      <c r="I1341" s="19"/>
    </row>
    <row r="1342" ht="15.75" customHeight="1">
      <c r="A1342" s="3"/>
      <c r="B1342" s="19"/>
      <c r="C1342" s="19"/>
      <c r="D1342" s="19"/>
      <c r="E1342" s="19"/>
      <c r="F1342" s="28"/>
      <c r="G1342" s="30"/>
      <c r="H1342" s="21" t="str">
        <f t="shared" si="1"/>
        <v/>
      </c>
      <c r="I1342" s="19"/>
    </row>
    <row r="1343" ht="15.75" customHeight="1">
      <c r="A1343" s="3"/>
      <c r="B1343" s="19"/>
      <c r="C1343" s="19"/>
      <c r="D1343" s="19"/>
      <c r="E1343" s="19"/>
      <c r="F1343" s="28"/>
      <c r="G1343" s="30"/>
      <c r="H1343" s="21" t="str">
        <f t="shared" si="1"/>
        <v/>
      </c>
      <c r="I1343" s="19"/>
    </row>
    <row r="1344" ht="15.75" customHeight="1">
      <c r="A1344" s="3"/>
      <c r="B1344" s="19"/>
      <c r="C1344" s="19"/>
      <c r="D1344" s="19"/>
      <c r="E1344" s="19"/>
      <c r="F1344" s="28"/>
      <c r="G1344" s="30"/>
      <c r="H1344" s="21" t="str">
        <f t="shared" si="1"/>
        <v/>
      </c>
      <c r="I1344" s="19"/>
    </row>
    <row r="1345" ht="15.75" customHeight="1">
      <c r="A1345" s="3"/>
      <c r="B1345" s="19"/>
      <c r="C1345" s="19"/>
      <c r="D1345" s="19"/>
      <c r="E1345" s="19"/>
      <c r="F1345" s="28"/>
      <c r="G1345" s="30"/>
      <c r="H1345" s="21" t="str">
        <f t="shared" si="1"/>
        <v/>
      </c>
      <c r="I1345" s="19"/>
    </row>
    <row r="1346" ht="15.75" customHeight="1">
      <c r="A1346" s="3"/>
      <c r="B1346" s="19"/>
      <c r="C1346" s="19"/>
      <c r="D1346" s="19"/>
      <c r="E1346" s="19"/>
      <c r="F1346" s="28"/>
      <c r="G1346" s="30"/>
      <c r="H1346" s="21" t="str">
        <f t="shared" si="1"/>
        <v/>
      </c>
      <c r="I1346" s="19"/>
    </row>
    <row r="1347" ht="15.75" customHeight="1">
      <c r="A1347" s="3"/>
      <c r="B1347" s="19"/>
      <c r="C1347" s="19"/>
      <c r="D1347" s="19"/>
      <c r="E1347" s="19"/>
      <c r="F1347" s="28"/>
      <c r="G1347" s="30"/>
      <c r="H1347" s="21" t="str">
        <f t="shared" si="1"/>
        <v/>
      </c>
      <c r="I1347" s="19"/>
    </row>
    <row r="1348" ht="15.75" customHeight="1">
      <c r="A1348" s="3"/>
      <c r="B1348" s="19"/>
      <c r="C1348" s="19"/>
      <c r="D1348" s="19"/>
      <c r="E1348" s="19"/>
      <c r="F1348" s="28"/>
      <c r="G1348" s="30"/>
      <c r="H1348" s="21" t="str">
        <f t="shared" si="1"/>
        <v/>
      </c>
      <c r="I1348" s="19"/>
    </row>
    <row r="1349" ht="15.75" customHeight="1">
      <c r="A1349" s="3"/>
      <c r="B1349" s="19"/>
      <c r="C1349" s="19"/>
      <c r="D1349" s="19"/>
      <c r="E1349" s="19"/>
      <c r="F1349" s="28"/>
      <c r="G1349" s="30"/>
      <c r="H1349" s="21" t="str">
        <f t="shared" si="1"/>
        <v/>
      </c>
      <c r="I1349" s="19"/>
    </row>
    <row r="1350" ht="15.75" customHeight="1">
      <c r="A1350" s="3"/>
      <c r="B1350" s="19"/>
      <c r="C1350" s="19"/>
      <c r="D1350" s="19"/>
      <c r="E1350" s="19"/>
      <c r="F1350" s="28"/>
      <c r="G1350" s="30"/>
      <c r="H1350" s="21" t="str">
        <f t="shared" si="1"/>
        <v/>
      </c>
      <c r="I1350" s="19"/>
    </row>
    <row r="1351" ht="15.75" customHeight="1">
      <c r="A1351" s="3"/>
      <c r="B1351" s="19"/>
      <c r="C1351" s="19"/>
      <c r="D1351" s="19"/>
      <c r="E1351" s="19"/>
      <c r="F1351" s="28"/>
      <c r="G1351" s="30"/>
      <c r="H1351" s="21" t="str">
        <f t="shared" si="1"/>
        <v/>
      </c>
      <c r="I1351" s="19"/>
    </row>
    <row r="1352" ht="15.75" customHeight="1">
      <c r="A1352" s="3"/>
      <c r="B1352" s="19"/>
      <c r="C1352" s="19"/>
      <c r="D1352" s="19"/>
      <c r="E1352" s="19"/>
      <c r="F1352" s="28"/>
      <c r="G1352" s="30"/>
      <c r="H1352" s="21" t="str">
        <f t="shared" si="1"/>
        <v/>
      </c>
      <c r="I1352" s="19"/>
    </row>
    <row r="1353" ht="15.75" customHeight="1">
      <c r="A1353" s="3"/>
      <c r="B1353" s="19"/>
      <c r="C1353" s="19"/>
      <c r="D1353" s="19"/>
      <c r="E1353" s="19"/>
      <c r="F1353" s="28"/>
      <c r="G1353" s="30"/>
      <c r="H1353" s="21" t="str">
        <f t="shared" si="1"/>
        <v/>
      </c>
      <c r="I1353" s="19"/>
    </row>
    <row r="1354" ht="15.75" customHeight="1">
      <c r="A1354" s="3"/>
      <c r="B1354" s="19"/>
      <c r="C1354" s="19"/>
      <c r="D1354" s="19"/>
      <c r="E1354" s="19"/>
      <c r="F1354" s="28"/>
      <c r="G1354" s="30"/>
      <c r="H1354" s="21" t="str">
        <f t="shared" si="1"/>
        <v/>
      </c>
      <c r="I1354" s="19"/>
    </row>
    <row r="1355" ht="15.75" customHeight="1">
      <c r="A1355" s="3"/>
      <c r="B1355" s="19"/>
      <c r="C1355" s="19"/>
      <c r="D1355" s="19"/>
      <c r="E1355" s="19"/>
      <c r="F1355" s="28"/>
      <c r="G1355" s="30"/>
      <c r="H1355" s="21" t="str">
        <f t="shared" si="1"/>
        <v/>
      </c>
      <c r="I1355" s="19"/>
    </row>
    <row r="1356" ht="15.75" customHeight="1">
      <c r="A1356" s="3"/>
      <c r="B1356" s="19"/>
      <c r="C1356" s="19"/>
      <c r="D1356" s="19"/>
      <c r="E1356" s="19"/>
      <c r="F1356" s="28"/>
      <c r="G1356" s="30"/>
      <c r="H1356" s="21" t="str">
        <f t="shared" si="1"/>
        <v/>
      </c>
      <c r="I1356" s="19"/>
    </row>
    <row r="1357" ht="15.75" customHeight="1">
      <c r="A1357" s="3"/>
      <c r="B1357" s="19"/>
      <c r="C1357" s="19"/>
      <c r="D1357" s="19"/>
      <c r="E1357" s="19"/>
      <c r="F1357" s="28"/>
      <c r="G1357" s="30"/>
      <c r="H1357" s="21" t="str">
        <f t="shared" si="1"/>
        <v/>
      </c>
      <c r="I1357" s="19"/>
    </row>
    <row r="1358" ht="15.75" customHeight="1">
      <c r="A1358" s="3"/>
      <c r="B1358" s="19"/>
      <c r="C1358" s="19"/>
      <c r="D1358" s="19"/>
      <c r="E1358" s="19"/>
      <c r="F1358" s="28"/>
      <c r="G1358" s="30"/>
      <c r="H1358" s="21" t="str">
        <f t="shared" si="1"/>
        <v/>
      </c>
      <c r="I1358" s="19"/>
    </row>
    <row r="1359" ht="15.75" customHeight="1">
      <c r="A1359" s="3"/>
      <c r="B1359" s="19"/>
      <c r="C1359" s="19"/>
      <c r="D1359" s="19"/>
      <c r="E1359" s="19"/>
      <c r="F1359" s="28"/>
      <c r="G1359" s="30"/>
      <c r="H1359" s="21" t="str">
        <f t="shared" si="1"/>
        <v/>
      </c>
      <c r="I1359" s="19"/>
    </row>
    <row r="1360" ht="15.75" customHeight="1">
      <c r="A1360" s="3"/>
      <c r="B1360" s="19"/>
      <c r="C1360" s="19"/>
      <c r="D1360" s="19"/>
      <c r="E1360" s="19"/>
      <c r="F1360" s="28"/>
      <c r="G1360" s="30"/>
      <c r="H1360" s="21" t="str">
        <f t="shared" si="1"/>
        <v/>
      </c>
      <c r="I1360" s="19"/>
    </row>
    <row r="1361" ht="15.75" customHeight="1">
      <c r="A1361" s="3"/>
      <c r="B1361" s="19"/>
      <c r="C1361" s="19"/>
      <c r="D1361" s="19"/>
      <c r="E1361" s="19"/>
      <c r="F1361" s="28"/>
      <c r="G1361" s="30"/>
      <c r="H1361" s="21" t="str">
        <f t="shared" si="1"/>
        <v/>
      </c>
      <c r="I1361" s="19"/>
    </row>
    <row r="1362" ht="15.75" customHeight="1">
      <c r="A1362" s="3"/>
      <c r="B1362" s="19"/>
      <c r="C1362" s="19"/>
      <c r="D1362" s="19"/>
      <c r="E1362" s="19"/>
      <c r="F1362" s="28"/>
      <c r="G1362" s="30"/>
      <c r="H1362" s="21" t="str">
        <f t="shared" si="1"/>
        <v/>
      </c>
      <c r="I1362" s="19"/>
    </row>
    <row r="1363" ht="15.75" customHeight="1">
      <c r="A1363" s="3"/>
      <c r="B1363" s="19"/>
      <c r="C1363" s="19"/>
      <c r="D1363" s="19"/>
      <c r="E1363" s="19"/>
      <c r="F1363" s="28"/>
      <c r="G1363" s="30"/>
      <c r="H1363" s="21" t="str">
        <f t="shared" si="1"/>
        <v/>
      </c>
      <c r="I1363" s="19"/>
    </row>
    <row r="1364" ht="15.75" customHeight="1">
      <c r="A1364" s="3"/>
      <c r="B1364" s="19"/>
      <c r="C1364" s="19"/>
      <c r="D1364" s="19"/>
      <c r="E1364" s="19"/>
      <c r="F1364" s="28"/>
      <c r="G1364" s="30"/>
      <c r="H1364" s="21" t="str">
        <f t="shared" si="1"/>
        <v/>
      </c>
      <c r="I1364" s="19"/>
    </row>
    <row r="1365" ht="15.75" customHeight="1">
      <c r="A1365" s="3"/>
      <c r="B1365" s="19"/>
      <c r="C1365" s="19"/>
      <c r="D1365" s="19"/>
      <c r="E1365" s="19"/>
      <c r="F1365" s="28"/>
      <c r="G1365" s="30"/>
      <c r="H1365" s="21" t="str">
        <f t="shared" si="1"/>
        <v/>
      </c>
      <c r="I1365" s="19"/>
    </row>
    <row r="1366" ht="15.75" customHeight="1">
      <c r="A1366" s="3"/>
      <c r="B1366" s="19"/>
      <c r="C1366" s="19"/>
      <c r="D1366" s="19"/>
      <c r="E1366" s="19"/>
      <c r="F1366" s="28"/>
      <c r="G1366" s="30"/>
      <c r="H1366" s="21" t="str">
        <f t="shared" si="1"/>
        <v/>
      </c>
      <c r="I1366" s="19"/>
    </row>
    <row r="1367" ht="15.75" customHeight="1">
      <c r="A1367" s="3"/>
      <c r="B1367" s="19"/>
      <c r="C1367" s="19"/>
      <c r="D1367" s="19"/>
      <c r="E1367" s="19"/>
      <c r="F1367" s="28"/>
      <c r="G1367" s="30"/>
      <c r="H1367" s="21" t="str">
        <f t="shared" si="1"/>
        <v/>
      </c>
      <c r="I1367" s="19"/>
    </row>
    <row r="1368" ht="15.75" customHeight="1">
      <c r="A1368" s="3"/>
      <c r="B1368" s="19"/>
      <c r="C1368" s="19"/>
      <c r="D1368" s="19"/>
      <c r="E1368" s="19"/>
      <c r="F1368" s="28"/>
      <c r="G1368" s="30"/>
      <c r="H1368" s="21" t="str">
        <f t="shared" si="1"/>
        <v/>
      </c>
      <c r="I1368" s="19"/>
    </row>
    <row r="1369" ht="15.75" customHeight="1">
      <c r="A1369" s="3"/>
      <c r="B1369" s="19"/>
      <c r="C1369" s="19"/>
      <c r="D1369" s="19"/>
      <c r="E1369" s="19"/>
      <c r="F1369" s="28"/>
      <c r="G1369" s="30"/>
      <c r="H1369" s="21" t="str">
        <f t="shared" si="1"/>
        <v/>
      </c>
      <c r="I1369" s="19"/>
    </row>
    <row r="1370" ht="15.75" customHeight="1">
      <c r="A1370" s="3"/>
      <c r="B1370" s="19"/>
      <c r="C1370" s="19"/>
      <c r="D1370" s="19"/>
      <c r="E1370" s="19"/>
      <c r="F1370" s="28"/>
      <c r="G1370" s="30"/>
      <c r="H1370" s="21" t="str">
        <f t="shared" si="1"/>
        <v/>
      </c>
      <c r="I1370" s="19"/>
    </row>
    <row r="1371" ht="15.75" customHeight="1">
      <c r="A1371" s="3"/>
      <c r="B1371" s="19"/>
      <c r="C1371" s="19"/>
      <c r="D1371" s="19"/>
      <c r="E1371" s="19"/>
      <c r="F1371" s="28"/>
      <c r="G1371" s="30"/>
      <c r="H1371" s="21" t="str">
        <f t="shared" si="1"/>
        <v/>
      </c>
      <c r="I1371" s="19"/>
    </row>
    <row r="1372" ht="15.75" customHeight="1">
      <c r="A1372" s="3"/>
      <c r="B1372" s="19"/>
      <c r="C1372" s="19"/>
      <c r="D1372" s="19"/>
      <c r="E1372" s="19"/>
      <c r="F1372" s="28"/>
      <c r="G1372" s="30"/>
      <c r="H1372" s="21" t="str">
        <f t="shared" si="1"/>
        <v/>
      </c>
      <c r="I1372" s="19"/>
    </row>
    <row r="1373" ht="15.75" customHeight="1">
      <c r="A1373" s="3"/>
      <c r="B1373" s="19"/>
      <c r="C1373" s="19"/>
      <c r="D1373" s="19"/>
      <c r="E1373" s="19"/>
      <c r="F1373" s="28"/>
      <c r="G1373" s="30"/>
      <c r="H1373" s="21" t="str">
        <f t="shared" si="1"/>
        <v/>
      </c>
      <c r="I1373" s="19"/>
    </row>
    <row r="1374" ht="15.75" customHeight="1">
      <c r="A1374" s="3"/>
      <c r="B1374" s="19"/>
      <c r="C1374" s="19"/>
      <c r="D1374" s="19"/>
      <c r="E1374" s="19"/>
      <c r="F1374" s="28"/>
      <c r="G1374" s="30"/>
      <c r="H1374" s="21" t="str">
        <f t="shared" si="1"/>
        <v/>
      </c>
      <c r="I1374" s="19"/>
    </row>
    <row r="1375" ht="15.75" customHeight="1">
      <c r="A1375" s="3"/>
      <c r="B1375" s="19"/>
      <c r="C1375" s="19"/>
      <c r="D1375" s="19"/>
      <c r="E1375" s="19"/>
      <c r="F1375" s="28"/>
      <c r="G1375" s="30"/>
      <c r="H1375" s="21" t="str">
        <f t="shared" si="1"/>
        <v/>
      </c>
      <c r="I1375" s="19"/>
    </row>
    <row r="1376" ht="15.75" customHeight="1">
      <c r="A1376" s="3"/>
      <c r="B1376" s="19"/>
      <c r="C1376" s="19"/>
      <c r="D1376" s="19"/>
      <c r="E1376" s="19"/>
      <c r="F1376" s="28"/>
      <c r="G1376" s="30"/>
      <c r="H1376" s="21" t="str">
        <f t="shared" si="1"/>
        <v/>
      </c>
      <c r="I1376" s="19"/>
    </row>
    <row r="1377" ht="15.75" customHeight="1">
      <c r="A1377" s="3"/>
      <c r="B1377" s="19"/>
      <c r="C1377" s="19"/>
      <c r="D1377" s="19"/>
      <c r="E1377" s="19"/>
      <c r="F1377" s="28"/>
      <c r="G1377" s="30"/>
      <c r="H1377" s="21" t="str">
        <f t="shared" si="1"/>
        <v/>
      </c>
      <c r="I1377" s="19"/>
    </row>
    <row r="1378" ht="15.75" customHeight="1">
      <c r="A1378" s="3"/>
      <c r="B1378" s="19"/>
      <c r="C1378" s="19"/>
      <c r="D1378" s="19"/>
      <c r="E1378" s="19"/>
      <c r="F1378" s="28"/>
      <c r="G1378" s="30"/>
      <c r="H1378" s="21" t="str">
        <f t="shared" si="1"/>
        <v/>
      </c>
      <c r="I1378" s="19"/>
    </row>
    <row r="1379" ht="15.75" customHeight="1">
      <c r="A1379" s="3"/>
      <c r="B1379" s="19"/>
      <c r="C1379" s="19"/>
      <c r="D1379" s="19"/>
      <c r="E1379" s="19"/>
      <c r="F1379" s="28"/>
      <c r="G1379" s="30"/>
      <c r="H1379" s="21" t="str">
        <f t="shared" si="1"/>
        <v/>
      </c>
      <c r="I1379" s="19"/>
    </row>
    <row r="1380" ht="15.75" customHeight="1">
      <c r="A1380" s="3"/>
      <c r="B1380" s="19"/>
      <c r="C1380" s="19"/>
      <c r="D1380" s="19"/>
      <c r="E1380" s="19"/>
      <c r="F1380" s="28"/>
      <c r="G1380" s="30"/>
      <c r="H1380" s="21" t="str">
        <f t="shared" si="1"/>
        <v/>
      </c>
      <c r="I1380" s="19"/>
    </row>
    <row r="1381" ht="15.75" customHeight="1">
      <c r="A1381" s="3"/>
      <c r="B1381" s="19"/>
      <c r="C1381" s="19"/>
      <c r="D1381" s="19"/>
      <c r="E1381" s="19"/>
      <c r="F1381" s="28"/>
      <c r="G1381" s="30"/>
      <c r="H1381" s="21" t="str">
        <f t="shared" si="1"/>
        <v/>
      </c>
      <c r="I1381" s="19"/>
    </row>
    <row r="1382" ht="15.75" customHeight="1">
      <c r="A1382" s="3"/>
      <c r="B1382" s="19"/>
      <c r="C1382" s="19"/>
      <c r="D1382" s="19"/>
      <c r="E1382" s="19"/>
      <c r="F1382" s="28"/>
      <c r="G1382" s="30"/>
      <c r="H1382" s="21" t="str">
        <f t="shared" si="1"/>
        <v/>
      </c>
      <c r="I1382" s="19"/>
    </row>
    <row r="1383" ht="15.75" customHeight="1">
      <c r="A1383" s="3"/>
      <c r="B1383" s="19"/>
      <c r="C1383" s="19"/>
      <c r="D1383" s="19"/>
      <c r="E1383" s="19"/>
      <c r="F1383" s="28"/>
      <c r="G1383" s="30"/>
      <c r="H1383" s="21" t="str">
        <f t="shared" si="1"/>
        <v/>
      </c>
      <c r="I1383" s="19"/>
    </row>
    <row r="1384" ht="15.75" customHeight="1">
      <c r="A1384" s="3"/>
      <c r="B1384" s="19"/>
      <c r="C1384" s="19"/>
      <c r="D1384" s="19"/>
      <c r="E1384" s="19"/>
      <c r="F1384" s="28"/>
      <c r="G1384" s="30"/>
      <c r="H1384" s="21" t="str">
        <f t="shared" si="1"/>
        <v/>
      </c>
      <c r="I1384" s="19"/>
    </row>
    <row r="1385" ht="15.75" customHeight="1">
      <c r="A1385" s="3"/>
      <c r="B1385" s="19"/>
      <c r="C1385" s="19"/>
      <c r="D1385" s="19"/>
      <c r="E1385" s="19"/>
      <c r="F1385" s="28"/>
      <c r="G1385" s="30"/>
      <c r="H1385" s="21" t="str">
        <f t="shared" si="1"/>
        <v/>
      </c>
      <c r="I1385" s="19"/>
    </row>
    <row r="1386" ht="15.75" customHeight="1">
      <c r="A1386" s="3"/>
      <c r="B1386" s="19"/>
      <c r="C1386" s="19"/>
      <c r="D1386" s="19"/>
      <c r="E1386" s="19"/>
      <c r="F1386" s="28"/>
      <c r="G1386" s="30"/>
      <c r="H1386" s="21" t="str">
        <f t="shared" si="1"/>
        <v/>
      </c>
      <c r="I1386" s="19"/>
    </row>
    <row r="1387" ht="15.75" customHeight="1">
      <c r="A1387" s="3"/>
      <c r="B1387" s="19"/>
      <c r="C1387" s="19"/>
      <c r="D1387" s="19"/>
      <c r="E1387" s="19"/>
      <c r="F1387" s="28"/>
      <c r="G1387" s="30"/>
      <c r="H1387" s="21" t="str">
        <f t="shared" si="1"/>
        <v/>
      </c>
      <c r="I1387" s="19"/>
    </row>
    <row r="1388" ht="15.75" customHeight="1">
      <c r="A1388" s="3"/>
      <c r="B1388" s="19"/>
      <c r="C1388" s="19"/>
      <c r="D1388" s="19"/>
      <c r="E1388" s="19"/>
      <c r="F1388" s="28"/>
      <c r="G1388" s="30"/>
      <c r="H1388" s="21" t="str">
        <f t="shared" si="1"/>
        <v/>
      </c>
      <c r="I1388" s="19"/>
    </row>
    <row r="1389" ht="15.75" customHeight="1">
      <c r="A1389" s="3"/>
      <c r="B1389" s="19"/>
      <c r="C1389" s="19"/>
      <c r="D1389" s="19"/>
      <c r="E1389" s="19"/>
      <c r="F1389" s="28"/>
      <c r="G1389" s="30"/>
      <c r="H1389" s="21" t="str">
        <f t="shared" si="1"/>
        <v/>
      </c>
      <c r="I1389" s="19"/>
    </row>
    <row r="1390" ht="15.75" customHeight="1">
      <c r="A1390" s="3"/>
      <c r="B1390" s="19"/>
      <c r="C1390" s="19"/>
      <c r="D1390" s="19"/>
      <c r="E1390" s="19"/>
      <c r="F1390" s="28"/>
      <c r="G1390" s="30"/>
      <c r="H1390" s="21" t="str">
        <f t="shared" si="1"/>
        <v/>
      </c>
      <c r="I1390" s="19"/>
    </row>
    <row r="1391" ht="15.75" customHeight="1">
      <c r="A1391" s="3"/>
      <c r="B1391" s="19"/>
      <c r="C1391" s="19"/>
      <c r="D1391" s="19"/>
      <c r="E1391" s="19"/>
      <c r="F1391" s="28"/>
      <c r="G1391" s="30"/>
      <c r="H1391" s="21" t="str">
        <f t="shared" si="1"/>
        <v/>
      </c>
      <c r="I1391" s="19"/>
    </row>
    <row r="1392" ht="15.75" customHeight="1">
      <c r="A1392" s="3"/>
      <c r="B1392" s="19"/>
      <c r="C1392" s="19"/>
      <c r="D1392" s="19"/>
      <c r="E1392" s="19"/>
      <c r="F1392" s="28"/>
      <c r="G1392" s="30"/>
      <c r="H1392" s="21" t="str">
        <f t="shared" si="1"/>
        <v/>
      </c>
      <c r="I1392" s="19"/>
    </row>
    <row r="1393" ht="15.75" customHeight="1">
      <c r="A1393" s="3"/>
      <c r="B1393" s="19"/>
      <c r="C1393" s="19"/>
      <c r="D1393" s="19"/>
      <c r="E1393" s="19"/>
      <c r="F1393" s="28"/>
      <c r="G1393" s="30"/>
      <c r="H1393" s="21" t="str">
        <f t="shared" si="1"/>
        <v/>
      </c>
      <c r="I1393" s="19"/>
    </row>
    <row r="1394" ht="15.75" customHeight="1">
      <c r="A1394" s="3"/>
      <c r="B1394" s="19"/>
      <c r="C1394" s="19"/>
      <c r="D1394" s="19"/>
      <c r="E1394" s="19"/>
      <c r="F1394" s="28"/>
      <c r="G1394" s="30"/>
      <c r="H1394" s="21" t="str">
        <f t="shared" si="1"/>
        <v/>
      </c>
      <c r="I1394" s="19"/>
    </row>
    <row r="1395" ht="15.75" customHeight="1">
      <c r="A1395" s="3"/>
      <c r="B1395" s="19"/>
      <c r="C1395" s="19"/>
      <c r="D1395" s="19"/>
      <c r="E1395" s="19"/>
      <c r="F1395" s="28"/>
      <c r="G1395" s="30"/>
      <c r="H1395" s="21" t="str">
        <f t="shared" si="1"/>
        <v/>
      </c>
      <c r="I1395" s="19"/>
    </row>
    <row r="1396" ht="15.75" customHeight="1">
      <c r="A1396" s="3"/>
      <c r="B1396" s="19"/>
      <c r="C1396" s="19"/>
      <c r="D1396" s="19"/>
      <c r="E1396" s="19"/>
      <c r="F1396" s="28"/>
      <c r="G1396" s="30"/>
      <c r="H1396" s="21" t="str">
        <f t="shared" si="1"/>
        <v/>
      </c>
      <c r="I1396" s="19"/>
    </row>
    <row r="1397" ht="15.75" customHeight="1">
      <c r="A1397" s="3"/>
      <c r="B1397" s="19"/>
      <c r="C1397" s="19"/>
      <c r="D1397" s="19"/>
      <c r="E1397" s="19"/>
      <c r="F1397" s="28"/>
      <c r="G1397" s="30"/>
      <c r="H1397" s="21" t="str">
        <f t="shared" si="1"/>
        <v/>
      </c>
      <c r="I1397" s="19"/>
    </row>
    <row r="1398" ht="15.75" customHeight="1">
      <c r="A1398" s="3"/>
      <c r="B1398" s="19"/>
      <c r="C1398" s="19"/>
      <c r="D1398" s="19"/>
      <c r="E1398" s="19"/>
      <c r="F1398" s="28"/>
      <c r="G1398" s="30"/>
      <c r="H1398" s="21" t="str">
        <f t="shared" si="1"/>
        <v/>
      </c>
      <c r="I1398" s="19"/>
    </row>
    <row r="1399" ht="15.75" customHeight="1">
      <c r="A1399" s="3"/>
      <c r="B1399" s="19"/>
      <c r="C1399" s="19"/>
      <c r="D1399" s="19"/>
      <c r="E1399" s="19"/>
      <c r="F1399" s="28"/>
      <c r="G1399" s="30"/>
      <c r="H1399" s="21" t="str">
        <f t="shared" si="1"/>
        <v/>
      </c>
      <c r="I1399" s="19"/>
    </row>
    <row r="1400" ht="15.75" customHeight="1">
      <c r="A1400" s="3"/>
      <c r="B1400" s="19"/>
      <c r="C1400" s="19"/>
      <c r="D1400" s="19"/>
      <c r="E1400" s="19"/>
      <c r="F1400" s="28"/>
      <c r="G1400" s="30"/>
      <c r="H1400" s="21" t="str">
        <f t="shared" si="1"/>
        <v/>
      </c>
      <c r="I1400" s="19"/>
    </row>
    <row r="1401" ht="15.75" customHeight="1">
      <c r="A1401" s="3"/>
      <c r="B1401" s="19"/>
      <c r="C1401" s="19"/>
      <c r="D1401" s="19"/>
      <c r="E1401" s="19"/>
      <c r="F1401" s="28"/>
      <c r="G1401" s="30"/>
      <c r="H1401" s="21" t="str">
        <f t="shared" si="1"/>
        <v/>
      </c>
      <c r="I1401" s="19"/>
    </row>
    <row r="1402" ht="15.75" customHeight="1">
      <c r="A1402" s="3"/>
      <c r="B1402" s="19"/>
      <c r="C1402" s="19"/>
      <c r="D1402" s="19"/>
      <c r="E1402" s="19"/>
      <c r="F1402" s="28"/>
      <c r="G1402" s="30"/>
      <c r="H1402" s="21" t="str">
        <f t="shared" si="1"/>
        <v/>
      </c>
      <c r="I1402" s="19"/>
    </row>
    <row r="1403" ht="15.75" customHeight="1">
      <c r="A1403" s="3"/>
      <c r="B1403" s="19"/>
      <c r="C1403" s="19"/>
      <c r="D1403" s="19"/>
      <c r="E1403" s="19"/>
      <c r="F1403" s="28"/>
      <c r="G1403" s="30"/>
      <c r="H1403" s="21" t="str">
        <f t="shared" si="1"/>
        <v/>
      </c>
      <c r="I1403" s="19"/>
    </row>
    <row r="1404" ht="15.75" customHeight="1">
      <c r="A1404" s="3"/>
      <c r="B1404" s="19"/>
      <c r="C1404" s="19"/>
      <c r="D1404" s="19"/>
      <c r="E1404" s="19"/>
      <c r="F1404" s="28"/>
      <c r="G1404" s="30"/>
      <c r="H1404" s="21" t="str">
        <f t="shared" si="1"/>
        <v/>
      </c>
      <c r="I1404" s="19"/>
    </row>
    <row r="1405" ht="15.75" customHeight="1">
      <c r="A1405" s="3"/>
      <c r="B1405" s="19"/>
      <c r="C1405" s="19"/>
      <c r="D1405" s="19"/>
      <c r="E1405" s="19"/>
      <c r="F1405" s="28"/>
      <c r="G1405" s="30"/>
      <c r="H1405" s="21" t="str">
        <f t="shared" si="1"/>
        <v/>
      </c>
      <c r="I1405" s="19"/>
    </row>
    <row r="1406" ht="15.75" customHeight="1">
      <c r="A1406" s="3"/>
      <c r="B1406" s="19"/>
      <c r="C1406" s="19"/>
      <c r="D1406" s="19"/>
      <c r="E1406" s="19"/>
      <c r="F1406" s="28"/>
      <c r="G1406" s="30"/>
      <c r="H1406" s="21" t="str">
        <f t="shared" si="1"/>
        <v/>
      </c>
      <c r="I1406" s="19"/>
    </row>
    <row r="1407" ht="15.75" customHeight="1">
      <c r="A1407" s="3"/>
      <c r="B1407" s="19"/>
      <c r="C1407" s="19"/>
      <c r="D1407" s="19"/>
      <c r="E1407" s="19"/>
      <c r="F1407" s="28"/>
      <c r="G1407" s="30"/>
      <c r="H1407" s="21" t="str">
        <f t="shared" si="1"/>
        <v/>
      </c>
      <c r="I1407" s="19"/>
    </row>
    <row r="1408" ht="15.75" customHeight="1">
      <c r="A1408" s="3"/>
      <c r="B1408" s="19"/>
      <c r="C1408" s="19"/>
      <c r="D1408" s="19"/>
      <c r="E1408" s="19"/>
      <c r="F1408" s="28"/>
      <c r="G1408" s="30"/>
      <c r="H1408" s="21" t="str">
        <f t="shared" si="1"/>
        <v/>
      </c>
      <c r="I1408" s="19"/>
    </row>
    <row r="1409" ht="15.75" customHeight="1">
      <c r="A1409" s="3"/>
      <c r="B1409" s="19"/>
      <c r="C1409" s="19"/>
      <c r="D1409" s="19"/>
      <c r="E1409" s="19"/>
      <c r="F1409" s="28"/>
      <c r="G1409" s="30"/>
      <c r="H1409" s="21" t="str">
        <f t="shared" si="1"/>
        <v/>
      </c>
      <c r="I1409" s="19"/>
    </row>
    <row r="1410" ht="15.75" customHeight="1">
      <c r="A1410" s="3"/>
      <c r="B1410" s="19"/>
      <c r="C1410" s="19"/>
      <c r="D1410" s="19"/>
      <c r="E1410" s="19"/>
      <c r="F1410" s="28"/>
      <c r="G1410" s="30"/>
      <c r="H1410" s="21" t="str">
        <f t="shared" si="1"/>
        <v/>
      </c>
      <c r="I1410" s="19"/>
    </row>
    <row r="1411" ht="15.75" customHeight="1">
      <c r="A1411" s="3"/>
      <c r="B1411" s="19"/>
      <c r="C1411" s="19"/>
      <c r="D1411" s="19"/>
      <c r="E1411" s="19"/>
      <c r="F1411" s="28"/>
      <c r="G1411" s="30"/>
      <c r="H1411" s="21" t="str">
        <f t="shared" si="1"/>
        <v/>
      </c>
      <c r="I1411" s="19"/>
    </row>
    <row r="1412" ht="15.75" customHeight="1">
      <c r="A1412" s="3"/>
      <c r="B1412" s="19"/>
      <c r="C1412" s="19"/>
      <c r="D1412" s="19"/>
      <c r="E1412" s="19"/>
      <c r="F1412" s="28"/>
      <c r="G1412" s="30"/>
      <c r="H1412" s="21" t="str">
        <f t="shared" si="1"/>
        <v/>
      </c>
      <c r="I1412" s="19"/>
    </row>
    <row r="1413" ht="15.75" customHeight="1">
      <c r="A1413" s="3"/>
      <c r="B1413" s="19"/>
      <c r="C1413" s="19"/>
      <c r="D1413" s="19"/>
      <c r="E1413" s="19"/>
      <c r="F1413" s="28"/>
      <c r="G1413" s="30"/>
      <c r="H1413" s="21" t="str">
        <f t="shared" si="1"/>
        <v/>
      </c>
      <c r="I1413" s="19"/>
    </row>
    <row r="1414" ht="15.75" customHeight="1">
      <c r="A1414" s="3"/>
      <c r="B1414" s="19"/>
      <c r="C1414" s="19"/>
      <c r="D1414" s="19"/>
      <c r="E1414" s="19"/>
      <c r="F1414" s="28"/>
      <c r="G1414" s="30"/>
      <c r="H1414" s="21" t="str">
        <f t="shared" si="1"/>
        <v/>
      </c>
      <c r="I1414" s="19"/>
    </row>
    <row r="1415" ht="15.75" customHeight="1">
      <c r="A1415" s="3"/>
      <c r="B1415" s="19"/>
      <c r="C1415" s="19"/>
      <c r="D1415" s="19"/>
      <c r="E1415" s="19"/>
      <c r="F1415" s="28"/>
      <c r="G1415" s="30"/>
      <c r="H1415" s="21" t="str">
        <f t="shared" si="1"/>
        <v/>
      </c>
      <c r="I1415" s="19"/>
    </row>
    <row r="1416" ht="15.75" customHeight="1">
      <c r="A1416" s="3"/>
      <c r="B1416" s="19"/>
      <c r="C1416" s="19"/>
      <c r="D1416" s="19"/>
      <c r="E1416" s="19"/>
      <c r="F1416" s="28"/>
      <c r="G1416" s="30"/>
      <c r="H1416" s="21" t="str">
        <f t="shared" si="1"/>
        <v/>
      </c>
      <c r="I1416" s="19"/>
    </row>
    <row r="1417" ht="15.75" customHeight="1">
      <c r="A1417" s="3"/>
      <c r="B1417" s="19"/>
      <c r="C1417" s="19"/>
      <c r="D1417" s="19"/>
      <c r="E1417" s="19"/>
      <c r="F1417" s="28"/>
      <c r="G1417" s="30"/>
      <c r="H1417" s="21" t="str">
        <f t="shared" si="1"/>
        <v/>
      </c>
      <c r="I1417" s="19"/>
    </row>
    <row r="1418" ht="15.75" customHeight="1">
      <c r="A1418" s="3"/>
      <c r="B1418" s="19"/>
      <c r="C1418" s="19"/>
      <c r="D1418" s="19"/>
      <c r="E1418" s="19"/>
      <c r="F1418" s="28"/>
      <c r="G1418" s="30"/>
      <c r="H1418" s="21" t="str">
        <f t="shared" si="1"/>
        <v/>
      </c>
      <c r="I1418" s="19"/>
    </row>
    <row r="1419" ht="15.75" customHeight="1">
      <c r="A1419" s="3"/>
      <c r="B1419" s="19"/>
      <c r="C1419" s="19"/>
      <c r="D1419" s="19"/>
      <c r="E1419" s="19"/>
      <c r="F1419" s="28"/>
      <c r="G1419" s="30"/>
      <c r="H1419" s="21" t="str">
        <f t="shared" si="1"/>
        <v/>
      </c>
      <c r="I1419" s="19"/>
    </row>
    <row r="1420" ht="15.75" customHeight="1">
      <c r="A1420" s="3"/>
      <c r="B1420" s="19"/>
      <c r="C1420" s="19"/>
      <c r="D1420" s="19"/>
      <c r="E1420" s="19"/>
      <c r="F1420" s="28"/>
      <c r="G1420" s="30"/>
      <c r="H1420" s="21" t="str">
        <f t="shared" si="1"/>
        <v/>
      </c>
      <c r="I1420" s="19"/>
    </row>
    <row r="1421" ht="15.75" customHeight="1">
      <c r="A1421" s="3"/>
      <c r="B1421" s="19"/>
      <c r="C1421" s="19"/>
      <c r="D1421" s="19"/>
      <c r="E1421" s="19"/>
      <c r="F1421" s="28"/>
      <c r="G1421" s="30"/>
      <c r="H1421" s="21" t="str">
        <f t="shared" si="1"/>
        <v/>
      </c>
      <c r="I1421" s="19"/>
    </row>
    <row r="1422" ht="15.75" customHeight="1">
      <c r="A1422" s="3"/>
      <c r="B1422" s="19"/>
      <c r="C1422" s="19"/>
      <c r="D1422" s="19"/>
      <c r="E1422" s="19"/>
      <c r="F1422" s="28"/>
      <c r="G1422" s="30"/>
      <c r="H1422" s="21" t="str">
        <f t="shared" si="1"/>
        <v/>
      </c>
      <c r="I1422" s="19"/>
    </row>
    <row r="1423" ht="15.75" customHeight="1">
      <c r="A1423" s="3"/>
      <c r="B1423" s="19"/>
      <c r="C1423" s="19"/>
      <c r="D1423" s="19"/>
      <c r="E1423" s="19"/>
      <c r="F1423" s="28"/>
      <c r="G1423" s="30"/>
      <c r="H1423" s="21" t="str">
        <f t="shared" si="1"/>
        <v/>
      </c>
      <c r="I1423" s="19"/>
    </row>
    <row r="1424" ht="15.75" customHeight="1">
      <c r="A1424" s="3"/>
      <c r="B1424" s="19"/>
      <c r="C1424" s="19"/>
      <c r="D1424" s="19"/>
      <c r="E1424" s="19"/>
      <c r="F1424" s="28"/>
      <c r="G1424" s="30"/>
      <c r="H1424" s="21" t="str">
        <f t="shared" si="1"/>
        <v/>
      </c>
      <c r="I1424" s="19"/>
    </row>
    <row r="1425" ht="15.75" customHeight="1">
      <c r="A1425" s="3"/>
      <c r="B1425" s="19"/>
      <c r="C1425" s="19"/>
      <c r="D1425" s="19"/>
      <c r="E1425" s="19"/>
      <c r="F1425" s="28"/>
      <c r="G1425" s="30"/>
      <c r="H1425" s="21" t="str">
        <f t="shared" si="1"/>
        <v/>
      </c>
      <c r="I1425" s="19"/>
    </row>
    <row r="1426" ht="15.75" customHeight="1">
      <c r="A1426" s="3"/>
      <c r="B1426" s="19"/>
      <c r="C1426" s="19"/>
      <c r="D1426" s="19"/>
      <c r="E1426" s="19"/>
      <c r="F1426" s="28"/>
      <c r="G1426" s="30"/>
      <c r="H1426" s="21" t="str">
        <f t="shared" si="1"/>
        <v/>
      </c>
      <c r="I1426" s="19"/>
    </row>
    <row r="1427" ht="15.75" customHeight="1">
      <c r="A1427" s="3"/>
      <c r="B1427" s="19"/>
      <c r="C1427" s="19"/>
      <c r="D1427" s="19"/>
      <c r="E1427" s="19"/>
      <c r="F1427" s="28"/>
      <c r="G1427" s="30"/>
      <c r="H1427" s="21" t="str">
        <f t="shared" si="1"/>
        <v/>
      </c>
      <c r="I1427" s="19"/>
    </row>
    <row r="1428" ht="15.75" customHeight="1">
      <c r="A1428" s="3"/>
      <c r="B1428" s="19"/>
      <c r="C1428" s="19"/>
      <c r="D1428" s="19"/>
      <c r="E1428" s="19"/>
      <c r="F1428" s="28"/>
      <c r="G1428" s="30"/>
      <c r="H1428" s="21" t="str">
        <f t="shared" si="1"/>
        <v/>
      </c>
      <c r="I1428" s="19"/>
    </row>
    <row r="1429" ht="15.75" customHeight="1">
      <c r="A1429" s="3"/>
      <c r="B1429" s="19"/>
      <c r="C1429" s="19"/>
      <c r="D1429" s="19"/>
      <c r="E1429" s="19"/>
      <c r="F1429" s="28"/>
      <c r="G1429" s="30"/>
      <c r="H1429" s="21" t="str">
        <f t="shared" si="1"/>
        <v/>
      </c>
      <c r="I1429" s="19"/>
    </row>
    <row r="1430" ht="15.75" customHeight="1">
      <c r="A1430" s="3"/>
      <c r="B1430" s="19"/>
      <c r="C1430" s="19"/>
      <c r="D1430" s="19"/>
      <c r="E1430" s="19"/>
      <c r="F1430" s="28"/>
      <c r="G1430" s="30"/>
      <c r="H1430" s="21" t="str">
        <f t="shared" si="1"/>
        <v/>
      </c>
      <c r="I1430" s="19"/>
    </row>
    <row r="1431" ht="15.75" customHeight="1">
      <c r="A1431" s="3"/>
      <c r="B1431" s="19"/>
      <c r="C1431" s="19"/>
      <c r="D1431" s="19"/>
      <c r="E1431" s="19"/>
      <c r="F1431" s="28"/>
      <c r="G1431" s="30"/>
      <c r="H1431" s="21" t="str">
        <f t="shared" si="1"/>
        <v/>
      </c>
      <c r="I1431" s="19"/>
    </row>
    <row r="1432" ht="15.75" customHeight="1">
      <c r="A1432" s="3"/>
      <c r="B1432" s="19"/>
      <c r="C1432" s="19"/>
      <c r="D1432" s="19"/>
      <c r="E1432" s="19"/>
      <c r="F1432" s="28"/>
      <c r="G1432" s="30"/>
      <c r="H1432" s="21" t="str">
        <f t="shared" si="1"/>
        <v/>
      </c>
      <c r="I1432" s="19"/>
    </row>
    <row r="1433" ht="15.75" customHeight="1">
      <c r="A1433" s="3"/>
      <c r="B1433" s="19"/>
      <c r="C1433" s="19"/>
      <c r="D1433" s="19"/>
      <c r="E1433" s="19"/>
      <c r="F1433" s="28"/>
      <c r="G1433" s="30"/>
      <c r="H1433" s="21" t="str">
        <f t="shared" si="1"/>
        <v/>
      </c>
      <c r="I1433" s="19"/>
    </row>
    <row r="1434" ht="15.75" customHeight="1">
      <c r="A1434" s="3"/>
      <c r="B1434" s="19"/>
      <c r="C1434" s="19"/>
      <c r="D1434" s="19"/>
      <c r="E1434" s="19"/>
      <c r="F1434" s="28"/>
      <c r="G1434" s="30"/>
      <c r="H1434" s="21" t="str">
        <f t="shared" si="1"/>
        <v/>
      </c>
      <c r="I1434" s="19"/>
    </row>
    <row r="1435" ht="15.75" customHeight="1">
      <c r="A1435" s="3"/>
      <c r="B1435" s="19"/>
      <c r="C1435" s="19"/>
      <c r="D1435" s="19"/>
      <c r="E1435" s="19"/>
      <c r="F1435" s="28"/>
      <c r="G1435" s="30"/>
      <c r="H1435" s="21" t="str">
        <f t="shared" si="1"/>
        <v/>
      </c>
      <c r="I1435" s="19"/>
    </row>
    <row r="1436" ht="15.75" customHeight="1">
      <c r="A1436" s="3"/>
      <c r="B1436" s="19"/>
      <c r="C1436" s="19"/>
      <c r="D1436" s="19"/>
      <c r="E1436" s="19"/>
      <c r="F1436" s="28"/>
      <c r="G1436" s="30"/>
      <c r="H1436" s="21" t="str">
        <f t="shared" si="1"/>
        <v/>
      </c>
      <c r="I1436" s="19"/>
    </row>
    <row r="1437" ht="15.75" customHeight="1">
      <c r="A1437" s="3"/>
      <c r="B1437" s="19"/>
      <c r="C1437" s="19"/>
      <c r="D1437" s="19"/>
      <c r="E1437" s="19"/>
      <c r="F1437" s="28"/>
      <c r="G1437" s="30"/>
      <c r="H1437" s="21" t="str">
        <f t="shared" si="1"/>
        <v/>
      </c>
      <c r="I1437" s="19"/>
    </row>
    <row r="1438" ht="15.75" customHeight="1">
      <c r="A1438" s="3"/>
      <c r="B1438" s="19"/>
      <c r="C1438" s="19"/>
      <c r="D1438" s="19"/>
      <c r="E1438" s="19"/>
      <c r="F1438" s="28"/>
      <c r="G1438" s="30"/>
      <c r="H1438" s="21" t="str">
        <f t="shared" si="1"/>
        <v/>
      </c>
      <c r="I1438" s="19"/>
    </row>
    <row r="1439" ht="15.75" customHeight="1">
      <c r="A1439" s="3"/>
      <c r="B1439" s="19"/>
      <c r="C1439" s="19"/>
      <c r="D1439" s="19"/>
      <c r="E1439" s="19"/>
      <c r="F1439" s="28"/>
      <c r="G1439" s="30"/>
      <c r="H1439" s="21" t="str">
        <f t="shared" si="1"/>
        <v/>
      </c>
      <c r="I1439" s="19"/>
    </row>
    <row r="1440" ht="15.75" customHeight="1">
      <c r="A1440" s="3"/>
      <c r="B1440" s="19"/>
      <c r="C1440" s="19"/>
      <c r="D1440" s="19"/>
      <c r="E1440" s="19"/>
      <c r="F1440" s="28"/>
      <c r="G1440" s="30"/>
      <c r="H1440" s="21" t="str">
        <f t="shared" si="1"/>
        <v/>
      </c>
      <c r="I1440" s="19"/>
    </row>
    <row r="1441" ht="15.75" customHeight="1">
      <c r="A1441" s="3"/>
      <c r="B1441" s="19"/>
      <c r="C1441" s="19"/>
      <c r="D1441" s="19"/>
      <c r="E1441" s="19"/>
      <c r="F1441" s="28"/>
      <c r="G1441" s="30"/>
      <c r="H1441" s="21" t="str">
        <f t="shared" si="1"/>
        <v/>
      </c>
      <c r="I1441" s="19"/>
    </row>
    <row r="1442" ht="15.75" customHeight="1">
      <c r="A1442" s="3"/>
      <c r="B1442" s="19"/>
      <c r="C1442" s="19"/>
      <c r="D1442" s="19"/>
      <c r="E1442" s="19"/>
      <c r="F1442" s="28"/>
      <c r="G1442" s="30"/>
      <c r="H1442" s="21" t="str">
        <f t="shared" si="1"/>
        <v/>
      </c>
      <c r="I1442" s="19"/>
    </row>
    <row r="1443" ht="15.75" customHeight="1">
      <c r="A1443" s="3"/>
      <c r="B1443" s="19"/>
      <c r="C1443" s="19"/>
      <c r="D1443" s="19"/>
      <c r="E1443" s="19"/>
      <c r="F1443" s="28"/>
      <c r="G1443" s="30"/>
      <c r="H1443" s="21" t="str">
        <f t="shared" si="1"/>
        <v/>
      </c>
      <c r="I1443" s="19"/>
    </row>
    <row r="1444" ht="15.75" customHeight="1">
      <c r="A1444" s="3"/>
      <c r="B1444" s="19"/>
      <c r="C1444" s="19"/>
      <c r="D1444" s="19"/>
      <c r="E1444" s="19"/>
      <c r="F1444" s="28"/>
      <c r="G1444" s="30"/>
      <c r="H1444" s="21" t="str">
        <f t="shared" si="1"/>
        <v/>
      </c>
      <c r="I1444" s="19"/>
    </row>
    <row r="1445" ht="15.75" customHeight="1">
      <c r="A1445" s="3"/>
      <c r="B1445" s="19"/>
      <c r="C1445" s="19"/>
      <c r="D1445" s="19"/>
      <c r="E1445" s="19"/>
      <c r="F1445" s="28"/>
      <c r="G1445" s="30"/>
      <c r="H1445" s="21" t="str">
        <f t="shared" si="1"/>
        <v/>
      </c>
      <c r="I1445" s="19"/>
    </row>
    <row r="1446" ht="15.75" customHeight="1">
      <c r="A1446" s="3"/>
      <c r="B1446" s="19"/>
      <c r="C1446" s="19"/>
      <c r="D1446" s="19"/>
      <c r="E1446" s="19"/>
      <c r="F1446" s="28"/>
      <c r="G1446" s="30"/>
      <c r="H1446" s="21" t="str">
        <f t="shared" si="1"/>
        <v/>
      </c>
      <c r="I1446" s="19"/>
    </row>
    <row r="1447" ht="15.75" customHeight="1">
      <c r="A1447" s="3"/>
      <c r="B1447" s="19"/>
      <c r="C1447" s="19"/>
      <c r="D1447" s="19"/>
      <c r="E1447" s="19"/>
      <c r="F1447" s="28"/>
      <c r="G1447" s="30"/>
      <c r="H1447" s="21" t="str">
        <f t="shared" si="1"/>
        <v/>
      </c>
      <c r="I1447" s="19"/>
    </row>
    <row r="1448" ht="15.75" customHeight="1">
      <c r="A1448" s="3"/>
      <c r="B1448" s="19"/>
      <c r="C1448" s="19"/>
      <c r="D1448" s="19"/>
      <c r="E1448" s="19"/>
      <c r="F1448" s="28"/>
      <c r="G1448" s="30"/>
      <c r="H1448" s="21" t="str">
        <f t="shared" si="1"/>
        <v/>
      </c>
      <c r="I1448" s="19"/>
    </row>
    <row r="1449" ht="15.75" customHeight="1">
      <c r="A1449" s="3"/>
      <c r="B1449" s="19"/>
      <c r="C1449" s="19"/>
      <c r="D1449" s="19"/>
      <c r="E1449" s="19"/>
      <c r="F1449" s="28"/>
      <c r="G1449" s="30"/>
      <c r="H1449" s="21" t="str">
        <f t="shared" si="1"/>
        <v/>
      </c>
      <c r="I1449" s="19"/>
    </row>
    <row r="1450" ht="15.75" customHeight="1">
      <c r="A1450" s="3"/>
      <c r="B1450" s="19"/>
      <c r="C1450" s="19"/>
      <c r="D1450" s="19"/>
      <c r="E1450" s="19"/>
      <c r="F1450" s="28"/>
      <c r="G1450" s="30"/>
      <c r="H1450" s="21" t="str">
        <f t="shared" si="1"/>
        <v/>
      </c>
      <c r="I1450" s="19"/>
    </row>
    <row r="1451" ht="15.75" customHeight="1">
      <c r="A1451" s="3"/>
      <c r="B1451" s="19"/>
      <c r="C1451" s="19"/>
      <c r="D1451" s="19"/>
      <c r="E1451" s="19"/>
      <c r="F1451" s="28"/>
      <c r="G1451" s="30"/>
      <c r="H1451" s="21" t="str">
        <f t="shared" si="1"/>
        <v/>
      </c>
      <c r="I1451" s="19"/>
    </row>
    <row r="1452" ht="15.75" customHeight="1">
      <c r="A1452" s="3"/>
      <c r="B1452" s="19"/>
      <c r="C1452" s="19"/>
      <c r="D1452" s="19"/>
      <c r="E1452" s="19"/>
      <c r="F1452" s="28"/>
      <c r="G1452" s="30"/>
      <c r="H1452" s="21" t="str">
        <f t="shared" si="1"/>
        <v/>
      </c>
      <c r="I1452" s="19"/>
    </row>
    <row r="1453" ht="15.75" customHeight="1">
      <c r="A1453" s="3"/>
      <c r="B1453" s="19"/>
      <c r="C1453" s="19"/>
      <c r="D1453" s="19"/>
      <c r="E1453" s="19"/>
      <c r="F1453" s="28"/>
      <c r="G1453" s="30"/>
      <c r="H1453" s="21" t="str">
        <f t="shared" si="1"/>
        <v/>
      </c>
      <c r="I1453" s="19"/>
    </row>
    <row r="1454" ht="15.75" customHeight="1">
      <c r="A1454" s="3"/>
      <c r="B1454" s="19"/>
      <c r="C1454" s="19"/>
      <c r="D1454" s="19"/>
      <c r="E1454" s="19"/>
      <c r="F1454" s="28"/>
      <c r="G1454" s="30"/>
      <c r="H1454" s="21" t="str">
        <f t="shared" si="1"/>
        <v/>
      </c>
      <c r="I1454" s="19"/>
    </row>
    <row r="1455" ht="15.75" customHeight="1">
      <c r="A1455" s="3"/>
      <c r="B1455" s="19"/>
      <c r="C1455" s="19"/>
      <c r="D1455" s="19"/>
      <c r="E1455" s="19"/>
      <c r="F1455" s="28"/>
      <c r="G1455" s="30"/>
      <c r="H1455" s="21" t="str">
        <f t="shared" si="1"/>
        <v/>
      </c>
      <c r="I1455" s="19"/>
    </row>
    <row r="1456" ht="15.75" customHeight="1">
      <c r="A1456" s="3"/>
      <c r="B1456" s="19"/>
      <c r="C1456" s="19"/>
      <c r="D1456" s="19"/>
      <c r="E1456" s="19"/>
      <c r="F1456" s="28"/>
      <c r="G1456" s="30"/>
      <c r="H1456" s="21" t="str">
        <f t="shared" si="1"/>
        <v/>
      </c>
      <c r="I1456" s="19"/>
    </row>
    <row r="1457" ht="15.75" customHeight="1">
      <c r="A1457" s="3"/>
      <c r="B1457" s="19"/>
      <c r="C1457" s="19"/>
      <c r="D1457" s="19"/>
      <c r="E1457" s="19"/>
      <c r="F1457" s="28"/>
      <c r="G1457" s="30"/>
      <c r="H1457" s="21" t="str">
        <f t="shared" si="1"/>
        <v/>
      </c>
      <c r="I1457" s="19"/>
    </row>
    <row r="1458" ht="15.75" customHeight="1">
      <c r="A1458" s="3"/>
      <c r="B1458" s="19"/>
      <c r="C1458" s="19"/>
      <c r="D1458" s="19"/>
      <c r="E1458" s="19"/>
      <c r="F1458" s="28"/>
      <c r="G1458" s="30"/>
      <c r="H1458" s="21" t="str">
        <f t="shared" si="1"/>
        <v/>
      </c>
      <c r="I1458" s="19"/>
    </row>
    <row r="1459" ht="15.75" customHeight="1">
      <c r="A1459" s="3"/>
      <c r="B1459" s="19"/>
      <c r="C1459" s="19"/>
      <c r="D1459" s="19"/>
      <c r="E1459" s="19"/>
      <c r="F1459" s="28"/>
      <c r="G1459" s="30"/>
      <c r="H1459" s="21" t="str">
        <f t="shared" si="1"/>
        <v/>
      </c>
      <c r="I1459" s="19"/>
    </row>
    <row r="1460" ht="15.75" customHeight="1">
      <c r="A1460" s="3"/>
      <c r="B1460" s="19"/>
      <c r="C1460" s="19"/>
      <c r="D1460" s="19"/>
      <c r="E1460" s="19"/>
      <c r="F1460" s="28"/>
      <c r="G1460" s="30"/>
      <c r="H1460" s="21" t="str">
        <f t="shared" si="1"/>
        <v/>
      </c>
      <c r="I1460" s="19"/>
    </row>
    <row r="1461" ht="15.75" customHeight="1">
      <c r="A1461" s="3"/>
      <c r="B1461" s="19"/>
      <c r="C1461" s="19"/>
      <c r="D1461" s="19"/>
      <c r="E1461" s="19"/>
      <c r="F1461" s="28"/>
      <c r="G1461" s="30"/>
      <c r="H1461" s="21" t="str">
        <f t="shared" si="1"/>
        <v/>
      </c>
      <c r="I1461" s="19"/>
    </row>
    <row r="1462" ht="15.75" customHeight="1">
      <c r="A1462" s="3"/>
      <c r="B1462" s="19"/>
      <c r="C1462" s="19"/>
      <c r="D1462" s="19"/>
      <c r="E1462" s="19"/>
      <c r="F1462" s="28"/>
      <c r="G1462" s="30"/>
      <c r="H1462" s="21" t="str">
        <f t="shared" si="1"/>
        <v/>
      </c>
      <c r="I1462" s="19"/>
    </row>
    <row r="1463" ht="15.75" customHeight="1">
      <c r="A1463" s="3"/>
      <c r="B1463" s="19"/>
      <c r="C1463" s="19"/>
      <c r="D1463" s="19"/>
      <c r="E1463" s="19"/>
      <c r="F1463" s="28"/>
      <c r="G1463" s="30"/>
      <c r="H1463" s="21" t="str">
        <f t="shared" si="1"/>
        <v/>
      </c>
      <c r="I1463" s="19"/>
    </row>
    <row r="1464" ht="15.75" customHeight="1">
      <c r="A1464" s="3"/>
      <c r="B1464" s="19"/>
      <c r="C1464" s="19"/>
      <c r="D1464" s="19"/>
      <c r="E1464" s="19"/>
      <c r="F1464" s="28"/>
      <c r="G1464" s="30"/>
      <c r="H1464" s="21" t="str">
        <f t="shared" si="1"/>
        <v/>
      </c>
      <c r="I1464" s="19"/>
    </row>
    <row r="1465" ht="15.75" customHeight="1">
      <c r="A1465" s="3"/>
      <c r="B1465" s="19"/>
      <c r="C1465" s="19"/>
      <c r="D1465" s="19"/>
      <c r="E1465" s="19"/>
      <c r="F1465" s="28"/>
      <c r="G1465" s="30"/>
      <c r="H1465" s="21" t="str">
        <f t="shared" si="1"/>
        <v/>
      </c>
      <c r="I1465" s="19"/>
    </row>
    <row r="1466" ht="15.75" customHeight="1">
      <c r="A1466" s="3"/>
      <c r="B1466" s="19"/>
      <c r="C1466" s="19"/>
      <c r="D1466" s="19"/>
      <c r="E1466" s="19"/>
      <c r="F1466" s="28"/>
      <c r="G1466" s="30"/>
      <c r="H1466" s="21" t="str">
        <f t="shared" si="1"/>
        <v/>
      </c>
      <c r="I1466" s="19"/>
    </row>
    <row r="1467" ht="15.75" customHeight="1">
      <c r="A1467" s="3"/>
      <c r="B1467" s="19"/>
      <c r="C1467" s="19"/>
      <c r="D1467" s="19"/>
      <c r="E1467" s="19"/>
      <c r="F1467" s="28"/>
      <c r="G1467" s="30"/>
      <c r="H1467" s="21" t="str">
        <f t="shared" si="1"/>
        <v/>
      </c>
      <c r="I1467" s="19"/>
    </row>
    <row r="1468" ht="15.75" customHeight="1">
      <c r="A1468" s="3"/>
      <c r="B1468" s="19"/>
      <c r="C1468" s="19"/>
      <c r="D1468" s="19"/>
      <c r="E1468" s="19"/>
      <c r="F1468" s="28"/>
      <c r="G1468" s="30"/>
      <c r="H1468" s="21" t="str">
        <f t="shared" si="1"/>
        <v/>
      </c>
      <c r="I1468" s="19"/>
    </row>
    <row r="1469" ht="15.75" customHeight="1">
      <c r="A1469" s="3"/>
      <c r="B1469" s="19"/>
      <c r="C1469" s="19"/>
      <c r="D1469" s="19"/>
      <c r="E1469" s="19"/>
      <c r="F1469" s="28"/>
      <c r="G1469" s="30"/>
      <c r="H1469" s="21" t="str">
        <f t="shared" si="1"/>
        <v/>
      </c>
      <c r="I1469" s="19"/>
    </row>
    <row r="1470" ht="15.75" customHeight="1">
      <c r="A1470" s="3"/>
      <c r="B1470" s="19"/>
      <c r="C1470" s="19"/>
      <c r="D1470" s="19"/>
      <c r="E1470" s="19"/>
      <c r="F1470" s="28"/>
      <c r="G1470" s="30"/>
      <c r="H1470" s="21" t="str">
        <f t="shared" si="1"/>
        <v/>
      </c>
      <c r="I1470" s="19"/>
    </row>
    <row r="1471" ht="15.75" customHeight="1">
      <c r="A1471" s="3"/>
      <c r="B1471" s="19"/>
      <c r="C1471" s="19"/>
      <c r="D1471" s="19"/>
      <c r="E1471" s="19"/>
      <c r="F1471" s="28"/>
      <c r="G1471" s="30"/>
      <c r="H1471" s="21" t="str">
        <f t="shared" si="1"/>
        <v/>
      </c>
      <c r="I1471" s="19"/>
    </row>
    <row r="1472" ht="15.75" customHeight="1">
      <c r="A1472" s="3"/>
      <c r="B1472" s="19"/>
      <c r="C1472" s="19"/>
      <c r="D1472" s="19"/>
      <c r="E1472" s="19"/>
      <c r="F1472" s="28"/>
      <c r="G1472" s="30"/>
      <c r="H1472" s="21" t="str">
        <f t="shared" si="1"/>
        <v/>
      </c>
      <c r="I1472" s="19"/>
    </row>
    <row r="1473" ht="15.75" customHeight="1">
      <c r="A1473" s="3"/>
      <c r="B1473" s="19"/>
      <c r="C1473" s="19"/>
      <c r="D1473" s="19"/>
      <c r="E1473" s="19"/>
      <c r="F1473" s="28"/>
      <c r="G1473" s="30"/>
      <c r="H1473" s="21" t="str">
        <f t="shared" si="1"/>
        <v/>
      </c>
      <c r="I1473" s="19"/>
    </row>
    <row r="1474" ht="15.75" customHeight="1">
      <c r="A1474" s="3"/>
      <c r="B1474" s="19"/>
      <c r="C1474" s="19"/>
      <c r="D1474" s="19"/>
      <c r="E1474" s="19"/>
      <c r="F1474" s="28"/>
      <c r="G1474" s="30"/>
      <c r="H1474" s="21" t="str">
        <f t="shared" si="1"/>
        <v/>
      </c>
      <c r="I1474" s="19"/>
    </row>
    <row r="1475" ht="15.75" customHeight="1">
      <c r="A1475" s="3"/>
      <c r="B1475" s="19"/>
      <c r="C1475" s="19"/>
      <c r="D1475" s="19"/>
      <c r="E1475" s="19"/>
      <c r="F1475" s="28"/>
      <c r="G1475" s="30"/>
      <c r="H1475" s="21" t="str">
        <f t="shared" si="1"/>
        <v/>
      </c>
      <c r="I1475" s="19"/>
    </row>
    <row r="1476" ht="15.75" customHeight="1">
      <c r="A1476" s="3"/>
      <c r="B1476" s="19"/>
      <c r="C1476" s="19"/>
      <c r="D1476" s="19"/>
      <c r="E1476" s="19"/>
      <c r="F1476" s="28"/>
      <c r="G1476" s="30"/>
      <c r="H1476" s="21" t="str">
        <f t="shared" si="1"/>
        <v/>
      </c>
      <c r="I1476" s="19"/>
    </row>
    <row r="1477" ht="15.75" customHeight="1">
      <c r="A1477" s="3"/>
      <c r="B1477" s="19"/>
      <c r="C1477" s="19"/>
      <c r="D1477" s="19"/>
      <c r="E1477" s="19"/>
      <c r="F1477" s="28"/>
      <c r="G1477" s="30"/>
      <c r="H1477" s="21" t="str">
        <f t="shared" si="1"/>
        <v/>
      </c>
      <c r="I1477" s="19"/>
    </row>
    <row r="1478" ht="15.75" customHeight="1">
      <c r="A1478" s="3"/>
      <c r="B1478" s="19"/>
      <c r="C1478" s="19"/>
      <c r="D1478" s="19"/>
      <c r="E1478" s="19"/>
      <c r="F1478" s="28"/>
      <c r="G1478" s="30"/>
      <c r="H1478" s="21" t="str">
        <f t="shared" si="1"/>
        <v/>
      </c>
      <c r="I1478" s="19"/>
    </row>
    <row r="1479" ht="15.75" customHeight="1">
      <c r="A1479" s="3"/>
      <c r="B1479" s="19"/>
      <c r="C1479" s="19"/>
      <c r="D1479" s="19"/>
      <c r="E1479" s="19"/>
      <c r="F1479" s="28"/>
      <c r="G1479" s="30"/>
      <c r="H1479" s="21" t="str">
        <f t="shared" si="1"/>
        <v/>
      </c>
      <c r="I1479" s="19"/>
    </row>
    <row r="1480" ht="15.75" customHeight="1">
      <c r="A1480" s="3"/>
      <c r="B1480" s="19"/>
      <c r="C1480" s="19"/>
      <c r="D1480" s="19"/>
      <c r="E1480" s="19"/>
      <c r="F1480" s="28"/>
      <c r="G1480" s="30"/>
      <c r="H1480" s="21" t="str">
        <f t="shared" si="1"/>
        <v/>
      </c>
      <c r="I1480" s="19"/>
    </row>
    <row r="1481" ht="15.75" customHeight="1">
      <c r="A1481" s="3"/>
      <c r="B1481" s="19"/>
      <c r="C1481" s="19"/>
      <c r="D1481" s="19"/>
      <c r="E1481" s="19"/>
      <c r="F1481" s="28"/>
      <c r="G1481" s="30"/>
      <c r="H1481" s="21" t="str">
        <f t="shared" si="1"/>
        <v/>
      </c>
      <c r="I1481" s="19"/>
    </row>
    <row r="1482" ht="15.75" customHeight="1">
      <c r="A1482" s="3"/>
      <c r="B1482" s="19"/>
      <c r="C1482" s="19"/>
      <c r="D1482" s="19"/>
      <c r="E1482" s="19"/>
      <c r="F1482" s="28"/>
      <c r="G1482" s="30"/>
      <c r="H1482" s="21" t="str">
        <f t="shared" si="1"/>
        <v/>
      </c>
      <c r="I1482" s="19"/>
    </row>
    <row r="1483" ht="15.75" customHeight="1">
      <c r="A1483" s="3"/>
      <c r="B1483" s="19"/>
      <c r="C1483" s="19"/>
      <c r="D1483" s="19"/>
      <c r="E1483" s="19"/>
      <c r="F1483" s="28"/>
      <c r="G1483" s="30"/>
      <c r="H1483" s="21" t="str">
        <f t="shared" si="1"/>
        <v/>
      </c>
      <c r="I1483" s="19"/>
    </row>
    <row r="1484" ht="15.75" customHeight="1">
      <c r="A1484" s="3"/>
      <c r="B1484" s="19"/>
      <c r="C1484" s="19"/>
      <c r="D1484" s="19"/>
      <c r="E1484" s="19"/>
      <c r="F1484" s="28"/>
      <c r="G1484" s="30"/>
      <c r="H1484" s="21" t="str">
        <f t="shared" si="1"/>
        <v/>
      </c>
      <c r="I1484" s="19"/>
    </row>
    <row r="1485" ht="15.75" customHeight="1">
      <c r="A1485" s="3"/>
      <c r="B1485" s="19"/>
      <c r="C1485" s="19"/>
      <c r="D1485" s="19"/>
      <c r="E1485" s="19"/>
      <c r="F1485" s="28"/>
      <c r="G1485" s="30"/>
      <c r="H1485" s="21" t="str">
        <f t="shared" si="1"/>
        <v/>
      </c>
      <c r="I1485" s="19"/>
    </row>
    <row r="1486" ht="15.75" customHeight="1">
      <c r="A1486" s="3"/>
      <c r="B1486" s="19"/>
      <c r="C1486" s="19"/>
      <c r="D1486" s="19"/>
      <c r="E1486" s="19"/>
      <c r="F1486" s="28"/>
      <c r="G1486" s="30"/>
      <c r="H1486" s="21" t="str">
        <f t="shared" si="1"/>
        <v/>
      </c>
      <c r="I1486" s="19"/>
    </row>
    <row r="1487" ht="15.75" customHeight="1">
      <c r="A1487" s="3"/>
      <c r="B1487" s="19"/>
      <c r="C1487" s="19"/>
      <c r="D1487" s="19"/>
      <c r="E1487" s="19"/>
      <c r="F1487" s="28"/>
      <c r="G1487" s="30"/>
      <c r="H1487" s="21" t="str">
        <f t="shared" si="1"/>
        <v/>
      </c>
      <c r="I1487" s="19"/>
    </row>
    <row r="1488" ht="15.75" customHeight="1">
      <c r="A1488" s="3"/>
      <c r="B1488" s="19"/>
      <c r="C1488" s="19"/>
      <c r="D1488" s="19"/>
      <c r="E1488" s="19"/>
      <c r="F1488" s="28"/>
      <c r="G1488" s="30"/>
      <c r="H1488" s="21" t="str">
        <f t="shared" si="1"/>
        <v/>
      </c>
      <c r="I1488" s="19"/>
    </row>
    <row r="1489" ht="15.75" customHeight="1">
      <c r="A1489" s="3"/>
      <c r="B1489" s="19"/>
      <c r="C1489" s="19"/>
      <c r="D1489" s="19"/>
      <c r="E1489" s="19"/>
      <c r="F1489" s="28"/>
      <c r="G1489" s="30"/>
      <c r="H1489" s="21" t="str">
        <f t="shared" si="1"/>
        <v/>
      </c>
      <c r="I1489" s="19"/>
    </row>
    <row r="1490" ht="15.75" customHeight="1">
      <c r="A1490" s="3"/>
      <c r="B1490" s="19"/>
      <c r="C1490" s="19"/>
      <c r="D1490" s="19"/>
      <c r="E1490" s="19"/>
      <c r="F1490" s="28"/>
      <c r="G1490" s="30"/>
      <c r="H1490" s="21" t="str">
        <f t="shared" si="1"/>
        <v/>
      </c>
      <c r="I1490" s="19"/>
    </row>
    <row r="1491" ht="15.75" customHeight="1">
      <c r="A1491" s="3"/>
      <c r="B1491" s="19"/>
      <c r="C1491" s="19"/>
      <c r="D1491" s="19"/>
      <c r="E1491" s="19"/>
      <c r="F1491" s="28"/>
      <c r="G1491" s="30"/>
      <c r="H1491" s="21" t="str">
        <f t="shared" si="1"/>
        <v/>
      </c>
      <c r="I1491" s="19"/>
    </row>
    <row r="1492" ht="15.75" customHeight="1">
      <c r="A1492" s="3"/>
      <c r="B1492" s="19"/>
      <c r="C1492" s="19"/>
      <c r="D1492" s="19"/>
      <c r="E1492" s="19"/>
      <c r="F1492" s="28"/>
      <c r="G1492" s="30"/>
      <c r="H1492" s="21" t="str">
        <f t="shared" si="1"/>
        <v/>
      </c>
      <c r="I1492" s="19"/>
    </row>
    <row r="1493" ht="15.75" customHeight="1">
      <c r="A1493" s="3"/>
      <c r="B1493" s="19"/>
      <c r="C1493" s="19"/>
      <c r="D1493" s="19"/>
      <c r="E1493" s="19"/>
      <c r="F1493" s="28"/>
      <c r="G1493" s="30"/>
      <c r="H1493" s="21" t="str">
        <f t="shared" si="1"/>
        <v/>
      </c>
      <c r="I1493" s="19"/>
    </row>
    <row r="1494" ht="15.75" customHeight="1">
      <c r="A1494" s="3"/>
      <c r="B1494" s="19"/>
      <c r="C1494" s="19"/>
      <c r="D1494" s="19"/>
      <c r="E1494" s="19"/>
      <c r="F1494" s="28"/>
      <c r="G1494" s="30"/>
      <c r="H1494" s="21" t="str">
        <f t="shared" si="1"/>
        <v/>
      </c>
      <c r="I1494" s="19"/>
    </row>
    <row r="1495" ht="15.75" customHeight="1">
      <c r="A1495" s="3"/>
      <c r="B1495" s="19"/>
      <c r="C1495" s="19"/>
      <c r="D1495" s="19"/>
      <c r="E1495" s="19"/>
      <c r="F1495" s="28"/>
      <c r="G1495" s="30"/>
      <c r="H1495" s="21" t="str">
        <f t="shared" si="1"/>
        <v/>
      </c>
      <c r="I1495" s="19"/>
    </row>
    <row r="1496" ht="15.75" customHeight="1">
      <c r="A1496" s="3"/>
      <c r="B1496" s="19"/>
      <c r="C1496" s="19"/>
      <c r="D1496" s="19"/>
      <c r="E1496" s="19"/>
      <c r="F1496" s="28"/>
      <c r="G1496" s="30"/>
      <c r="H1496" s="21" t="str">
        <f t="shared" si="1"/>
        <v/>
      </c>
      <c r="I1496" s="19"/>
    </row>
    <row r="1497" ht="15.75" customHeight="1">
      <c r="A1497" s="3"/>
      <c r="B1497" s="19"/>
      <c r="C1497" s="19"/>
      <c r="D1497" s="19"/>
      <c r="E1497" s="19"/>
      <c r="F1497" s="28"/>
      <c r="G1497" s="30"/>
      <c r="H1497" s="21" t="str">
        <f t="shared" si="1"/>
        <v/>
      </c>
      <c r="I1497" s="19"/>
    </row>
    <row r="1498" ht="15.75" customHeight="1">
      <c r="A1498" s="3"/>
      <c r="B1498" s="19"/>
      <c r="C1498" s="19"/>
      <c r="D1498" s="19"/>
      <c r="E1498" s="19"/>
      <c r="F1498" s="28"/>
      <c r="G1498" s="30"/>
      <c r="H1498" s="21" t="str">
        <f t="shared" si="1"/>
        <v/>
      </c>
      <c r="I1498" s="19"/>
    </row>
    <row r="1499" ht="15.75" customHeight="1">
      <c r="A1499" s="3"/>
      <c r="B1499" s="19"/>
      <c r="C1499" s="19"/>
      <c r="D1499" s="19"/>
      <c r="E1499" s="19"/>
      <c r="F1499" s="28"/>
      <c r="G1499" s="30"/>
      <c r="H1499" s="21" t="str">
        <f t="shared" si="1"/>
        <v/>
      </c>
      <c r="I1499" s="19"/>
    </row>
    <row r="1500" ht="15.75" customHeight="1">
      <c r="A1500" s="3"/>
      <c r="B1500" s="19"/>
      <c r="C1500" s="19"/>
      <c r="D1500" s="19"/>
      <c r="E1500" s="19"/>
      <c r="F1500" s="28"/>
      <c r="G1500" s="30"/>
      <c r="H1500" s="21" t="str">
        <f t="shared" si="1"/>
        <v/>
      </c>
      <c r="I1500" s="19"/>
    </row>
    <row r="1501" ht="15.75" customHeight="1">
      <c r="A1501" s="3"/>
      <c r="B1501" s="19"/>
      <c r="C1501" s="19"/>
      <c r="D1501" s="19"/>
      <c r="E1501" s="19"/>
      <c r="F1501" s="28"/>
      <c r="G1501" s="30"/>
      <c r="H1501" s="21" t="str">
        <f t="shared" si="1"/>
        <v/>
      </c>
      <c r="I1501" s="19"/>
    </row>
    <row r="1502" ht="15.75" customHeight="1">
      <c r="A1502" s="3"/>
      <c r="B1502" s="19"/>
      <c r="C1502" s="19"/>
      <c r="D1502" s="19"/>
      <c r="E1502" s="19"/>
      <c r="F1502" s="28"/>
      <c r="G1502" s="30"/>
      <c r="H1502" s="21" t="str">
        <f t="shared" si="1"/>
        <v/>
      </c>
      <c r="I1502" s="19"/>
    </row>
    <row r="1503" ht="15.75" customHeight="1">
      <c r="A1503" s="3"/>
      <c r="B1503" s="19"/>
      <c r="C1503" s="19"/>
      <c r="D1503" s="19"/>
      <c r="E1503" s="19"/>
      <c r="F1503" s="28"/>
      <c r="G1503" s="30"/>
      <c r="H1503" s="21" t="str">
        <f t="shared" si="1"/>
        <v/>
      </c>
      <c r="I1503" s="19"/>
    </row>
    <row r="1504" ht="15.75" customHeight="1">
      <c r="A1504" s="3"/>
      <c r="B1504" s="19"/>
      <c r="C1504" s="19"/>
      <c r="D1504" s="19"/>
      <c r="E1504" s="19"/>
      <c r="F1504" s="28"/>
      <c r="G1504" s="30"/>
      <c r="H1504" s="21" t="str">
        <f t="shared" si="1"/>
        <v/>
      </c>
      <c r="I1504" s="19"/>
    </row>
    <row r="1505" ht="15.75" customHeight="1">
      <c r="A1505" s="3"/>
      <c r="B1505" s="19"/>
      <c r="C1505" s="19"/>
      <c r="D1505" s="19"/>
      <c r="E1505" s="19"/>
      <c r="F1505" s="28"/>
      <c r="G1505" s="30"/>
      <c r="H1505" s="21" t="str">
        <f t="shared" si="1"/>
        <v/>
      </c>
      <c r="I1505" s="19"/>
    </row>
    <row r="1506" ht="15.75" customHeight="1">
      <c r="A1506" s="3"/>
      <c r="B1506" s="19"/>
      <c r="C1506" s="19"/>
      <c r="D1506" s="19"/>
      <c r="E1506" s="19"/>
      <c r="F1506" s="28"/>
      <c r="G1506" s="30"/>
      <c r="H1506" s="21" t="str">
        <f t="shared" si="1"/>
        <v/>
      </c>
      <c r="I1506" s="19"/>
    </row>
    <row r="1507" ht="15.75" customHeight="1">
      <c r="A1507" s="3"/>
      <c r="B1507" s="19"/>
      <c r="C1507" s="19"/>
      <c r="D1507" s="19"/>
      <c r="E1507" s="19"/>
      <c r="F1507" s="28"/>
      <c r="G1507" s="30"/>
      <c r="H1507" s="21" t="str">
        <f t="shared" si="1"/>
        <v/>
      </c>
      <c r="I1507" s="19"/>
    </row>
    <row r="1508" ht="15.75" customHeight="1">
      <c r="A1508" s="3"/>
      <c r="B1508" s="19"/>
      <c r="C1508" s="19"/>
      <c r="D1508" s="19"/>
      <c r="E1508" s="19"/>
      <c r="F1508" s="28"/>
      <c r="G1508" s="30"/>
      <c r="H1508" s="21" t="str">
        <f t="shared" si="1"/>
        <v/>
      </c>
      <c r="I1508" s="19"/>
    </row>
    <row r="1509" ht="15.75" customHeight="1">
      <c r="A1509" s="3"/>
      <c r="B1509" s="19"/>
      <c r="C1509" s="19"/>
      <c r="D1509" s="19"/>
      <c r="E1509" s="19"/>
      <c r="F1509" s="28"/>
      <c r="G1509" s="30"/>
      <c r="H1509" s="21" t="str">
        <f t="shared" si="1"/>
        <v/>
      </c>
      <c r="I1509" s="19"/>
    </row>
    <row r="1510" ht="15.75" customHeight="1">
      <c r="A1510" s="3"/>
      <c r="B1510" s="19"/>
      <c r="C1510" s="19"/>
      <c r="D1510" s="19"/>
      <c r="E1510" s="19"/>
      <c r="F1510" s="28"/>
      <c r="G1510" s="30"/>
      <c r="H1510" s="21" t="str">
        <f t="shared" si="1"/>
        <v/>
      </c>
      <c r="I1510" s="19"/>
    </row>
    <row r="1511" ht="15.75" customHeight="1">
      <c r="A1511" s="3"/>
      <c r="B1511" s="19"/>
      <c r="C1511" s="19"/>
      <c r="D1511" s="19"/>
      <c r="E1511" s="19"/>
      <c r="F1511" s="28"/>
      <c r="G1511" s="30"/>
      <c r="H1511" s="21" t="str">
        <f t="shared" si="1"/>
        <v/>
      </c>
      <c r="I1511" s="19"/>
    </row>
    <row r="1512" ht="15.75" customHeight="1">
      <c r="A1512" s="3"/>
      <c r="B1512" s="19"/>
      <c r="C1512" s="19"/>
      <c r="D1512" s="19"/>
      <c r="E1512" s="19"/>
      <c r="F1512" s="28"/>
      <c r="G1512" s="30"/>
      <c r="H1512" s="21" t="str">
        <f t="shared" si="1"/>
        <v/>
      </c>
      <c r="I1512" s="19"/>
    </row>
    <row r="1513" ht="15.75" customHeight="1">
      <c r="A1513" s="3"/>
      <c r="B1513" s="19"/>
      <c r="C1513" s="19"/>
      <c r="D1513" s="19"/>
      <c r="E1513" s="19"/>
      <c r="F1513" s="28"/>
      <c r="G1513" s="30"/>
      <c r="H1513" s="21" t="str">
        <f t="shared" si="1"/>
        <v/>
      </c>
      <c r="I1513" s="19"/>
    </row>
    <row r="1514" ht="15.75" customHeight="1">
      <c r="A1514" s="3"/>
      <c r="B1514" s="19"/>
      <c r="C1514" s="19"/>
      <c r="D1514" s="19"/>
      <c r="E1514" s="19"/>
      <c r="F1514" s="28"/>
      <c r="G1514" s="30"/>
      <c r="H1514" s="21" t="str">
        <f t="shared" si="1"/>
        <v/>
      </c>
      <c r="I1514" s="19"/>
    </row>
    <row r="1515" ht="15.75" customHeight="1">
      <c r="A1515" s="3"/>
      <c r="B1515" s="19"/>
      <c r="C1515" s="19"/>
      <c r="D1515" s="19"/>
      <c r="E1515" s="19"/>
      <c r="F1515" s="28"/>
      <c r="G1515" s="30"/>
      <c r="H1515" s="21" t="str">
        <f t="shared" si="1"/>
        <v/>
      </c>
      <c r="I1515" s="19"/>
    </row>
    <row r="1516" ht="15.75" customHeight="1">
      <c r="A1516" s="3"/>
      <c r="B1516" s="19"/>
      <c r="C1516" s="19"/>
      <c r="D1516" s="19"/>
      <c r="E1516" s="19"/>
      <c r="F1516" s="28"/>
      <c r="G1516" s="30"/>
      <c r="H1516" s="21" t="str">
        <f t="shared" si="1"/>
        <v/>
      </c>
      <c r="I1516" s="19"/>
    </row>
    <row r="1517" ht="15.75" customHeight="1">
      <c r="A1517" s="3"/>
      <c r="B1517" s="19"/>
      <c r="C1517" s="19"/>
      <c r="D1517" s="19"/>
      <c r="E1517" s="19"/>
      <c r="F1517" s="28"/>
      <c r="G1517" s="30"/>
      <c r="H1517" s="21" t="str">
        <f t="shared" si="1"/>
        <v/>
      </c>
      <c r="I1517" s="19"/>
    </row>
    <row r="1518" ht="15.75" customHeight="1">
      <c r="A1518" s="3"/>
      <c r="B1518" s="19"/>
      <c r="C1518" s="19"/>
      <c r="D1518" s="19"/>
      <c r="E1518" s="19"/>
      <c r="F1518" s="28"/>
      <c r="G1518" s="30"/>
      <c r="H1518" s="21" t="str">
        <f t="shared" si="1"/>
        <v/>
      </c>
      <c r="I1518" s="19"/>
    </row>
    <row r="1519" ht="15.75" customHeight="1">
      <c r="A1519" s="3"/>
      <c r="B1519" s="19"/>
      <c r="C1519" s="19"/>
      <c r="D1519" s="19"/>
      <c r="E1519" s="19"/>
      <c r="F1519" s="28"/>
      <c r="G1519" s="30"/>
      <c r="H1519" s="21" t="str">
        <f t="shared" si="1"/>
        <v/>
      </c>
      <c r="I1519" s="19"/>
    </row>
    <row r="1520" ht="15.75" customHeight="1">
      <c r="A1520" s="3"/>
      <c r="B1520" s="19"/>
      <c r="C1520" s="19"/>
      <c r="D1520" s="19"/>
      <c r="E1520" s="19"/>
      <c r="F1520" s="28"/>
      <c r="G1520" s="30"/>
      <c r="H1520" s="21" t="str">
        <f t="shared" si="1"/>
        <v/>
      </c>
      <c r="I1520" s="19"/>
    </row>
    <row r="1521" ht="15.75" customHeight="1">
      <c r="A1521" s="3"/>
      <c r="B1521" s="19"/>
      <c r="C1521" s="19"/>
      <c r="D1521" s="19"/>
      <c r="E1521" s="19"/>
      <c r="F1521" s="28"/>
      <c r="G1521" s="30"/>
      <c r="H1521" s="21" t="str">
        <f t="shared" si="1"/>
        <v/>
      </c>
      <c r="I1521" s="19"/>
    </row>
    <row r="1522" ht="15.75" customHeight="1">
      <c r="A1522" s="3"/>
      <c r="B1522" s="19"/>
      <c r="C1522" s="19"/>
      <c r="D1522" s="19"/>
      <c r="E1522" s="19"/>
      <c r="F1522" s="28"/>
      <c r="G1522" s="30"/>
      <c r="H1522" s="21" t="str">
        <f t="shared" si="1"/>
        <v/>
      </c>
      <c r="I1522" s="19"/>
    </row>
    <row r="1523" ht="15.75" customHeight="1">
      <c r="A1523" s="3"/>
      <c r="B1523" s="19"/>
      <c r="C1523" s="19"/>
      <c r="D1523" s="19"/>
      <c r="E1523" s="19"/>
      <c r="F1523" s="28"/>
      <c r="G1523" s="30"/>
      <c r="H1523" s="21" t="str">
        <f t="shared" si="1"/>
        <v/>
      </c>
      <c r="I1523" s="19"/>
    </row>
    <row r="1524" ht="15.75" customHeight="1">
      <c r="A1524" s="3"/>
      <c r="B1524" s="19"/>
      <c r="C1524" s="19"/>
      <c r="D1524" s="19"/>
      <c r="E1524" s="19"/>
      <c r="F1524" s="28"/>
      <c r="G1524" s="30"/>
      <c r="H1524" s="21" t="str">
        <f t="shared" si="1"/>
        <v/>
      </c>
      <c r="I1524" s="19"/>
    </row>
    <row r="1525" ht="15.75" customHeight="1">
      <c r="A1525" s="3"/>
      <c r="B1525" s="19"/>
      <c r="C1525" s="19"/>
      <c r="D1525" s="19"/>
      <c r="E1525" s="19"/>
      <c r="F1525" s="28"/>
      <c r="G1525" s="30"/>
      <c r="H1525" s="21" t="str">
        <f t="shared" si="1"/>
        <v/>
      </c>
      <c r="I1525" s="19"/>
    </row>
    <row r="1526" ht="15.75" customHeight="1">
      <c r="A1526" s="3"/>
      <c r="B1526" s="19"/>
      <c r="C1526" s="19"/>
      <c r="D1526" s="19"/>
      <c r="E1526" s="19"/>
      <c r="F1526" s="28"/>
      <c r="G1526" s="30"/>
      <c r="H1526" s="21" t="str">
        <f t="shared" si="1"/>
        <v/>
      </c>
      <c r="I1526" s="19"/>
    </row>
    <row r="1527" ht="15.75" customHeight="1">
      <c r="A1527" s="3"/>
      <c r="B1527" s="19"/>
      <c r="C1527" s="19"/>
      <c r="D1527" s="19"/>
      <c r="E1527" s="19"/>
      <c r="F1527" s="28"/>
      <c r="G1527" s="30"/>
      <c r="H1527" s="21" t="str">
        <f t="shared" si="1"/>
        <v/>
      </c>
      <c r="I1527" s="19"/>
    </row>
    <row r="1528" ht="15.75" customHeight="1">
      <c r="A1528" s="3"/>
      <c r="B1528" s="19"/>
      <c r="C1528" s="19"/>
      <c r="D1528" s="19"/>
      <c r="E1528" s="19"/>
      <c r="F1528" s="28"/>
      <c r="G1528" s="30"/>
      <c r="H1528" s="21" t="str">
        <f t="shared" si="1"/>
        <v/>
      </c>
      <c r="I1528" s="19"/>
    </row>
    <row r="1529" ht="15.75" customHeight="1">
      <c r="A1529" s="3"/>
      <c r="B1529" s="19"/>
      <c r="C1529" s="19"/>
      <c r="D1529" s="19"/>
      <c r="E1529" s="19"/>
      <c r="F1529" s="28"/>
      <c r="G1529" s="30"/>
      <c r="H1529" s="21" t="str">
        <f t="shared" si="1"/>
        <v/>
      </c>
      <c r="I1529" s="19"/>
    </row>
    <row r="1530" ht="15.75" customHeight="1">
      <c r="A1530" s="3"/>
      <c r="B1530" s="19"/>
      <c r="C1530" s="19"/>
      <c r="D1530" s="19"/>
      <c r="E1530" s="19"/>
      <c r="F1530" s="28"/>
      <c r="G1530" s="30"/>
      <c r="H1530" s="21" t="str">
        <f t="shared" si="1"/>
        <v/>
      </c>
      <c r="I1530" s="19"/>
    </row>
    <row r="1531" ht="15.75" customHeight="1">
      <c r="A1531" s="3"/>
      <c r="B1531" s="19"/>
      <c r="C1531" s="19"/>
      <c r="D1531" s="19"/>
      <c r="E1531" s="19"/>
      <c r="F1531" s="28"/>
      <c r="G1531" s="30"/>
      <c r="H1531" s="21" t="str">
        <f t="shared" si="1"/>
        <v/>
      </c>
      <c r="I1531" s="19"/>
    </row>
    <row r="1532" ht="15.75" customHeight="1">
      <c r="A1532" s="3"/>
      <c r="B1532" s="19"/>
      <c r="C1532" s="19"/>
      <c r="D1532" s="19"/>
      <c r="E1532" s="19"/>
      <c r="F1532" s="28"/>
      <c r="G1532" s="30"/>
      <c r="H1532" s="21" t="str">
        <f t="shared" si="1"/>
        <v/>
      </c>
      <c r="I1532" s="19"/>
    </row>
    <row r="1533" ht="15.75" customHeight="1">
      <c r="A1533" s="3"/>
      <c r="B1533" s="19"/>
      <c r="C1533" s="19"/>
      <c r="D1533" s="19"/>
      <c r="E1533" s="19"/>
      <c r="F1533" s="28"/>
      <c r="G1533" s="30"/>
      <c r="H1533" s="21" t="str">
        <f t="shared" si="1"/>
        <v/>
      </c>
      <c r="I1533" s="19"/>
    </row>
    <row r="1534" ht="15.75" customHeight="1">
      <c r="A1534" s="3"/>
      <c r="B1534" s="19"/>
      <c r="C1534" s="19"/>
      <c r="D1534" s="19"/>
      <c r="E1534" s="19"/>
      <c r="F1534" s="28"/>
      <c r="G1534" s="30"/>
      <c r="H1534" s="21" t="str">
        <f t="shared" si="1"/>
        <v/>
      </c>
      <c r="I1534" s="19"/>
    </row>
    <row r="1535" ht="15.75" customHeight="1">
      <c r="A1535" s="3"/>
      <c r="B1535" s="19"/>
      <c r="C1535" s="19"/>
      <c r="D1535" s="19"/>
      <c r="E1535" s="19"/>
      <c r="F1535" s="28"/>
      <c r="G1535" s="30"/>
      <c r="H1535" s="21" t="str">
        <f t="shared" si="1"/>
        <v/>
      </c>
      <c r="I1535" s="19"/>
    </row>
    <row r="1536" ht="15.75" customHeight="1">
      <c r="A1536" s="3"/>
      <c r="B1536" s="19"/>
      <c r="C1536" s="19"/>
      <c r="D1536" s="19"/>
      <c r="E1536" s="19"/>
      <c r="F1536" s="28"/>
      <c r="G1536" s="30"/>
      <c r="H1536" s="21" t="str">
        <f t="shared" si="1"/>
        <v/>
      </c>
      <c r="I1536" s="19"/>
    </row>
    <row r="1537" ht="15.75" customHeight="1">
      <c r="A1537" s="3"/>
      <c r="B1537" s="19"/>
      <c r="C1537" s="19"/>
      <c r="D1537" s="19"/>
      <c r="E1537" s="19"/>
      <c r="F1537" s="28"/>
      <c r="G1537" s="30"/>
      <c r="H1537" s="21" t="str">
        <f t="shared" si="1"/>
        <v/>
      </c>
      <c r="I1537" s="19"/>
    </row>
    <row r="1538" ht="15.75" customHeight="1">
      <c r="A1538" s="3"/>
      <c r="B1538" s="19"/>
      <c r="C1538" s="19"/>
      <c r="D1538" s="19"/>
      <c r="E1538" s="19"/>
      <c r="F1538" s="28"/>
      <c r="G1538" s="30"/>
      <c r="H1538" s="21" t="str">
        <f t="shared" si="1"/>
        <v/>
      </c>
      <c r="I1538" s="19"/>
    </row>
    <row r="1539" ht="15.75" customHeight="1">
      <c r="A1539" s="3"/>
      <c r="B1539" s="19"/>
      <c r="C1539" s="19"/>
      <c r="D1539" s="19"/>
      <c r="E1539" s="19"/>
      <c r="F1539" s="28"/>
      <c r="G1539" s="30"/>
      <c r="H1539" s="21" t="str">
        <f t="shared" si="1"/>
        <v/>
      </c>
      <c r="I1539" s="19"/>
    </row>
    <row r="1540" ht="15.75" customHeight="1">
      <c r="A1540" s="3"/>
      <c r="B1540" s="19"/>
      <c r="C1540" s="19"/>
      <c r="D1540" s="19"/>
      <c r="E1540" s="19"/>
      <c r="F1540" s="28"/>
      <c r="G1540" s="30"/>
      <c r="H1540" s="21" t="str">
        <f t="shared" si="1"/>
        <v/>
      </c>
      <c r="I1540" s="19"/>
    </row>
    <row r="1541" ht="15.75" customHeight="1">
      <c r="A1541" s="3"/>
      <c r="B1541" s="19"/>
      <c r="C1541" s="19"/>
      <c r="D1541" s="19"/>
      <c r="E1541" s="19"/>
      <c r="F1541" s="28"/>
      <c r="G1541" s="30"/>
      <c r="H1541" s="21" t="str">
        <f t="shared" si="1"/>
        <v/>
      </c>
      <c r="I1541" s="19"/>
    </row>
    <row r="1542" ht="15.75" customHeight="1">
      <c r="A1542" s="3"/>
      <c r="B1542" s="19"/>
      <c r="C1542" s="19"/>
      <c r="D1542" s="19"/>
      <c r="E1542" s="19"/>
      <c r="F1542" s="28"/>
      <c r="G1542" s="30"/>
      <c r="H1542" s="21" t="str">
        <f t="shared" si="1"/>
        <v/>
      </c>
      <c r="I1542" s="19"/>
    </row>
    <row r="1543" ht="15.75" customHeight="1">
      <c r="A1543" s="3"/>
      <c r="B1543" s="19"/>
      <c r="C1543" s="19"/>
      <c r="D1543" s="19"/>
      <c r="E1543" s="19"/>
      <c r="F1543" s="28"/>
      <c r="G1543" s="30"/>
      <c r="H1543" s="21" t="str">
        <f t="shared" si="1"/>
        <v/>
      </c>
      <c r="I1543" s="19"/>
    </row>
    <row r="1544" ht="15.75" customHeight="1">
      <c r="A1544" s="3"/>
      <c r="B1544" s="19"/>
      <c r="C1544" s="19"/>
      <c r="D1544" s="19"/>
      <c r="E1544" s="19"/>
      <c r="F1544" s="28"/>
      <c r="G1544" s="30"/>
      <c r="H1544" s="21" t="str">
        <f t="shared" si="1"/>
        <v/>
      </c>
      <c r="I1544" s="19"/>
    </row>
    <row r="1545" ht="15.75" customHeight="1">
      <c r="A1545" s="3"/>
      <c r="B1545" s="19"/>
      <c r="C1545" s="19"/>
      <c r="D1545" s="19"/>
      <c r="E1545" s="19"/>
      <c r="F1545" s="28"/>
      <c r="G1545" s="30"/>
      <c r="H1545" s="21" t="str">
        <f t="shared" si="1"/>
        <v/>
      </c>
      <c r="I1545" s="19"/>
    </row>
    <row r="1546" ht="15.75" customHeight="1">
      <c r="A1546" s="3"/>
      <c r="B1546" s="19"/>
      <c r="C1546" s="19"/>
      <c r="D1546" s="19"/>
      <c r="E1546" s="19"/>
      <c r="F1546" s="28"/>
      <c r="G1546" s="30"/>
      <c r="H1546" s="21" t="str">
        <f t="shared" si="1"/>
        <v/>
      </c>
      <c r="I1546" s="19"/>
    </row>
    <row r="1547" ht="15.75" customHeight="1">
      <c r="A1547" s="3"/>
      <c r="B1547" s="19"/>
      <c r="C1547" s="19"/>
      <c r="D1547" s="19"/>
      <c r="E1547" s="19"/>
      <c r="F1547" s="28"/>
      <c r="G1547" s="30"/>
      <c r="H1547" s="21" t="str">
        <f t="shared" si="1"/>
        <v/>
      </c>
      <c r="I1547" s="19"/>
    </row>
    <row r="1548" ht="15.75" customHeight="1">
      <c r="A1548" s="3"/>
      <c r="B1548" s="19"/>
      <c r="C1548" s="19"/>
      <c r="D1548" s="19"/>
      <c r="E1548" s="19"/>
      <c r="F1548" s="28"/>
      <c r="G1548" s="30"/>
      <c r="H1548" s="21" t="str">
        <f t="shared" si="1"/>
        <v/>
      </c>
      <c r="I1548" s="19"/>
    </row>
    <row r="1549" ht="15.75" customHeight="1">
      <c r="A1549" s="3"/>
      <c r="B1549" s="19"/>
      <c r="C1549" s="19"/>
      <c r="D1549" s="19"/>
      <c r="E1549" s="19"/>
      <c r="F1549" s="28"/>
      <c r="G1549" s="30"/>
      <c r="H1549" s="21" t="str">
        <f t="shared" si="1"/>
        <v/>
      </c>
      <c r="I1549" s="19"/>
    </row>
    <row r="1550" ht="15.75" customHeight="1">
      <c r="A1550" s="3"/>
      <c r="B1550" s="19"/>
      <c r="C1550" s="19"/>
      <c r="D1550" s="19"/>
      <c r="E1550" s="19"/>
      <c r="F1550" s="28"/>
      <c r="G1550" s="30"/>
      <c r="H1550" s="21" t="str">
        <f t="shared" si="1"/>
        <v/>
      </c>
      <c r="I1550" s="19"/>
    </row>
    <row r="1551" ht="15.75" customHeight="1">
      <c r="A1551" s="3"/>
      <c r="B1551" s="19"/>
      <c r="C1551" s="19"/>
      <c r="D1551" s="19"/>
      <c r="E1551" s="19"/>
      <c r="F1551" s="28"/>
      <c r="G1551" s="30"/>
      <c r="H1551" s="21" t="str">
        <f t="shared" si="1"/>
        <v/>
      </c>
      <c r="I1551" s="19"/>
    </row>
    <row r="1552" ht="15.75" customHeight="1">
      <c r="A1552" s="3"/>
      <c r="B1552" s="19"/>
      <c r="C1552" s="19"/>
      <c r="D1552" s="19"/>
      <c r="E1552" s="19"/>
      <c r="F1552" s="28"/>
      <c r="G1552" s="30"/>
      <c r="H1552" s="21" t="str">
        <f t="shared" si="1"/>
        <v/>
      </c>
      <c r="I1552" s="19"/>
    </row>
    <row r="1553" ht="15.75" customHeight="1">
      <c r="A1553" s="3"/>
      <c r="B1553" s="19"/>
      <c r="C1553" s="19"/>
      <c r="D1553" s="19"/>
      <c r="E1553" s="19"/>
      <c r="F1553" s="28"/>
      <c r="G1553" s="30"/>
      <c r="H1553" s="21" t="str">
        <f t="shared" si="1"/>
        <v/>
      </c>
      <c r="I1553" s="19"/>
    </row>
    <row r="1554" ht="15.75" customHeight="1">
      <c r="A1554" s="3"/>
      <c r="B1554" s="19"/>
      <c r="C1554" s="19"/>
      <c r="D1554" s="19"/>
      <c r="E1554" s="19"/>
      <c r="F1554" s="28"/>
      <c r="G1554" s="30"/>
      <c r="H1554" s="21" t="str">
        <f t="shared" si="1"/>
        <v/>
      </c>
      <c r="I1554" s="19"/>
    </row>
    <row r="1555" ht="15.75" customHeight="1">
      <c r="A1555" s="3"/>
      <c r="B1555" s="19"/>
      <c r="C1555" s="19"/>
      <c r="D1555" s="19"/>
      <c r="E1555" s="19"/>
      <c r="F1555" s="28"/>
      <c r="G1555" s="30"/>
      <c r="H1555" s="21" t="str">
        <f t="shared" si="1"/>
        <v/>
      </c>
      <c r="I1555" s="19"/>
    </row>
    <row r="1556" ht="15.75" customHeight="1">
      <c r="A1556" s="3"/>
      <c r="B1556" s="19"/>
      <c r="C1556" s="19"/>
      <c r="D1556" s="19"/>
      <c r="E1556" s="19"/>
      <c r="F1556" s="28"/>
      <c r="G1556" s="30"/>
      <c r="H1556" s="21" t="str">
        <f t="shared" si="1"/>
        <v/>
      </c>
      <c r="I1556" s="19"/>
    </row>
    <row r="1557" ht="15.75" customHeight="1">
      <c r="A1557" s="3"/>
      <c r="B1557" s="19"/>
      <c r="C1557" s="19"/>
      <c r="D1557" s="19"/>
      <c r="E1557" s="19"/>
      <c r="F1557" s="28"/>
      <c r="G1557" s="30"/>
      <c r="H1557" s="21" t="str">
        <f t="shared" si="1"/>
        <v/>
      </c>
      <c r="I1557" s="19"/>
    </row>
    <row r="1558" ht="15.75" customHeight="1">
      <c r="A1558" s="3"/>
      <c r="B1558" s="19"/>
      <c r="C1558" s="19"/>
      <c r="D1558" s="19"/>
      <c r="E1558" s="19"/>
      <c r="F1558" s="28"/>
      <c r="G1558" s="30"/>
      <c r="H1558" s="21" t="str">
        <f t="shared" si="1"/>
        <v/>
      </c>
      <c r="I1558" s="19"/>
    </row>
    <row r="1559" ht="15.75" customHeight="1">
      <c r="A1559" s="3"/>
      <c r="B1559" s="19"/>
      <c r="C1559" s="19"/>
      <c r="D1559" s="19"/>
      <c r="E1559" s="19"/>
      <c r="F1559" s="28"/>
      <c r="G1559" s="30"/>
      <c r="H1559" s="21" t="str">
        <f t="shared" si="1"/>
        <v/>
      </c>
      <c r="I1559" s="19"/>
    </row>
    <row r="1560" ht="15.75" customHeight="1">
      <c r="A1560" s="3"/>
      <c r="B1560" s="19"/>
      <c r="C1560" s="19"/>
      <c r="D1560" s="19"/>
      <c r="E1560" s="19"/>
      <c r="F1560" s="28"/>
      <c r="G1560" s="30"/>
      <c r="H1560" s="21" t="str">
        <f t="shared" si="1"/>
        <v/>
      </c>
      <c r="I1560" s="19"/>
    </row>
    <row r="1561" ht="15.75" customHeight="1">
      <c r="A1561" s="3"/>
      <c r="B1561" s="19"/>
      <c r="C1561" s="19"/>
      <c r="D1561" s="19"/>
      <c r="E1561" s="19"/>
      <c r="F1561" s="28"/>
      <c r="G1561" s="30"/>
      <c r="H1561" s="21" t="str">
        <f t="shared" si="1"/>
        <v/>
      </c>
      <c r="I1561" s="19"/>
    </row>
    <row r="1562" ht="15.75" customHeight="1">
      <c r="A1562" s="3"/>
      <c r="B1562" s="19"/>
      <c r="C1562" s="19"/>
      <c r="D1562" s="19"/>
      <c r="E1562" s="19"/>
      <c r="F1562" s="28"/>
      <c r="G1562" s="30"/>
      <c r="H1562" s="21" t="str">
        <f t="shared" si="1"/>
        <v/>
      </c>
      <c r="I1562" s="19"/>
    </row>
    <row r="1563" ht="15.75" customHeight="1">
      <c r="A1563" s="3"/>
      <c r="B1563" s="19"/>
      <c r="C1563" s="19"/>
      <c r="D1563" s="19"/>
      <c r="E1563" s="19"/>
      <c r="F1563" s="28"/>
      <c r="G1563" s="30"/>
      <c r="H1563" s="21" t="str">
        <f t="shared" si="1"/>
        <v/>
      </c>
      <c r="I1563" s="19"/>
    </row>
    <row r="1564" ht="15.75" customHeight="1">
      <c r="A1564" s="3"/>
      <c r="B1564" s="19"/>
      <c r="C1564" s="19"/>
      <c r="D1564" s="19"/>
      <c r="E1564" s="19"/>
      <c r="F1564" s="28"/>
      <c r="G1564" s="30"/>
      <c r="H1564" s="21" t="str">
        <f t="shared" si="1"/>
        <v/>
      </c>
      <c r="I1564" s="19"/>
    </row>
    <row r="1565" ht="15.75" customHeight="1">
      <c r="A1565" s="3"/>
      <c r="B1565" s="19"/>
      <c r="C1565" s="19"/>
      <c r="D1565" s="19"/>
      <c r="E1565" s="19"/>
      <c r="F1565" s="28"/>
      <c r="G1565" s="30"/>
      <c r="H1565" s="21" t="str">
        <f t="shared" si="1"/>
        <v/>
      </c>
      <c r="I1565" s="19"/>
    </row>
    <row r="1566" ht="15.75" customHeight="1">
      <c r="A1566" s="3"/>
      <c r="B1566" s="19"/>
      <c r="C1566" s="19"/>
      <c r="D1566" s="19"/>
      <c r="E1566" s="19"/>
      <c r="F1566" s="28"/>
      <c r="G1566" s="30"/>
      <c r="H1566" s="21" t="str">
        <f t="shared" si="1"/>
        <v/>
      </c>
      <c r="I1566" s="19"/>
    </row>
    <row r="1567" ht="15.75" customHeight="1">
      <c r="A1567" s="3"/>
      <c r="B1567" s="19"/>
      <c r="C1567" s="19"/>
      <c r="D1567" s="19"/>
      <c r="E1567" s="19"/>
      <c r="F1567" s="28"/>
      <c r="G1567" s="30"/>
      <c r="H1567" s="21" t="str">
        <f t="shared" si="1"/>
        <v/>
      </c>
      <c r="I1567" s="19"/>
    </row>
    <row r="1568" ht="15.75" customHeight="1">
      <c r="A1568" s="3"/>
      <c r="B1568" s="19"/>
      <c r="C1568" s="19"/>
      <c r="D1568" s="19"/>
      <c r="E1568" s="19"/>
      <c r="F1568" s="28"/>
      <c r="G1568" s="30"/>
      <c r="H1568" s="21" t="str">
        <f t="shared" si="1"/>
        <v/>
      </c>
      <c r="I1568" s="19"/>
    </row>
    <row r="1569" ht="15.75" customHeight="1">
      <c r="A1569" s="3"/>
      <c r="B1569" s="19"/>
      <c r="C1569" s="19"/>
      <c r="D1569" s="19"/>
      <c r="E1569" s="19"/>
      <c r="F1569" s="28"/>
      <c r="G1569" s="30"/>
      <c r="H1569" s="21" t="str">
        <f t="shared" si="1"/>
        <v/>
      </c>
      <c r="I1569" s="19"/>
    </row>
    <row r="1570" ht="15.75" customHeight="1">
      <c r="A1570" s="3"/>
      <c r="B1570" s="19"/>
      <c r="C1570" s="19"/>
      <c r="D1570" s="19"/>
      <c r="E1570" s="19"/>
      <c r="F1570" s="28"/>
      <c r="G1570" s="30"/>
      <c r="H1570" s="21" t="str">
        <f t="shared" si="1"/>
        <v/>
      </c>
      <c r="I1570" s="19"/>
    </row>
    <row r="1571" ht="15.75" customHeight="1">
      <c r="A1571" s="3"/>
      <c r="B1571" s="19"/>
      <c r="C1571" s="19"/>
      <c r="D1571" s="19"/>
      <c r="E1571" s="19"/>
      <c r="F1571" s="28"/>
      <c r="G1571" s="30"/>
      <c r="H1571" s="21" t="str">
        <f t="shared" si="1"/>
        <v/>
      </c>
      <c r="I1571" s="19"/>
    </row>
    <row r="1572" ht="15.75" customHeight="1">
      <c r="A1572" s="3"/>
      <c r="B1572" s="19"/>
      <c r="C1572" s="19"/>
      <c r="D1572" s="19"/>
      <c r="E1572" s="19"/>
      <c r="F1572" s="28"/>
      <c r="G1572" s="30"/>
      <c r="H1572" s="21" t="str">
        <f t="shared" si="1"/>
        <v/>
      </c>
      <c r="I1572" s="19"/>
    </row>
    <row r="1573" ht="15.75" customHeight="1">
      <c r="A1573" s="3"/>
      <c r="B1573" s="19"/>
      <c r="C1573" s="19"/>
      <c r="D1573" s="19"/>
      <c r="E1573" s="19"/>
      <c r="F1573" s="28"/>
      <c r="G1573" s="30"/>
      <c r="H1573" s="21" t="str">
        <f t="shared" si="1"/>
        <v/>
      </c>
      <c r="I1573" s="19"/>
    </row>
    <row r="1574" ht="15.75" customHeight="1">
      <c r="A1574" s="3"/>
      <c r="B1574" s="19"/>
      <c r="C1574" s="19"/>
      <c r="D1574" s="19"/>
      <c r="E1574" s="19"/>
      <c r="F1574" s="28"/>
      <c r="G1574" s="30"/>
      <c r="H1574" s="21" t="str">
        <f t="shared" si="1"/>
        <v/>
      </c>
      <c r="I1574" s="19"/>
    </row>
    <row r="1575" ht="15.75" customHeight="1">
      <c r="A1575" s="3"/>
      <c r="B1575" s="19"/>
      <c r="C1575" s="19"/>
      <c r="D1575" s="19"/>
      <c r="E1575" s="19"/>
      <c r="F1575" s="28"/>
      <c r="G1575" s="30"/>
      <c r="H1575" s="21" t="str">
        <f t="shared" si="1"/>
        <v/>
      </c>
      <c r="I1575" s="19"/>
    </row>
    <row r="1576" ht="15.75" customHeight="1">
      <c r="A1576" s="3"/>
      <c r="B1576" s="19"/>
      <c r="C1576" s="19"/>
      <c r="D1576" s="19"/>
      <c r="E1576" s="19"/>
      <c r="F1576" s="28"/>
      <c r="G1576" s="30"/>
      <c r="H1576" s="21" t="str">
        <f t="shared" si="1"/>
        <v/>
      </c>
      <c r="I1576" s="19"/>
    </row>
    <row r="1577" ht="15.75" customHeight="1">
      <c r="A1577" s="3"/>
      <c r="B1577" s="19"/>
      <c r="C1577" s="19"/>
      <c r="D1577" s="19"/>
      <c r="E1577" s="19"/>
      <c r="F1577" s="28"/>
      <c r="G1577" s="30"/>
      <c r="H1577" s="21" t="str">
        <f t="shared" si="1"/>
        <v/>
      </c>
      <c r="I1577" s="19"/>
    </row>
    <row r="1578" ht="15.75" customHeight="1">
      <c r="A1578" s="3"/>
      <c r="B1578" s="19"/>
      <c r="C1578" s="19"/>
      <c r="D1578" s="19"/>
      <c r="E1578" s="19"/>
      <c r="F1578" s="28"/>
      <c r="G1578" s="30"/>
      <c r="H1578" s="21" t="str">
        <f t="shared" si="1"/>
        <v/>
      </c>
      <c r="I1578" s="19"/>
    </row>
    <row r="1579" ht="15.75" customHeight="1">
      <c r="A1579" s="3"/>
      <c r="B1579" s="19"/>
      <c r="C1579" s="19"/>
      <c r="D1579" s="19"/>
      <c r="E1579" s="19"/>
      <c r="F1579" s="28"/>
      <c r="G1579" s="30"/>
      <c r="H1579" s="21" t="str">
        <f t="shared" si="1"/>
        <v/>
      </c>
      <c r="I1579" s="19"/>
    </row>
    <row r="1580" ht="15.75" customHeight="1">
      <c r="A1580" s="3"/>
      <c r="B1580" s="19"/>
      <c r="C1580" s="19"/>
      <c r="D1580" s="19"/>
      <c r="E1580" s="19"/>
      <c r="F1580" s="28"/>
      <c r="G1580" s="30"/>
      <c r="H1580" s="21" t="str">
        <f t="shared" si="1"/>
        <v/>
      </c>
      <c r="I1580" s="19"/>
    </row>
    <row r="1581" ht="15.75" customHeight="1">
      <c r="A1581" s="3"/>
      <c r="B1581" s="19"/>
      <c r="C1581" s="19"/>
      <c r="D1581" s="19"/>
      <c r="E1581" s="19"/>
      <c r="F1581" s="28"/>
      <c r="G1581" s="30"/>
      <c r="H1581" s="21" t="str">
        <f t="shared" si="1"/>
        <v/>
      </c>
      <c r="I1581" s="19"/>
    </row>
    <row r="1582" ht="15.75" customHeight="1">
      <c r="A1582" s="3"/>
      <c r="B1582" s="19"/>
      <c r="C1582" s="19"/>
      <c r="D1582" s="19"/>
      <c r="E1582" s="19"/>
      <c r="F1582" s="28"/>
      <c r="G1582" s="30"/>
      <c r="H1582" s="21" t="str">
        <f t="shared" si="1"/>
        <v/>
      </c>
      <c r="I1582" s="19"/>
    </row>
    <row r="1583" ht="15.75" customHeight="1">
      <c r="A1583" s="3"/>
      <c r="B1583" s="19"/>
      <c r="C1583" s="19"/>
      <c r="D1583" s="19"/>
      <c r="E1583" s="19"/>
      <c r="F1583" s="28"/>
      <c r="G1583" s="30"/>
      <c r="H1583" s="21" t="str">
        <f t="shared" si="1"/>
        <v/>
      </c>
      <c r="I1583" s="19"/>
    </row>
    <row r="1584" ht="15.75" customHeight="1">
      <c r="A1584" s="3"/>
      <c r="B1584" s="19"/>
      <c r="C1584" s="19"/>
      <c r="D1584" s="19"/>
      <c r="E1584" s="19"/>
      <c r="F1584" s="28"/>
      <c r="G1584" s="30"/>
      <c r="H1584" s="21" t="str">
        <f t="shared" si="1"/>
        <v/>
      </c>
      <c r="I1584" s="19"/>
    </row>
    <row r="1585" ht="15.75" customHeight="1">
      <c r="A1585" s="3"/>
      <c r="B1585" s="19"/>
      <c r="C1585" s="19"/>
      <c r="D1585" s="19"/>
      <c r="E1585" s="19"/>
      <c r="F1585" s="28"/>
      <c r="G1585" s="30"/>
      <c r="H1585" s="21" t="str">
        <f t="shared" si="1"/>
        <v/>
      </c>
      <c r="I1585" s="19"/>
    </row>
    <row r="1586" ht="15.75" customHeight="1">
      <c r="A1586" s="3"/>
      <c r="B1586" s="19"/>
      <c r="C1586" s="19"/>
      <c r="D1586" s="19"/>
      <c r="E1586" s="19"/>
      <c r="F1586" s="28"/>
      <c r="G1586" s="30"/>
      <c r="H1586" s="21" t="str">
        <f t="shared" si="1"/>
        <v/>
      </c>
      <c r="I1586" s="19"/>
    </row>
    <row r="1587" ht="15.75" customHeight="1">
      <c r="A1587" s="3"/>
      <c r="B1587" s="19"/>
      <c r="C1587" s="19"/>
      <c r="D1587" s="19"/>
      <c r="E1587" s="19"/>
      <c r="F1587" s="28"/>
      <c r="G1587" s="30"/>
      <c r="H1587" s="21" t="str">
        <f t="shared" si="1"/>
        <v/>
      </c>
      <c r="I1587" s="19"/>
    </row>
    <row r="1588" ht="15.75" customHeight="1">
      <c r="A1588" s="3"/>
      <c r="B1588" s="19"/>
      <c r="C1588" s="19"/>
      <c r="D1588" s="19"/>
      <c r="E1588" s="19"/>
      <c r="F1588" s="28"/>
      <c r="G1588" s="30"/>
      <c r="H1588" s="21" t="str">
        <f t="shared" si="1"/>
        <v/>
      </c>
      <c r="I1588" s="19"/>
    </row>
    <row r="1589" ht="15.75" customHeight="1">
      <c r="A1589" s="3"/>
      <c r="B1589" s="19"/>
      <c r="C1589" s="19"/>
      <c r="D1589" s="19"/>
      <c r="E1589" s="19"/>
      <c r="F1589" s="28"/>
      <c r="G1589" s="30"/>
      <c r="H1589" s="21" t="str">
        <f t="shared" si="1"/>
        <v/>
      </c>
      <c r="I1589" s="19"/>
    </row>
    <row r="1590" ht="15.75" customHeight="1">
      <c r="A1590" s="3"/>
      <c r="B1590" s="19"/>
      <c r="C1590" s="19"/>
      <c r="D1590" s="19"/>
      <c r="E1590" s="19"/>
      <c r="F1590" s="28"/>
      <c r="G1590" s="30"/>
      <c r="H1590" s="21" t="str">
        <f t="shared" si="1"/>
        <v/>
      </c>
      <c r="I1590" s="19"/>
    </row>
    <row r="1591" ht="15.75" customHeight="1">
      <c r="A1591" s="3"/>
      <c r="B1591" s="19"/>
      <c r="C1591" s="19"/>
      <c r="D1591" s="19"/>
      <c r="E1591" s="19"/>
      <c r="F1591" s="28"/>
      <c r="G1591" s="30"/>
      <c r="H1591" s="21" t="str">
        <f t="shared" si="1"/>
        <v/>
      </c>
      <c r="I1591" s="19"/>
    </row>
    <row r="1592" ht="15.75" customHeight="1">
      <c r="A1592" s="3"/>
      <c r="B1592" s="19"/>
      <c r="C1592" s="19"/>
      <c r="D1592" s="19"/>
      <c r="E1592" s="19"/>
      <c r="F1592" s="28"/>
      <c r="G1592" s="30"/>
      <c r="H1592" s="21" t="str">
        <f t="shared" si="1"/>
        <v/>
      </c>
      <c r="I1592" s="19"/>
    </row>
    <row r="1593" ht="15.75" customHeight="1">
      <c r="A1593" s="3"/>
      <c r="B1593" s="19"/>
      <c r="C1593" s="19"/>
      <c r="D1593" s="19"/>
      <c r="E1593" s="19"/>
      <c r="F1593" s="28"/>
      <c r="G1593" s="30"/>
      <c r="H1593" s="21" t="str">
        <f t="shared" si="1"/>
        <v/>
      </c>
      <c r="I1593" s="19"/>
    </row>
    <row r="1594" ht="15.75" customHeight="1">
      <c r="A1594" s="3"/>
      <c r="B1594" s="19"/>
      <c r="C1594" s="19"/>
      <c r="D1594" s="19"/>
      <c r="E1594" s="19"/>
      <c r="F1594" s="28"/>
      <c r="G1594" s="30"/>
      <c r="H1594" s="21" t="str">
        <f t="shared" si="1"/>
        <v/>
      </c>
      <c r="I1594" s="19"/>
    </row>
    <row r="1595" ht="15.75" customHeight="1">
      <c r="A1595" s="3"/>
      <c r="B1595" s="19"/>
      <c r="C1595" s="19"/>
      <c r="D1595" s="19"/>
      <c r="E1595" s="19"/>
      <c r="F1595" s="28"/>
      <c r="G1595" s="30"/>
      <c r="H1595" s="21" t="str">
        <f t="shared" si="1"/>
        <v/>
      </c>
      <c r="I1595" s="19"/>
    </row>
    <row r="1596" ht="15.75" customHeight="1">
      <c r="A1596" s="3"/>
      <c r="B1596" s="19"/>
      <c r="C1596" s="19"/>
      <c r="D1596" s="19"/>
      <c r="E1596" s="19"/>
      <c r="F1596" s="28"/>
      <c r="G1596" s="30"/>
      <c r="H1596" s="21" t="str">
        <f t="shared" si="1"/>
        <v/>
      </c>
      <c r="I1596" s="19"/>
    </row>
    <row r="1597" ht="15.75" customHeight="1">
      <c r="A1597" s="3"/>
      <c r="B1597" s="19"/>
      <c r="C1597" s="19"/>
      <c r="D1597" s="19"/>
      <c r="E1597" s="19"/>
      <c r="F1597" s="28"/>
      <c r="G1597" s="30"/>
      <c r="H1597" s="21" t="str">
        <f t="shared" si="1"/>
        <v/>
      </c>
      <c r="I1597" s="19"/>
    </row>
    <row r="1598" ht="15.75" customHeight="1">
      <c r="A1598" s="3"/>
      <c r="B1598" s="19"/>
      <c r="C1598" s="19"/>
      <c r="D1598" s="19"/>
      <c r="E1598" s="19"/>
      <c r="F1598" s="28"/>
      <c r="G1598" s="30"/>
      <c r="H1598" s="21" t="str">
        <f t="shared" si="1"/>
        <v/>
      </c>
      <c r="I1598" s="19"/>
    </row>
    <row r="1599" ht="15.75" customHeight="1">
      <c r="A1599" s="3"/>
      <c r="B1599" s="19"/>
      <c r="C1599" s="19"/>
      <c r="D1599" s="19"/>
      <c r="E1599" s="19"/>
      <c r="F1599" s="28"/>
      <c r="G1599" s="30"/>
      <c r="H1599" s="21" t="str">
        <f t="shared" si="1"/>
        <v/>
      </c>
      <c r="I1599" s="19"/>
    </row>
    <row r="1600" ht="15.75" customHeight="1">
      <c r="A1600" s="3"/>
      <c r="B1600" s="19"/>
      <c r="C1600" s="19"/>
      <c r="D1600" s="19"/>
      <c r="E1600" s="19"/>
      <c r="F1600" s="28"/>
      <c r="G1600" s="30"/>
      <c r="H1600" s="21" t="str">
        <f t="shared" si="1"/>
        <v/>
      </c>
      <c r="I1600" s="19"/>
    </row>
    <row r="1601" ht="15.75" customHeight="1">
      <c r="A1601" s="3"/>
      <c r="B1601" s="19"/>
      <c r="C1601" s="19"/>
      <c r="D1601" s="19"/>
      <c r="E1601" s="19"/>
      <c r="F1601" s="28"/>
      <c r="G1601" s="30"/>
      <c r="H1601" s="21" t="str">
        <f t="shared" si="1"/>
        <v/>
      </c>
      <c r="I1601" s="19"/>
    </row>
    <row r="1602" ht="15.75" customHeight="1">
      <c r="A1602" s="3"/>
      <c r="B1602" s="19"/>
      <c r="C1602" s="19"/>
      <c r="D1602" s="19"/>
      <c r="E1602" s="19"/>
      <c r="F1602" s="28"/>
      <c r="G1602" s="30"/>
      <c r="H1602" s="21" t="str">
        <f t="shared" si="1"/>
        <v/>
      </c>
      <c r="I1602" s="19"/>
    </row>
    <row r="1603" ht="15.75" customHeight="1">
      <c r="A1603" s="3"/>
      <c r="B1603" s="19"/>
      <c r="C1603" s="19"/>
      <c r="D1603" s="19"/>
      <c r="E1603" s="19"/>
      <c r="F1603" s="28"/>
      <c r="G1603" s="30"/>
      <c r="H1603" s="21" t="str">
        <f t="shared" si="1"/>
        <v/>
      </c>
      <c r="I1603" s="19"/>
    </row>
    <row r="1604" ht="15.75" customHeight="1">
      <c r="A1604" s="3"/>
      <c r="B1604" s="19"/>
      <c r="C1604" s="19"/>
      <c r="D1604" s="19"/>
      <c r="E1604" s="19"/>
      <c r="F1604" s="28"/>
      <c r="G1604" s="30"/>
      <c r="H1604" s="21" t="str">
        <f t="shared" si="1"/>
        <v/>
      </c>
      <c r="I1604" s="19"/>
    </row>
    <row r="1605" ht="15.75" customHeight="1">
      <c r="A1605" s="3"/>
      <c r="B1605" s="19"/>
      <c r="C1605" s="19"/>
      <c r="D1605" s="19"/>
      <c r="E1605" s="19"/>
      <c r="F1605" s="28"/>
      <c r="G1605" s="30"/>
      <c r="H1605" s="21" t="str">
        <f t="shared" si="1"/>
        <v/>
      </c>
      <c r="I1605" s="19"/>
    </row>
    <row r="1606" ht="15.75" customHeight="1">
      <c r="A1606" s="3"/>
      <c r="B1606" s="19"/>
      <c r="C1606" s="19"/>
      <c r="D1606" s="19"/>
      <c r="E1606" s="19"/>
      <c r="F1606" s="28"/>
      <c r="G1606" s="30"/>
      <c r="H1606" s="21" t="str">
        <f t="shared" si="1"/>
        <v/>
      </c>
      <c r="I1606" s="19"/>
    </row>
    <row r="1607" ht="15.75" customHeight="1">
      <c r="A1607" s="3"/>
      <c r="B1607" s="19"/>
      <c r="C1607" s="19"/>
      <c r="D1607" s="19"/>
      <c r="E1607" s="19"/>
      <c r="F1607" s="28"/>
      <c r="G1607" s="30"/>
      <c r="H1607" s="21" t="str">
        <f t="shared" si="1"/>
        <v/>
      </c>
      <c r="I1607" s="19"/>
    </row>
    <row r="1608" ht="15.75" customHeight="1">
      <c r="A1608" s="3"/>
      <c r="B1608" s="19"/>
      <c r="C1608" s="19"/>
      <c r="D1608" s="19"/>
      <c r="E1608" s="19"/>
      <c r="F1608" s="28"/>
      <c r="G1608" s="30"/>
      <c r="H1608" s="21" t="str">
        <f t="shared" si="1"/>
        <v/>
      </c>
      <c r="I1608" s="19"/>
    </row>
    <row r="1609" ht="15.75" customHeight="1">
      <c r="A1609" s="3"/>
      <c r="B1609" s="19"/>
      <c r="C1609" s="19"/>
      <c r="D1609" s="19"/>
      <c r="E1609" s="19"/>
      <c r="F1609" s="28"/>
      <c r="G1609" s="30"/>
      <c r="H1609" s="21" t="str">
        <f t="shared" si="1"/>
        <v/>
      </c>
      <c r="I1609" s="19"/>
    </row>
    <row r="1610" ht="15.75" customHeight="1">
      <c r="A1610" s="3"/>
      <c r="B1610" s="19"/>
      <c r="C1610" s="19"/>
      <c r="D1610" s="19"/>
      <c r="E1610" s="19"/>
      <c r="F1610" s="28"/>
      <c r="G1610" s="30"/>
      <c r="H1610" s="21" t="str">
        <f t="shared" si="1"/>
        <v/>
      </c>
      <c r="I1610" s="19"/>
    </row>
    <row r="1611" ht="15.75" customHeight="1">
      <c r="A1611" s="3"/>
      <c r="B1611" s="19"/>
      <c r="C1611" s="19"/>
      <c r="D1611" s="19"/>
      <c r="E1611" s="19"/>
      <c r="F1611" s="28"/>
      <c r="G1611" s="30"/>
      <c r="H1611" s="21" t="str">
        <f t="shared" si="1"/>
        <v/>
      </c>
      <c r="I1611" s="19"/>
    </row>
    <row r="1612" ht="15.75" customHeight="1">
      <c r="A1612" s="3"/>
      <c r="B1612" s="19"/>
      <c r="C1612" s="19"/>
      <c r="D1612" s="19"/>
      <c r="E1612" s="19"/>
      <c r="F1612" s="28"/>
      <c r="G1612" s="30"/>
      <c r="H1612" s="21" t="str">
        <f t="shared" si="1"/>
        <v/>
      </c>
      <c r="I1612" s="19"/>
    </row>
    <row r="1613" ht="15.75" customHeight="1">
      <c r="A1613" s="3"/>
      <c r="B1613" s="19"/>
      <c r="C1613" s="19"/>
      <c r="D1613" s="19"/>
      <c r="E1613" s="19"/>
      <c r="F1613" s="28"/>
      <c r="G1613" s="30"/>
      <c r="H1613" s="21" t="str">
        <f t="shared" si="1"/>
        <v/>
      </c>
      <c r="I1613" s="19"/>
    </row>
    <row r="1614" ht="15.75" customHeight="1">
      <c r="A1614" s="3"/>
      <c r="B1614" s="19"/>
      <c r="C1614" s="19"/>
      <c r="D1614" s="19"/>
      <c r="E1614" s="19"/>
      <c r="F1614" s="28"/>
      <c r="G1614" s="30"/>
      <c r="H1614" s="21" t="str">
        <f t="shared" si="1"/>
        <v/>
      </c>
      <c r="I1614" s="19"/>
    </row>
    <row r="1615" ht="15.75" customHeight="1">
      <c r="A1615" s="3"/>
      <c r="B1615" s="19"/>
      <c r="C1615" s="19"/>
      <c r="D1615" s="19"/>
      <c r="E1615" s="19"/>
      <c r="F1615" s="28"/>
      <c r="G1615" s="30"/>
      <c r="H1615" s="21" t="str">
        <f t="shared" si="1"/>
        <v/>
      </c>
      <c r="I1615" s="19"/>
    </row>
    <row r="1616" ht="15.75" customHeight="1">
      <c r="A1616" s="3"/>
      <c r="B1616" s="19"/>
      <c r="C1616" s="19"/>
      <c r="D1616" s="19"/>
      <c r="E1616" s="19"/>
      <c r="F1616" s="28"/>
      <c r="G1616" s="30"/>
      <c r="H1616" s="21" t="str">
        <f t="shared" si="1"/>
        <v/>
      </c>
      <c r="I1616" s="19"/>
    </row>
    <row r="1617" ht="15.75" customHeight="1">
      <c r="A1617" s="3"/>
      <c r="B1617" s="19"/>
      <c r="C1617" s="19"/>
      <c r="D1617" s="19"/>
      <c r="E1617" s="19"/>
      <c r="F1617" s="28"/>
      <c r="G1617" s="30"/>
      <c r="H1617" s="21" t="str">
        <f t="shared" si="1"/>
        <v/>
      </c>
      <c r="I1617" s="19"/>
    </row>
    <row r="1618" ht="15.75" customHeight="1">
      <c r="A1618" s="3"/>
      <c r="B1618" s="19"/>
      <c r="C1618" s="19"/>
      <c r="D1618" s="19"/>
      <c r="E1618" s="19"/>
      <c r="F1618" s="28"/>
      <c r="G1618" s="30"/>
      <c r="H1618" s="21" t="str">
        <f t="shared" si="1"/>
        <v/>
      </c>
      <c r="I1618" s="19"/>
    </row>
    <row r="1619" ht="15.75" customHeight="1">
      <c r="A1619" s="3"/>
      <c r="B1619" s="19"/>
      <c r="C1619" s="19"/>
      <c r="D1619" s="19"/>
      <c r="E1619" s="19"/>
      <c r="F1619" s="28"/>
      <c r="G1619" s="30"/>
      <c r="H1619" s="21" t="str">
        <f t="shared" si="1"/>
        <v/>
      </c>
      <c r="I1619" s="19"/>
    </row>
    <row r="1620" ht="15.75" customHeight="1">
      <c r="A1620" s="3"/>
      <c r="B1620" s="19"/>
      <c r="C1620" s="19"/>
      <c r="D1620" s="19"/>
      <c r="E1620" s="19"/>
      <c r="F1620" s="28"/>
      <c r="G1620" s="30"/>
      <c r="H1620" s="21" t="str">
        <f t="shared" si="1"/>
        <v/>
      </c>
      <c r="I1620" s="19"/>
    </row>
    <row r="1621" ht="15.75" customHeight="1">
      <c r="A1621" s="3"/>
      <c r="B1621" s="19"/>
      <c r="C1621" s="19"/>
      <c r="D1621" s="19"/>
      <c r="E1621" s="19"/>
      <c r="F1621" s="28"/>
      <c r="G1621" s="30"/>
      <c r="H1621" s="21" t="str">
        <f t="shared" si="1"/>
        <v/>
      </c>
      <c r="I1621" s="19"/>
    </row>
    <row r="1622" ht="15.75" customHeight="1">
      <c r="A1622" s="3"/>
      <c r="B1622" s="19"/>
      <c r="C1622" s="19"/>
      <c r="D1622" s="19"/>
      <c r="E1622" s="19"/>
      <c r="F1622" s="28"/>
      <c r="G1622" s="30"/>
      <c r="H1622" s="21" t="str">
        <f t="shared" si="1"/>
        <v/>
      </c>
      <c r="I1622" s="19"/>
    </row>
    <row r="1623" ht="15.75" customHeight="1">
      <c r="A1623" s="3"/>
      <c r="B1623" s="19"/>
      <c r="C1623" s="19"/>
      <c r="D1623" s="19"/>
      <c r="E1623" s="19"/>
      <c r="F1623" s="28"/>
      <c r="G1623" s="30"/>
      <c r="H1623" s="21" t="str">
        <f t="shared" si="1"/>
        <v/>
      </c>
      <c r="I1623" s="19"/>
    </row>
    <row r="1624" ht="15.75" customHeight="1">
      <c r="A1624" s="3"/>
      <c r="B1624" s="19"/>
      <c r="C1624" s="19"/>
      <c r="D1624" s="19"/>
      <c r="E1624" s="19"/>
      <c r="F1624" s="28"/>
      <c r="G1624" s="30"/>
      <c r="H1624" s="21" t="str">
        <f t="shared" si="1"/>
        <v/>
      </c>
      <c r="I1624" s="19"/>
    </row>
    <row r="1625" ht="15.75" customHeight="1">
      <c r="A1625" s="3"/>
      <c r="B1625" s="19"/>
      <c r="C1625" s="19"/>
      <c r="D1625" s="19"/>
      <c r="E1625" s="19"/>
      <c r="F1625" s="28"/>
      <c r="G1625" s="30"/>
      <c r="H1625" s="21" t="str">
        <f t="shared" si="1"/>
        <v/>
      </c>
      <c r="I1625" s="19"/>
    </row>
    <row r="1626" ht="15.75" customHeight="1">
      <c r="A1626" s="3"/>
      <c r="B1626" s="19"/>
      <c r="C1626" s="19"/>
      <c r="D1626" s="19"/>
      <c r="E1626" s="19"/>
      <c r="F1626" s="28"/>
      <c r="G1626" s="30"/>
      <c r="H1626" s="21" t="str">
        <f t="shared" si="1"/>
        <v/>
      </c>
      <c r="I1626" s="19"/>
    </row>
    <row r="1627" ht="15.75" customHeight="1">
      <c r="A1627" s="3"/>
      <c r="B1627" s="19"/>
      <c r="C1627" s="19"/>
      <c r="D1627" s="19"/>
      <c r="E1627" s="19"/>
      <c r="F1627" s="28"/>
      <c r="G1627" s="30"/>
      <c r="H1627" s="21" t="str">
        <f t="shared" si="1"/>
        <v/>
      </c>
      <c r="I1627" s="19"/>
    </row>
    <row r="1628" ht="15.75" customHeight="1">
      <c r="A1628" s="3"/>
      <c r="B1628" s="19"/>
      <c r="C1628" s="19"/>
      <c r="D1628" s="19"/>
      <c r="E1628" s="19"/>
      <c r="F1628" s="28"/>
      <c r="G1628" s="30"/>
      <c r="H1628" s="21" t="str">
        <f t="shared" si="1"/>
        <v/>
      </c>
      <c r="I1628" s="19"/>
    </row>
    <row r="1629" ht="15.75" customHeight="1">
      <c r="A1629" s="3"/>
      <c r="B1629" s="19"/>
      <c r="C1629" s="19"/>
      <c r="D1629" s="19"/>
      <c r="E1629" s="19"/>
      <c r="F1629" s="28"/>
      <c r="G1629" s="30"/>
      <c r="H1629" s="21" t="str">
        <f t="shared" si="1"/>
        <v/>
      </c>
      <c r="I1629" s="19"/>
    </row>
    <row r="1630" ht="15.75" customHeight="1">
      <c r="A1630" s="3"/>
      <c r="B1630" s="19"/>
      <c r="C1630" s="19"/>
      <c r="D1630" s="19"/>
      <c r="E1630" s="19"/>
      <c r="F1630" s="28"/>
      <c r="G1630" s="30"/>
      <c r="H1630" s="21" t="str">
        <f t="shared" si="1"/>
        <v/>
      </c>
      <c r="I1630" s="19"/>
    </row>
    <row r="1631" ht="15.75" customHeight="1">
      <c r="A1631" s="3"/>
      <c r="B1631" s="19"/>
      <c r="C1631" s="19"/>
      <c r="D1631" s="19"/>
      <c r="E1631" s="19"/>
      <c r="F1631" s="28"/>
      <c r="G1631" s="30"/>
      <c r="H1631" s="21" t="str">
        <f t="shared" si="1"/>
        <v/>
      </c>
      <c r="I1631" s="19"/>
    </row>
    <row r="1632" ht="15.75" customHeight="1">
      <c r="A1632" s="3"/>
      <c r="B1632" s="19"/>
      <c r="C1632" s="19"/>
      <c r="D1632" s="19"/>
      <c r="E1632" s="19"/>
      <c r="F1632" s="28"/>
      <c r="G1632" s="30"/>
      <c r="H1632" s="21" t="str">
        <f t="shared" si="1"/>
        <v/>
      </c>
      <c r="I1632" s="19"/>
    </row>
    <row r="1633" ht="15.75" customHeight="1">
      <c r="A1633" s="3"/>
      <c r="B1633" s="19"/>
      <c r="C1633" s="19"/>
      <c r="D1633" s="19"/>
      <c r="E1633" s="19"/>
      <c r="F1633" s="28"/>
      <c r="G1633" s="30"/>
      <c r="H1633" s="21" t="str">
        <f t="shared" si="1"/>
        <v/>
      </c>
      <c r="I1633" s="19"/>
    </row>
    <row r="1634" ht="15.75" customHeight="1">
      <c r="A1634" s="3"/>
      <c r="B1634" s="19"/>
      <c r="C1634" s="19"/>
      <c r="D1634" s="19"/>
      <c r="E1634" s="19"/>
      <c r="F1634" s="28"/>
      <c r="G1634" s="30"/>
      <c r="H1634" s="21" t="str">
        <f t="shared" si="1"/>
        <v/>
      </c>
      <c r="I1634" s="19"/>
    </row>
    <row r="1635" ht="15.75" customHeight="1">
      <c r="A1635" s="3"/>
      <c r="B1635" s="19"/>
      <c r="C1635" s="19"/>
      <c r="D1635" s="19"/>
      <c r="E1635" s="19"/>
      <c r="F1635" s="28"/>
      <c r="G1635" s="30"/>
      <c r="H1635" s="21" t="str">
        <f t="shared" si="1"/>
        <v/>
      </c>
      <c r="I1635" s="19"/>
    </row>
    <row r="1636" ht="15.75" customHeight="1">
      <c r="A1636" s="3"/>
      <c r="B1636" s="19"/>
      <c r="C1636" s="19"/>
      <c r="D1636" s="19"/>
      <c r="E1636" s="19"/>
      <c r="F1636" s="28"/>
      <c r="G1636" s="30"/>
      <c r="H1636" s="21" t="str">
        <f t="shared" si="1"/>
        <v/>
      </c>
      <c r="I1636" s="19"/>
    </row>
    <row r="1637" ht="15.75" customHeight="1">
      <c r="A1637" s="3"/>
      <c r="B1637" s="19"/>
      <c r="C1637" s="19"/>
      <c r="D1637" s="19"/>
      <c r="E1637" s="19"/>
      <c r="F1637" s="28"/>
      <c r="G1637" s="30"/>
      <c r="H1637" s="21" t="str">
        <f t="shared" si="1"/>
        <v/>
      </c>
      <c r="I1637" s="19"/>
    </row>
    <row r="1638" ht="15.75" customHeight="1">
      <c r="A1638" s="3"/>
      <c r="B1638" s="19"/>
      <c r="C1638" s="19"/>
      <c r="D1638" s="19"/>
      <c r="E1638" s="19"/>
      <c r="F1638" s="28"/>
      <c r="G1638" s="30"/>
      <c r="H1638" s="21" t="str">
        <f t="shared" si="1"/>
        <v/>
      </c>
      <c r="I1638" s="19"/>
    </row>
    <row r="1639" ht="15.75" customHeight="1">
      <c r="A1639" s="3"/>
      <c r="B1639" s="19"/>
      <c r="C1639" s="19"/>
      <c r="D1639" s="19"/>
      <c r="E1639" s="19"/>
      <c r="F1639" s="28"/>
      <c r="G1639" s="30"/>
      <c r="H1639" s="21" t="str">
        <f t="shared" si="1"/>
        <v/>
      </c>
      <c r="I1639" s="19"/>
    </row>
    <row r="1640" ht="15.75" customHeight="1">
      <c r="A1640" s="3"/>
      <c r="B1640" s="19"/>
      <c r="C1640" s="19"/>
      <c r="D1640" s="19"/>
      <c r="E1640" s="19"/>
      <c r="F1640" s="28"/>
      <c r="G1640" s="30"/>
      <c r="H1640" s="21" t="str">
        <f t="shared" si="1"/>
        <v/>
      </c>
      <c r="I1640" s="19"/>
    </row>
    <row r="1641" ht="15.75" customHeight="1">
      <c r="A1641" s="3"/>
      <c r="B1641" s="19"/>
      <c r="C1641" s="19"/>
      <c r="D1641" s="19"/>
      <c r="E1641" s="19"/>
      <c r="F1641" s="28"/>
      <c r="G1641" s="30"/>
      <c r="H1641" s="21" t="str">
        <f t="shared" si="1"/>
        <v/>
      </c>
      <c r="I1641" s="19"/>
    </row>
    <row r="1642" ht="15.75" customHeight="1">
      <c r="A1642" s="3"/>
      <c r="B1642" s="19"/>
      <c r="C1642" s="19"/>
      <c r="D1642" s="19"/>
      <c r="E1642" s="19"/>
      <c r="F1642" s="28"/>
      <c r="G1642" s="30"/>
      <c r="H1642" s="21" t="str">
        <f t="shared" si="1"/>
        <v/>
      </c>
      <c r="I1642" s="19"/>
    </row>
    <row r="1643" ht="15.75" customHeight="1">
      <c r="A1643" s="3"/>
      <c r="B1643" s="19"/>
      <c r="C1643" s="19"/>
      <c r="D1643" s="19"/>
      <c r="E1643" s="19"/>
      <c r="F1643" s="28"/>
      <c r="G1643" s="30"/>
      <c r="H1643" s="21" t="str">
        <f t="shared" si="1"/>
        <v/>
      </c>
      <c r="I1643" s="19"/>
    </row>
    <row r="1644" ht="15.75" customHeight="1">
      <c r="A1644" s="3"/>
      <c r="B1644" s="19"/>
      <c r="C1644" s="19"/>
      <c r="D1644" s="19"/>
      <c r="E1644" s="19"/>
      <c r="F1644" s="28"/>
      <c r="G1644" s="30"/>
      <c r="H1644" s="21" t="str">
        <f t="shared" si="1"/>
        <v/>
      </c>
      <c r="I1644" s="19"/>
    </row>
    <row r="1645" ht="15.75" customHeight="1">
      <c r="A1645" s="3"/>
      <c r="B1645" s="19"/>
      <c r="C1645" s="19"/>
      <c r="D1645" s="19"/>
      <c r="E1645" s="19"/>
      <c r="F1645" s="28"/>
      <c r="G1645" s="30"/>
      <c r="H1645" s="21" t="str">
        <f t="shared" si="1"/>
        <v/>
      </c>
      <c r="I1645" s="19"/>
    </row>
    <row r="1646" ht="15.75" customHeight="1">
      <c r="A1646" s="3"/>
      <c r="B1646" s="19"/>
      <c r="C1646" s="19"/>
      <c r="D1646" s="19"/>
      <c r="E1646" s="19"/>
      <c r="F1646" s="28"/>
      <c r="G1646" s="30"/>
      <c r="H1646" s="21" t="str">
        <f t="shared" si="1"/>
        <v/>
      </c>
      <c r="I1646" s="19"/>
    </row>
    <row r="1647" ht="15.75" customHeight="1">
      <c r="A1647" s="3"/>
      <c r="B1647" s="19"/>
      <c r="C1647" s="19"/>
      <c r="D1647" s="19"/>
      <c r="E1647" s="19"/>
      <c r="F1647" s="28"/>
      <c r="G1647" s="30"/>
      <c r="H1647" s="21" t="str">
        <f t="shared" si="1"/>
        <v/>
      </c>
      <c r="I1647" s="19"/>
    </row>
    <row r="1648" ht="15.75" customHeight="1">
      <c r="A1648" s="3"/>
      <c r="B1648" s="19"/>
      <c r="C1648" s="19"/>
      <c r="D1648" s="19"/>
      <c r="E1648" s="19"/>
      <c r="F1648" s="28"/>
      <c r="G1648" s="30"/>
      <c r="H1648" s="21" t="str">
        <f t="shared" si="1"/>
        <v/>
      </c>
      <c r="I1648" s="19"/>
    </row>
    <row r="1649" ht="15.75" customHeight="1">
      <c r="A1649" s="3"/>
      <c r="B1649" s="19"/>
      <c r="C1649" s="19"/>
      <c r="D1649" s="19"/>
      <c r="E1649" s="19"/>
      <c r="F1649" s="28"/>
      <c r="G1649" s="30"/>
      <c r="H1649" s="21" t="str">
        <f t="shared" si="1"/>
        <v/>
      </c>
      <c r="I1649" s="19"/>
    </row>
    <row r="1650" ht="15.75" customHeight="1">
      <c r="A1650" s="3"/>
      <c r="B1650" s="19"/>
      <c r="C1650" s="19"/>
      <c r="D1650" s="19"/>
      <c r="E1650" s="19"/>
      <c r="F1650" s="28"/>
      <c r="G1650" s="30"/>
      <c r="H1650" s="21" t="str">
        <f t="shared" si="1"/>
        <v/>
      </c>
      <c r="I1650" s="19"/>
    </row>
    <row r="1651" ht="15.75" customHeight="1">
      <c r="A1651" s="3"/>
      <c r="B1651" s="19"/>
      <c r="C1651" s="19"/>
      <c r="D1651" s="19"/>
      <c r="E1651" s="19"/>
      <c r="F1651" s="28"/>
      <c r="G1651" s="30"/>
      <c r="H1651" s="21" t="str">
        <f t="shared" si="1"/>
        <v/>
      </c>
      <c r="I1651" s="19"/>
    </row>
    <row r="1652" ht="15.75" customHeight="1">
      <c r="A1652" s="3"/>
      <c r="B1652" s="19"/>
      <c r="C1652" s="19"/>
      <c r="D1652" s="19"/>
      <c r="E1652" s="19"/>
      <c r="F1652" s="28"/>
      <c r="G1652" s="30"/>
      <c r="H1652" s="21" t="str">
        <f t="shared" si="1"/>
        <v/>
      </c>
      <c r="I1652" s="19"/>
    </row>
    <row r="1653" ht="15.75" customHeight="1">
      <c r="A1653" s="3"/>
      <c r="B1653" s="19"/>
      <c r="C1653" s="19"/>
      <c r="D1653" s="19"/>
      <c r="E1653" s="19"/>
      <c r="F1653" s="28"/>
      <c r="G1653" s="30"/>
      <c r="H1653" s="21" t="str">
        <f t="shared" si="1"/>
        <v/>
      </c>
      <c r="I1653" s="19"/>
    </row>
    <row r="1654" ht="15.75" customHeight="1">
      <c r="A1654" s="3"/>
      <c r="B1654" s="19"/>
      <c r="C1654" s="19"/>
      <c r="D1654" s="19"/>
      <c r="E1654" s="19"/>
      <c r="F1654" s="28"/>
      <c r="G1654" s="30"/>
      <c r="H1654" s="21" t="str">
        <f t="shared" si="1"/>
        <v/>
      </c>
      <c r="I1654" s="19"/>
    </row>
    <row r="1655" ht="15.75" customHeight="1">
      <c r="A1655" s="3"/>
      <c r="B1655" s="19"/>
      <c r="C1655" s="19"/>
      <c r="D1655" s="19"/>
      <c r="E1655" s="19"/>
      <c r="F1655" s="28"/>
      <c r="G1655" s="30"/>
      <c r="H1655" s="21" t="str">
        <f t="shared" si="1"/>
        <v/>
      </c>
      <c r="I1655" s="19"/>
    </row>
    <row r="1656" ht="15.75" customHeight="1">
      <c r="A1656" s="3"/>
      <c r="B1656" s="19"/>
      <c r="C1656" s="19"/>
      <c r="D1656" s="19"/>
      <c r="E1656" s="19"/>
      <c r="F1656" s="28"/>
      <c r="G1656" s="30"/>
      <c r="H1656" s="21" t="str">
        <f t="shared" si="1"/>
        <v/>
      </c>
      <c r="I1656" s="19"/>
    </row>
    <row r="1657" ht="15.75" customHeight="1">
      <c r="A1657" s="3"/>
      <c r="B1657" s="19"/>
      <c r="C1657" s="19"/>
      <c r="D1657" s="19"/>
      <c r="E1657" s="19"/>
      <c r="F1657" s="28"/>
      <c r="G1657" s="30"/>
      <c r="H1657" s="21" t="str">
        <f t="shared" si="1"/>
        <v/>
      </c>
      <c r="I1657" s="19"/>
    </row>
    <row r="1658" ht="15.75" customHeight="1">
      <c r="A1658" s="3"/>
      <c r="B1658" s="19"/>
      <c r="C1658" s="19"/>
      <c r="D1658" s="19"/>
      <c r="E1658" s="19"/>
      <c r="F1658" s="28"/>
      <c r="G1658" s="30"/>
      <c r="H1658" s="21" t="str">
        <f t="shared" si="1"/>
        <v/>
      </c>
      <c r="I1658" s="19"/>
    </row>
    <row r="1659" ht="15.75" customHeight="1">
      <c r="A1659" s="3"/>
      <c r="B1659" s="19"/>
      <c r="C1659" s="19"/>
      <c r="D1659" s="19"/>
      <c r="E1659" s="19"/>
      <c r="F1659" s="28"/>
      <c r="G1659" s="30"/>
      <c r="H1659" s="21" t="str">
        <f t="shared" si="1"/>
        <v/>
      </c>
      <c r="I1659" s="19"/>
    </row>
    <row r="1660" ht="15.75" customHeight="1">
      <c r="A1660" s="3"/>
      <c r="B1660" s="19"/>
      <c r="C1660" s="19"/>
      <c r="D1660" s="19"/>
      <c r="E1660" s="19"/>
      <c r="F1660" s="28"/>
      <c r="G1660" s="30"/>
      <c r="H1660" s="21" t="str">
        <f t="shared" si="1"/>
        <v/>
      </c>
      <c r="I1660" s="19"/>
    </row>
    <row r="1661" ht="15.75" customHeight="1">
      <c r="A1661" s="3"/>
      <c r="B1661" s="19"/>
      <c r="C1661" s="19"/>
      <c r="D1661" s="19"/>
      <c r="E1661" s="19"/>
      <c r="F1661" s="28"/>
      <c r="G1661" s="30"/>
      <c r="H1661" s="21" t="str">
        <f t="shared" si="1"/>
        <v/>
      </c>
      <c r="I1661" s="19"/>
    </row>
    <row r="1662" ht="15.75" customHeight="1">
      <c r="A1662" s="3"/>
      <c r="B1662" s="19"/>
      <c r="C1662" s="19"/>
      <c r="D1662" s="19"/>
      <c r="E1662" s="19"/>
      <c r="F1662" s="28"/>
      <c r="G1662" s="30"/>
      <c r="H1662" s="21" t="str">
        <f t="shared" si="1"/>
        <v/>
      </c>
      <c r="I1662" s="19"/>
    </row>
    <row r="1663" ht="15.75" customHeight="1">
      <c r="A1663" s="3"/>
      <c r="B1663" s="19"/>
      <c r="C1663" s="19"/>
      <c r="D1663" s="19"/>
      <c r="E1663" s="19"/>
      <c r="F1663" s="28"/>
      <c r="G1663" s="30"/>
      <c r="H1663" s="21" t="str">
        <f t="shared" si="1"/>
        <v/>
      </c>
      <c r="I1663" s="19"/>
    </row>
    <row r="1664" ht="15.75" customHeight="1">
      <c r="A1664" s="3"/>
      <c r="B1664" s="19"/>
      <c r="C1664" s="19"/>
      <c r="D1664" s="19"/>
      <c r="E1664" s="19"/>
      <c r="F1664" s="28"/>
      <c r="G1664" s="30"/>
      <c r="H1664" s="21" t="str">
        <f t="shared" si="1"/>
        <v/>
      </c>
      <c r="I1664" s="19"/>
    </row>
    <row r="1665" ht="15.75" customHeight="1">
      <c r="A1665" s="3"/>
      <c r="B1665" s="19"/>
      <c r="C1665" s="19"/>
      <c r="D1665" s="19"/>
      <c r="E1665" s="19"/>
      <c r="F1665" s="28"/>
      <c r="G1665" s="30"/>
      <c r="H1665" s="21" t="str">
        <f t="shared" si="1"/>
        <v/>
      </c>
      <c r="I1665" s="19"/>
    </row>
    <row r="1666" ht="15.75" customHeight="1">
      <c r="A1666" s="3"/>
      <c r="B1666" s="19"/>
      <c r="C1666" s="19"/>
      <c r="D1666" s="19"/>
      <c r="E1666" s="19"/>
      <c r="F1666" s="28"/>
      <c r="G1666" s="30"/>
      <c r="H1666" s="21" t="str">
        <f t="shared" si="1"/>
        <v/>
      </c>
      <c r="I1666" s="19"/>
    </row>
    <row r="1667" ht="15.75" customHeight="1">
      <c r="A1667" s="3"/>
      <c r="B1667" s="19"/>
      <c r="C1667" s="19"/>
      <c r="D1667" s="19"/>
      <c r="E1667" s="19"/>
      <c r="F1667" s="28"/>
      <c r="G1667" s="30"/>
      <c r="H1667" s="21" t="str">
        <f t="shared" si="1"/>
        <v/>
      </c>
      <c r="I1667" s="19"/>
    </row>
    <row r="1668" ht="15.75" customHeight="1">
      <c r="A1668" s="3"/>
      <c r="B1668" s="19"/>
      <c r="C1668" s="19"/>
      <c r="D1668" s="19"/>
      <c r="E1668" s="19"/>
      <c r="F1668" s="28"/>
      <c r="G1668" s="30"/>
      <c r="H1668" s="21" t="str">
        <f t="shared" si="1"/>
        <v/>
      </c>
      <c r="I1668" s="19"/>
    </row>
    <row r="1669" ht="15.75" customHeight="1">
      <c r="A1669" s="3"/>
      <c r="B1669" s="19"/>
      <c r="C1669" s="19"/>
      <c r="D1669" s="19"/>
      <c r="E1669" s="19"/>
      <c r="F1669" s="28"/>
      <c r="G1669" s="30"/>
      <c r="H1669" s="21" t="str">
        <f t="shared" si="1"/>
        <v/>
      </c>
      <c r="I1669" s="19"/>
    </row>
    <row r="1670" ht="15.75" customHeight="1">
      <c r="A1670" s="3"/>
      <c r="B1670" s="19"/>
      <c r="C1670" s="19"/>
      <c r="D1670" s="19"/>
      <c r="E1670" s="19"/>
      <c r="F1670" s="28"/>
      <c r="G1670" s="30"/>
      <c r="H1670" s="21" t="str">
        <f t="shared" si="1"/>
        <v/>
      </c>
      <c r="I1670" s="19"/>
    </row>
    <row r="1671" ht="15.75" customHeight="1">
      <c r="A1671" s="3"/>
      <c r="B1671" s="19"/>
      <c r="C1671" s="19"/>
      <c r="D1671" s="19"/>
      <c r="E1671" s="19"/>
      <c r="F1671" s="28"/>
      <c r="G1671" s="30"/>
      <c r="H1671" s="21" t="str">
        <f t="shared" si="1"/>
        <v/>
      </c>
      <c r="I1671" s="19"/>
    </row>
    <row r="1672" ht="15.75" customHeight="1">
      <c r="A1672" s="3"/>
      <c r="B1672" s="19"/>
      <c r="C1672" s="19"/>
      <c r="D1672" s="19"/>
      <c r="E1672" s="19"/>
      <c r="F1672" s="28"/>
      <c r="G1672" s="30"/>
      <c r="H1672" s="21" t="str">
        <f t="shared" si="1"/>
        <v/>
      </c>
      <c r="I1672" s="19"/>
    </row>
    <row r="1673" ht="15.75" customHeight="1">
      <c r="A1673" s="3"/>
      <c r="B1673" s="19"/>
      <c r="C1673" s="19"/>
      <c r="D1673" s="19"/>
      <c r="E1673" s="19"/>
      <c r="F1673" s="28"/>
      <c r="G1673" s="30"/>
      <c r="H1673" s="21" t="str">
        <f t="shared" si="1"/>
        <v/>
      </c>
      <c r="I1673" s="19"/>
    </row>
    <row r="1674" ht="15.75" customHeight="1">
      <c r="A1674" s="3"/>
      <c r="B1674" s="19"/>
      <c r="C1674" s="19"/>
      <c r="D1674" s="19"/>
      <c r="E1674" s="19"/>
      <c r="F1674" s="28"/>
      <c r="G1674" s="30"/>
      <c r="H1674" s="21" t="str">
        <f t="shared" si="1"/>
        <v/>
      </c>
      <c r="I1674" s="19"/>
    </row>
    <row r="1675" ht="15.75" customHeight="1">
      <c r="A1675" s="3"/>
      <c r="B1675" s="19"/>
      <c r="C1675" s="19"/>
      <c r="D1675" s="19"/>
      <c r="E1675" s="19"/>
      <c r="F1675" s="28"/>
      <c r="G1675" s="30"/>
      <c r="H1675" s="21" t="str">
        <f t="shared" si="1"/>
        <v/>
      </c>
      <c r="I1675" s="19"/>
    </row>
    <row r="1676" ht="15.75" customHeight="1">
      <c r="A1676" s="3"/>
      <c r="B1676" s="19"/>
      <c r="C1676" s="19"/>
      <c r="D1676" s="19"/>
      <c r="E1676" s="19"/>
      <c r="F1676" s="28"/>
      <c r="G1676" s="30"/>
      <c r="H1676" s="21" t="str">
        <f t="shared" si="1"/>
        <v/>
      </c>
      <c r="I1676" s="19"/>
    </row>
    <row r="1677" ht="15.75" customHeight="1">
      <c r="A1677" s="3"/>
      <c r="B1677" s="19"/>
      <c r="C1677" s="19"/>
      <c r="D1677" s="19"/>
      <c r="E1677" s="19"/>
      <c r="F1677" s="28"/>
      <c r="G1677" s="30"/>
      <c r="H1677" s="21" t="str">
        <f t="shared" si="1"/>
        <v/>
      </c>
      <c r="I1677" s="19"/>
    </row>
    <row r="1678" ht="15.75" customHeight="1">
      <c r="A1678" s="3"/>
      <c r="B1678" s="19"/>
      <c r="C1678" s="19"/>
      <c r="D1678" s="19"/>
      <c r="E1678" s="19"/>
      <c r="F1678" s="28"/>
      <c r="G1678" s="30"/>
      <c r="H1678" s="21" t="str">
        <f t="shared" si="1"/>
        <v/>
      </c>
      <c r="I1678" s="19"/>
    </row>
    <row r="1679" ht="15.75" customHeight="1">
      <c r="A1679" s="3"/>
      <c r="B1679" s="19"/>
      <c r="C1679" s="19"/>
      <c r="D1679" s="19"/>
      <c r="E1679" s="19"/>
      <c r="F1679" s="28"/>
      <c r="G1679" s="30"/>
      <c r="H1679" s="21" t="str">
        <f t="shared" si="1"/>
        <v/>
      </c>
      <c r="I1679" s="19"/>
    </row>
    <row r="1680" ht="15.75" customHeight="1">
      <c r="A1680" s="3"/>
      <c r="B1680" s="19"/>
      <c r="C1680" s="19"/>
      <c r="D1680" s="19"/>
      <c r="E1680" s="19"/>
      <c r="F1680" s="28"/>
      <c r="G1680" s="30"/>
      <c r="H1680" s="21" t="str">
        <f t="shared" si="1"/>
        <v/>
      </c>
      <c r="I1680" s="19"/>
    </row>
    <row r="1681" ht="15.75" customHeight="1">
      <c r="A1681" s="3"/>
      <c r="B1681" s="19"/>
      <c r="C1681" s="19"/>
      <c r="D1681" s="19"/>
      <c r="E1681" s="19"/>
      <c r="F1681" s="28"/>
      <c r="G1681" s="30"/>
      <c r="H1681" s="21" t="str">
        <f t="shared" si="1"/>
        <v/>
      </c>
      <c r="I1681" s="19"/>
    </row>
    <row r="1682" ht="15.75" customHeight="1">
      <c r="A1682" s="3"/>
      <c r="B1682" s="19"/>
      <c r="C1682" s="19"/>
      <c r="D1682" s="19"/>
      <c r="E1682" s="19"/>
      <c r="F1682" s="28"/>
      <c r="G1682" s="30"/>
      <c r="H1682" s="21" t="str">
        <f t="shared" si="1"/>
        <v/>
      </c>
      <c r="I1682" s="19"/>
    </row>
    <row r="1683" ht="15.75" customHeight="1">
      <c r="A1683" s="3"/>
      <c r="B1683" s="19"/>
      <c r="C1683" s="19"/>
      <c r="D1683" s="19"/>
      <c r="E1683" s="19"/>
      <c r="F1683" s="28"/>
      <c r="G1683" s="30"/>
      <c r="H1683" s="21" t="str">
        <f t="shared" si="1"/>
        <v/>
      </c>
      <c r="I1683" s="19"/>
    </row>
    <row r="1684" ht="15.75" customHeight="1">
      <c r="A1684" s="3"/>
      <c r="B1684" s="19"/>
      <c r="C1684" s="19"/>
      <c r="D1684" s="19"/>
      <c r="E1684" s="19"/>
      <c r="F1684" s="28"/>
      <c r="G1684" s="30"/>
      <c r="H1684" s="21" t="str">
        <f t="shared" si="1"/>
        <v/>
      </c>
      <c r="I1684" s="19"/>
    </row>
    <row r="1685" ht="15.75" customHeight="1">
      <c r="A1685" s="3"/>
      <c r="B1685" s="19"/>
      <c r="C1685" s="19"/>
      <c r="D1685" s="19"/>
      <c r="E1685" s="19"/>
      <c r="F1685" s="28"/>
      <c r="G1685" s="30"/>
      <c r="H1685" s="21" t="str">
        <f t="shared" si="1"/>
        <v/>
      </c>
      <c r="I1685" s="19"/>
    </row>
    <row r="1686" ht="15.75" customHeight="1">
      <c r="A1686" s="3"/>
      <c r="B1686" s="19"/>
      <c r="C1686" s="19"/>
      <c r="D1686" s="19"/>
      <c r="E1686" s="19"/>
      <c r="F1686" s="28"/>
      <c r="G1686" s="30"/>
      <c r="H1686" s="21" t="str">
        <f t="shared" si="1"/>
        <v/>
      </c>
      <c r="I1686" s="19"/>
    </row>
    <row r="1687" ht="15.75" customHeight="1">
      <c r="A1687" s="3"/>
      <c r="B1687" s="19"/>
      <c r="C1687" s="19"/>
      <c r="D1687" s="19"/>
      <c r="E1687" s="19"/>
      <c r="F1687" s="28"/>
      <c r="G1687" s="30"/>
      <c r="H1687" s="21" t="str">
        <f t="shared" si="1"/>
        <v/>
      </c>
      <c r="I1687" s="19"/>
    </row>
    <row r="1688" ht="15.75" customHeight="1">
      <c r="A1688" s="3"/>
      <c r="B1688" s="19"/>
      <c r="C1688" s="19"/>
      <c r="D1688" s="19"/>
      <c r="E1688" s="19"/>
      <c r="F1688" s="28"/>
      <c r="G1688" s="30"/>
      <c r="H1688" s="21" t="str">
        <f t="shared" si="1"/>
        <v/>
      </c>
      <c r="I1688" s="19"/>
    </row>
    <row r="1689" ht="15.75" customHeight="1">
      <c r="A1689" s="3"/>
      <c r="B1689" s="19"/>
      <c r="C1689" s="19"/>
      <c r="D1689" s="19"/>
      <c r="E1689" s="19"/>
      <c r="F1689" s="28"/>
      <c r="G1689" s="30"/>
      <c r="H1689" s="21" t="str">
        <f t="shared" si="1"/>
        <v/>
      </c>
      <c r="I1689" s="19"/>
    </row>
    <row r="1690" ht="15.75" customHeight="1">
      <c r="A1690" s="3"/>
      <c r="B1690" s="19"/>
      <c r="C1690" s="19"/>
      <c r="D1690" s="19"/>
      <c r="E1690" s="19"/>
      <c r="F1690" s="28"/>
      <c r="G1690" s="30"/>
      <c r="H1690" s="21" t="str">
        <f t="shared" si="1"/>
        <v/>
      </c>
      <c r="I1690" s="19"/>
    </row>
    <row r="1691" ht="15.75" customHeight="1">
      <c r="A1691" s="3"/>
      <c r="B1691" s="19"/>
      <c r="C1691" s="19"/>
      <c r="D1691" s="19"/>
      <c r="E1691" s="19"/>
      <c r="F1691" s="28"/>
      <c r="G1691" s="30"/>
      <c r="H1691" s="21" t="str">
        <f t="shared" si="1"/>
        <v/>
      </c>
      <c r="I1691" s="19"/>
    </row>
    <row r="1692" ht="15.75" customHeight="1">
      <c r="A1692" s="3"/>
      <c r="B1692" s="19"/>
      <c r="C1692" s="19"/>
      <c r="D1692" s="19"/>
      <c r="E1692" s="19"/>
      <c r="F1692" s="28"/>
      <c r="G1692" s="30"/>
      <c r="H1692" s="21" t="str">
        <f t="shared" si="1"/>
        <v/>
      </c>
      <c r="I1692" s="19"/>
    </row>
    <row r="1693" ht="15.75" customHeight="1">
      <c r="A1693" s="3"/>
      <c r="B1693" s="19"/>
      <c r="C1693" s="19"/>
      <c r="D1693" s="19"/>
      <c r="E1693" s="19"/>
      <c r="F1693" s="28"/>
      <c r="G1693" s="30"/>
      <c r="H1693" s="21" t="str">
        <f t="shared" si="1"/>
        <v/>
      </c>
      <c r="I1693" s="19"/>
    </row>
    <row r="1694" ht="15.75" customHeight="1">
      <c r="A1694" s="3"/>
      <c r="B1694" s="19"/>
      <c r="C1694" s="19"/>
      <c r="D1694" s="19"/>
      <c r="E1694" s="19"/>
      <c r="F1694" s="28"/>
      <c r="G1694" s="30"/>
      <c r="H1694" s="21" t="str">
        <f t="shared" si="1"/>
        <v/>
      </c>
      <c r="I1694" s="19"/>
    </row>
    <row r="1695" ht="15.75" customHeight="1">
      <c r="A1695" s="3"/>
      <c r="B1695" s="19"/>
      <c r="C1695" s="19"/>
      <c r="D1695" s="19"/>
      <c r="E1695" s="19"/>
      <c r="F1695" s="28"/>
      <c r="G1695" s="30"/>
      <c r="H1695" s="21" t="str">
        <f t="shared" si="1"/>
        <v/>
      </c>
      <c r="I1695" s="19"/>
    </row>
    <row r="1696" ht="15.75" customHeight="1">
      <c r="A1696" s="3"/>
      <c r="B1696" s="19"/>
      <c r="C1696" s="19"/>
      <c r="D1696" s="19"/>
      <c r="E1696" s="19"/>
      <c r="F1696" s="28"/>
      <c r="G1696" s="30"/>
      <c r="H1696" s="21" t="str">
        <f t="shared" si="1"/>
        <v/>
      </c>
      <c r="I1696" s="19"/>
    </row>
    <row r="1697" ht="15.75" customHeight="1">
      <c r="A1697" s="3"/>
      <c r="B1697" s="19"/>
      <c r="C1697" s="19"/>
      <c r="D1697" s="19"/>
      <c r="E1697" s="19"/>
      <c r="F1697" s="28"/>
      <c r="G1697" s="30"/>
      <c r="H1697" s="21" t="str">
        <f t="shared" si="1"/>
        <v/>
      </c>
      <c r="I1697" s="19"/>
    </row>
    <row r="1698" ht="15.75" customHeight="1">
      <c r="A1698" s="3"/>
      <c r="B1698" s="19"/>
      <c r="C1698" s="19"/>
      <c r="D1698" s="19"/>
      <c r="E1698" s="19"/>
      <c r="F1698" s="28"/>
      <c r="G1698" s="30"/>
      <c r="H1698" s="21" t="str">
        <f t="shared" si="1"/>
        <v/>
      </c>
      <c r="I1698" s="19"/>
    </row>
    <row r="1699" ht="15.75" customHeight="1">
      <c r="A1699" s="3"/>
      <c r="B1699" s="19"/>
      <c r="C1699" s="19"/>
      <c r="D1699" s="19"/>
      <c r="E1699" s="19"/>
      <c r="F1699" s="28"/>
      <c r="G1699" s="30"/>
      <c r="H1699" s="21" t="str">
        <f t="shared" si="1"/>
        <v/>
      </c>
      <c r="I1699" s="19"/>
    </row>
    <row r="1700" ht="15.75" customHeight="1">
      <c r="A1700" s="3"/>
      <c r="B1700" s="19"/>
      <c r="C1700" s="19"/>
      <c r="D1700" s="19"/>
      <c r="E1700" s="19"/>
      <c r="F1700" s="28"/>
      <c r="G1700" s="30"/>
      <c r="H1700" s="21" t="str">
        <f t="shared" si="1"/>
        <v/>
      </c>
      <c r="I1700" s="19"/>
    </row>
    <row r="1701" ht="15.75" customHeight="1">
      <c r="A1701" s="3"/>
      <c r="B1701" s="19"/>
      <c r="C1701" s="19"/>
      <c r="D1701" s="19"/>
      <c r="E1701" s="19"/>
      <c r="F1701" s="28"/>
      <c r="G1701" s="30"/>
      <c r="H1701" s="21" t="str">
        <f t="shared" si="1"/>
        <v/>
      </c>
      <c r="I1701" s="19"/>
    </row>
    <row r="1702" ht="15.75" customHeight="1">
      <c r="A1702" s="3"/>
      <c r="B1702" s="19"/>
      <c r="C1702" s="19"/>
      <c r="D1702" s="19"/>
      <c r="E1702" s="19"/>
      <c r="F1702" s="28"/>
      <c r="G1702" s="30"/>
      <c r="H1702" s="21" t="str">
        <f t="shared" si="1"/>
        <v/>
      </c>
      <c r="I1702" s="19"/>
    </row>
    <row r="1703" ht="15.75" customHeight="1">
      <c r="A1703" s="3"/>
      <c r="B1703" s="19"/>
      <c r="C1703" s="19"/>
      <c r="D1703" s="19"/>
      <c r="E1703" s="19"/>
      <c r="F1703" s="28"/>
      <c r="G1703" s="30"/>
      <c r="H1703" s="21" t="str">
        <f t="shared" si="1"/>
        <v/>
      </c>
      <c r="I1703" s="19"/>
    </row>
    <row r="1704" ht="15.75" customHeight="1">
      <c r="A1704" s="3"/>
      <c r="B1704" s="19"/>
      <c r="C1704" s="19"/>
      <c r="D1704" s="19"/>
      <c r="E1704" s="19"/>
      <c r="F1704" s="28"/>
      <c r="G1704" s="30"/>
      <c r="H1704" s="21" t="str">
        <f t="shared" si="1"/>
        <v/>
      </c>
      <c r="I1704" s="19"/>
    </row>
    <row r="1705" ht="15.75" customHeight="1">
      <c r="A1705" s="3"/>
      <c r="B1705" s="19"/>
      <c r="C1705" s="19"/>
      <c r="D1705" s="19"/>
      <c r="E1705" s="19"/>
      <c r="F1705" s="28"/>
      <c r="G1705" s="30"/>
      <c r="H1705" s="21" t="str">
        <f t="shared" si="1"/>
        <v/>
      </c>
      <c r="I1705" s="19"/>
    </row>
    <row r="1706" ht="15.75" customHeight="1">
      <c r="A1706" s="3"/>
      <c r="B1706" s="19"/>
      <c r="C1706" s="19"/>
      <c r="D1706" s="19"/>
      <c r="E1706" s="19"/>
      <c r="F1706" s="28"/>
      <c r="G1706" s="30"/>
      <c r="H1706" s="21" t="str">
        <f t="shared" si="1"/>
        <v/>
      </c>
      <c r="I1706" s="19"/>
    </row>
    <row r="1707" ht="15.75" customHeight="1">
      <c r="A1707" s="3"/>
      <c r="B1707" s="19"/>
      <c r="C1707" s="19"/>
      <c r="D1707" s="19"/>
      <c r="E1707" s="19"/>
      <c r="F1707" s="28"/>
      <c r="G1707" s="30"/>
      <c r="H1707" s="21" t="str">
        <f t="shared" si="1"/>
        <v/>
      </c>
      <c r="I1707" s="19"/>
    </row>
    <row r="1708" ht="15.75" customHeight="1">
      <c r="A1708" s="3"/>
      <c r="B1708" s="19"/>
      <c r="C1708" s="19"/>
      <c r="D1708" s="19"/>
      <c r="E1708" s="19"/>
      <c r="F1708" s="28"/>
      <c r="G1708" s="30"/>
      <c r="H1708" s="21" t="str">
        <f t="shared" si="1"/>
        <v/>
      </c>
      <c r="I1708" s="19"/>
    </row>
    <row r="1709" ht="15.75" customHeight="1">
      <c r="A1709" s="3"/>
      <c r="B1709" s="19"/>
      <c r="C1709" s="19"/>
      <c r="D1709" s="19"/>
      <c r="E1709" s="19"/>
      <c r="F1709" s="28"/>
      <c r="G1709" s="30"/>
      <c r="H1709" s="21" t="str">
        <f t="shared" si="1"/>
        <v/>
      </c>
      <c r="I1709" s="19"/>
    </row>
    <row r="1710" ht="15.75" customHeight="1">
      <c r="A1710" s="3"/>
      <c r="B1710" s="19"/>
      <c r="C1710" s="19"/>
      <c r="D1710" s="19"/>
      <c r="E1710" s="19"/>
      <c r="F1710" s="28"/>
      <c r="G1710" s="30"/>
      <c r="H1710" s="21" t="str">
        <f t="shared" si="1"/>
        <v/>
      </c>
      <c r="I1710" s="19"/>
    </row>
    <row r="1711" ht="15.75" customHeight="1">
      <c r="A1711" s="3"/>
      <c r="B1711" s="19"/>
      <c r="C1711" s="19"/>
      <c r="D1711" s="19"/>
      <c r="E1711" s="19"/>
      <c r="F1711" s="28"/>
      <c r="G1711" s="30"/>
      <c r="H1711" s="21" t="str">
        <f t="shared" si="1"/>
        <v/>
      </c>
      <c r="I1711" s="19"/>
    </row>
    <row r="1712" ht="15.75" customHeight="1">
      <c r="A1712" s="3"/>
      <c r="B1712" s="19"/>
      <c r="C1712" s="19"/>
      <c r="D1712" s="19"/>
      <c r="E1712" s="19"/>
      <c r="F1712" s="28"/>
      <c r="G1712" s="30"/>
      <c r="H1712" s="21" t="str">
        <f t="shared" si="1"/>
        <v/>
      </c>
      <c r="I1712" s="19"/>
    </row>
    <row r="1713" ht="15.75" customHeight="1">
      <c r="A1713" s="3"/>
      <c r="B1713" s="19"/>
      <c r="C1713" s="19"/>
      <c r="D1713" s="19"/>
      <c r="E1713" s="19"/>
      <c r="F1713" s="28"/>
      <c r="G1713" s="30"/>
      <c r="H1713" s="21" t="str">
        <f t="shared" si="1"/>
        <v/>
      </c>
      <c r="I1713" s="19"/>
    </row>
    <row r="1714" ht="15.75" customHeight="1">
      <c r="A1714" s="3"/>
      <c r="B1714" s="19"/>
      <c r="C1714" s="19"/>
      <c r="D1714" s="19"/>
      <c r="E1714" s="19"/>
      <c r="F1714" s="28"/>
      <c r="G1714" s="30"/>
      <c r="H1714" s="21" t="str">
        <f t="shared" si="1"/>
        <v/>
      </c>
      <c r="I1714" s="19"/>
    </row>
    <row r="1715" ht="15.75" customHeight="1">
      <c r="A1715" s="3"/>
      <c r="B1715" s="19"/>
      <c r="C1715" s="19"/>
      <c r="D1715" s="19"/>
      <c r="E1715" s="19"/>
      <c r="F1715" s="28"/>
      <c r="G1715" s="30"/>
      <c r="H1715" s="21" t="str">
        <f t="shared" si="1"/>
        <v/>
      </c>
      <c r="I1715" s="19"/>
    </row>
    <row r="1716" ht="15.75" customHeight="1">
      <c r="A1716" s="3"/>
      <c r="B1716" s="19"/>
      <c r="C1716" s="19"/>
      <c r="D1716" s="19"/>
      <c r="E1716" s="19"/>
      <c r="F1716" s="28"/>
      <c r="G1716" s="30"/>
      <c r="H1716" s="21" t="str">
        <f t="shared" si="1"/>
        <v/>
      </c>
      <c r="I1716" s="19"/>
    </row>
    <row r="1717" ht="15.75" customHeight="1">
      <c r="A1717" s="3"/>
      <c r="B1717" s="19"/>
      <c r="C1717" s="19"/>
      <c r="D1717" s="19"/>
      <c r="E1717" s="19"/>
      <c r="F1717" s="28"/>
      <c r="G1717" s="30"/>
      <c r="H1717" s="21" t="str">
        <f t="shared" si="1"/>
        <v/>
      </c>
      <c r="I1717" s="19"/>
    </row>
    <row r="1718" ht="15.75" customHeight="1">
      <c r="A1718" s="3"/>
      <c r="B1718" s="19"/>
      <c r="C1718" s="19"/>
      <c r="D1718" s="19"/>
      <c r="E1718" s="19"/>
      <c r="F1718" s="28"/>
      <c r="G1718" s="30"/>
      <c r="H1718" s="21" t="str">
        <f t="shared" si="1"/>
        <v/>
      </c>
      <c r="I1718" s="19"/>
    </row>
    <row r="1719" ht="15.75" customHeight="1">
      <c r="A1719" s="3"/>
      <c r="B1719" s="19"/>
      <c r="C1719" s="19"/>
      <c r="D1719" s="19"/>
      <c r="E1719" s="19"/>
      <c r="F1719" s="28"/>
      <c r="G1719" s="30"/>
      <c r="H1719" s="21" t="str">
        <f t="shared" si="1"/>
        <v/>
      </c>
      <c r="I1719" s="19"/>
    </row>
    <row r="1720" ht="15.75" customHeight="1">
      <c r="A1720" s="3"/>
      <c r="B1720" s="19"/>
      <c r="C1720" s="19"/>
      <c r="D1720" s="19"/>
      <c r="E1720" s="19"/>
      <c r="F1720" s="28"/>
      <c r="G1720" s="30"/>
      <c r="H1720" s="21" t="str">
        <f t="shared" si="1"/>
        <v/>
      </c>
      <c r="I1720" s="19"/>
    </row>
    <row r="1721" ht="15.75" customHeight="1">
      <c r="A1721" s="3"/>
      <c r="B1721" s="19"/>
      <c r="C1721" s="19"/>
      <c r="D1721" s="19"/>
      <c r="E1721" s="19"/>
      <c r="F1721" s="28"/>
      <c r="G1721" s="30"/>
      <c r="H1721" s="21" t="str">
        <f t="shared" si="1"/>
        <v/>
      </c>
      <c r="I1721" s="19"/>
    </row>
    <row r="1722" ht="15.75" customHeight="1">
      <c r="A1722" s="3"/>
      <c r="B1722" s="19"/>
      <c r="C1722" s="19"/>
      <c r="D1722" s="19"/>
      <c r="E1722" s="19"/>
      <c r="F1722" s="28"/>
      <c r="G1722" s="30"/>
      <c r="H1722" s="21" t="str">
        <f t="shared" si="1"/>
        <v/>
      </c>
      <c r="I1722" s="19"/>
    </row>
    <row r="1723" ht="15.75" customHeight="1">
      <c r="A1723" s="3"/>
      <c r="B1723" s="19"/>
      <c r="C1723" s="19"/>
      <c r="D1723" s="19"/>
      <c r="E1723" s="19"/>
      <c r="F1723" s="28"/>
      <c r="G1723" s="30"/>
      <c r="H1723" s="21" t="str">
        <f t="shared" si="1"/>
        <v/>
      </c>
      <c r="I1723" s="19"/>
    </row>
    <row r="1724" ht="15.75" customHeight="1">
      <c r="A1724" s="3"/>
      <c r="B1724" s="19"/>
      <c r="C1724" s="19"/>
      <c r="D1724" s="19"/>
      <c r="E1724" s="19"/>
      <c r="F1724" s="28"/>
      <c r="G1724" s="30"/>
      <c r="H1724" s="21" t="str">
        <f t="shared" si="1"/>
        <v/>
      </c>
      <c r="I1724" s="19"/>
    </row>
    <row r="1725" ht="15.75" customHeight="1">
      <c r="A1725" s="3"/>
      <c r="B1725" s="19"/>
      <c r="C1725" s="19"/>
      <c r="D1725" s="19"/>
      <c r="E1725" s="19"/>
      <c r="F1725" s="28"/>
      <c r="G1725" s="30"/>
      <c r="H1725" s="21" t="str">
        <f t="shared" si="1"/>
        <v/>
      </c>
      <c r="I1725" s="19"/>
    </row>
    <row r="1726" ht="15.75" customHeight="1">
      <c r="A1726" s="3"/>
      <c r="B1726" s="19"/>
      <c r="C1726" s="19"/>
      <c r="D1726" s="19"/>
      <c r="E1726" s="19"/>
      <c r="F1726" s="28"/>
      <c r="G1726" s="30"/>
      <c r="H1726" s="21" t="str">
        <f t="shared" si="1"/>
        <v/>
      </c>
      <c r="I1726" s="19"/>
    </row>
    <row r="1727" ht="15.75" customHeight="1">
      <c r="A1727" s="3"/>
      <c r="B1727" s="19"/>
      <c r="C1727" s="19"/>
      <c r="D1727" s="19"/>
      <c r="E1727" s="19"/>
      <c r="F1727" s="28"/>
      <c r="G1727" s="30"/>
      <c r="H1727" s="21" t="str">
        <f t="shared" si="1"/>
        <v/>
      </c>
      <c r="I1727" s="19"/>
    </row>
    <row r="1728" ht="15.75" customHeight="1">
      <c r="A1728" s="3"/>
      <c r="B1728" s="19"/>
      <c r="C1728" s="19"/>
      <c r="D1728" s="19"/>
      <c r="E1728" s="19"/>
      <c r="F1728" s="28"/>
      <c r="G1728" s="30"/>
      <c r="H1728" s="21" t="str">
        <f t="shared" si="1"/>
        <v/>
      </c>
      <c r="I1728" s="19"/>
    </row>
    <row r="1729" ht="15.75" customHeight="1">
      <c r="A1729" s="3"/>
      <c r="B1729" s="19"/>
      <c r="C1729" s="19"/>
      <c r="D1729" s="19"/>
      <c r="E1729" s="19"/>
      <c r="F1729" s="28"/>
      <c r="G1729" s="30"/>
      <c r="H1729" s="21" t="str">
        <f t="shared" si="1"/>
        <v/>
      </c>
      <c r="I1729" s="19"/>
    </row>
    <row r="1730" ht="15.75" customHeight="1">
      <c r="A1730" s="3"/>
      <c r="B1730" s="19"/>
      <c r="C1730" s="19"/>
      <c r="D1730" s="19"/>
      <c r="E1730" s="19"/>
      <c r="F1730" s="28"/>
      <c r="G1730" s="30"/>
      <c r="H1730" s="21" t="str">
        <f t="shared" si="1"/>
        <v/>
      </c>
      <c r="I1730" s="19"/>
    </row>
    <row r="1731" ht="15.75" customHeight="1">
      <c r="A1731" s="3"/>
      <c r="B1731" s="19"/>
      <c r="C1731" s="19"/>
      <c r="D1731" s="19"/>
      <c r="E1731" s="19"/>
      <c r="F1731" s="28"/>
      <c r="G1731" s="30"/>
      <c r="H1731" s="21" t="str">
        <f t="shared" si="1"/>
        <v/>
      </c>
      <c r="I1731" s="19"/>
    </row>
    <row r="1732" ht="15.75" customHeight="1">
      <c r="A1732" s="3"/>
      <c r="B1732" s="19"/>
      <c r="C1732" s="19"/>
      <c r="D1732" s="19"/>
      <c r="E1732" s="19"/>
      <c r="F1732" s="28"/>
      <c r="G1732" s="30"/>
      <c r="H1732" s="21" t="str">
        <f t="shared" si="1"/>
        <v/>
      </c>
      <c r="I1732" s="19"/>
    </row>
    <row r="1733" ht="15.75" customHeight="1">
      <c r="A1733" s="3"/>
      <c r="B1733" s="19"/>
      <c r="C1733" s="19"/>
      <c r="D1733" s="19"/>
      <c r="E1733" s="19"/>
      <c r="F1733" s="28"/>
      <c r="G1733" s="30"/>
      <c r="H1733" s="21" t="str">
        <f t="shared" si="1"/>
        <v/>
      </c>
      <c r="I1733" s="19"/>
    </row>
    <row r="1734" ht="15.75" customHeight="1">
      <c r="A1734" s="3"/>
      <c r="B1734" s="19"/>
      <c r="C1734" s="19"/>
      <c r="D1734" s="19"/>
      <c r="E1734" s="19"/>
      <c r="F1734" s="28"/>
      <c r="G1734" s="30"/>
      <c r="H1734" s="21" t="str">
        <f t="shared" si="1"/>
        <v/>
      </c>
      <c r="I1734" s="19"/>
    </row>
    <row r="1735" ht="15.75" customHeight="1">
      <c r="A1735" s="3"/>
      <c r="B1735" s="19"/>
      <c r="C1735" s="19"/>
      <c r="D1735" s="19"/>
      <c r="E1735" s="19"/>
      <c r="F1735" s="28"/>
      <c r="G1735" s="30"/>
      <c r="H1735" s="21" t="str">
        <f t="shared" si="1"/>
        <v/>
      </c>
      <c r="I1735" s="19"/>
    </row>
    <row r="1736" ht="15.75" customHeight="1">
      <c r="A1736" s="3"/>
      <c r="B1736" s="19"/>
      <c r="C1736" s="19"/>
      <c r="D1736" s="19"/>
      <c r="E1736" s="19"/>
      <c r="F1736" s="28"/>
      <c r="G1736" s="30"/>
      <c r="H1736" s="21" t="str">
        <f t="shared" si="1"/>
        <v/>
      </c>
      <c r="I1736" s="19"/>
    </row>
    <row r="1737" ht="15.75" customHeight="1">
      <c r="A1737" s="3"/>
      <c r="B1737" s="19"/>
      <c r="C1737" s="19"/>
      <c r="D1737" s="19"/>
      <c r="E1737" s="19"/>
      <c r="F1737" s="28"/>
      <c r="G1737" s="30"/>
      <c r="H1737" s="21" t="str">
        <f t="shared" si="1"/>
        <v/>
      </c>
      <c r="I1737" s="19"/>
    </row>
    <row r="1738" ht="15.75" customHeight="1">
      <c r="A1738" s="3"/>
      <c r="B1738" s="19"/>
      <c r="C1738" s="19"/>
      <c r="D1738" s="19"/>
      <c r="E1738" s="19"/>
      <c r="F1738" s="28"/>
      <c r="G1738" s="30"/>
      <c r="H1738" s="21" t="str">
        <f t="shared" si="1"/>
        <v/>
      </c>
      <c r="I1738" s="19"/>
    </row>
    <row r="1739" ht="15.75" customHeight="1">
      <c r="A1739" s="3"/>
      <c r="B1739" s="19"/>
      <c r="C1739" s="19"/>
      <c r="D1739" s="19"/>
      <c r="E1739" s="19"/>
      <c r="F1739" s="28"/>
      <c r="G1739" s="30"/>
      <c r="H1739" s="21" t="str">
        <f t="shared" si="1"/>
        <v/>
      </c>
      <c r="I1739" s="19"/>
    </row>
    <row r="1740" ht="15.75" customHeight="1">
      <c r="A1740" s="3"/>
      <c r="B1740" s="19"/>
      <c r="C1740" s="19"/>
      <c r="D1740" s="19"/>
      <c r="E1740" s="19"/>
      <c r="F1740" s="28"/>
      <c r="G1740" s="30"/>
      <c r="H1740" s="21" t="str">
        <f t="shared" si="1"/>
        <v/>
      </c>
      <c r="I1740" s="19"/>
    </row>
    <row r="1741" ht="15.75" customHeight="1">
      <c r="A1741" s="3"/>
      <c r="B1741" s="19"/>
      <c r="C1741" s="19"/>
      <c r="D1741" s="19"/>
      <c r="E1741" s="19"/>
      <c r="F1741" s="28"/>
      <c r="G1741" s="30"/>
      <c r="H1741" s="21" t="str">
        <f t="shared" si="1"/>
        <v/>
      </c>
      <c r="I1741" s="19"/>
    </row>
    <row r="1742" ht="15.75" customHeight="1">
      <c r="A1742" s="3"/>
      <c r="B1742" s="19"/>
      <c r="C1742" s="19"/>
      <c r="D1742" s="19"/>
      <c r="E1742" s="19"/>
      <c r="F1742" s="28"/>
      <c r="G1742" s="30"/>
      <c r="H1742" s="21" t="str">
        <f t="shared" si="1"/>
        <v/>
      </c>
      <c r="I1742" s="19"/>
    </row>
    <row r="1743" ht="15.75" customHeight="1">
      <c r="A1743" s="3"/>
      <c r="B1743" s="19"/>
      <c r="C1743" s="19"/>
      <c r="D1743" s="19"/>
      <c r="E1743" s="19"/>
      <c r="F1743" s="28"/>
      <c r="G1743" s="30"/>
      <c r="H1743" s="21" t="str">
        <f t="shared" si="1"/>
        <v/>
      </c>
      <c r="I1743" s="19"/>
    </row>
    <row r="1744" ht="15.75" customHeight="1">
      <c r="A1744" s="3"/>
      <c r="B1744" s="19"/>
      <c r="C1744" s="19"/>
      <c r="D1744" s="19"/>
      <c r="E1744" s="19"/>
      <c r="F1744" s="28"/>
      <c r="G1744" s="30"/>
      <c r="H1744" s="21" t="str">
        <f t="shared" si="1"/>
        <v/>
      </c>
      <c r="I1744" s="19"/>
    </row>
    <row r="1745" ht="15.75" customHeight="1">
      <c r="A1745" s="3"/>
      <c r="B1745" s="19"/>
      <c r="C1745" s="19"/>
      <c r="D1745" s="19"/>
      <c r="E1745" s="19"/>
      <c r="F1745" s="28"/>
      <c r="G1745" s="30"/>
      <c r="H1745" s="21" t="str">
        <f t="shared" si="1"/>
        <v/>
      </c>
      <c r="I1745" s="19"/>
    </row>
    <row r="1746" ht="15.75" customHeight="1">
      <c r="A1746" s="3"/>
      <c r="B1746" s="19"/>
      <c r="C1746" s="19"/>
      <c r="D1746" s="19"/>
      <c r="E1746" s="19"/>
      <c r="F1746" s="28"/>
      <c r="G1746" s="30"/>
      <c r="H1746" s="21" t="str">
        <f t="shared" si="1"/>
        <v/>
      </c>
      <c r="I1746" s="19"/>
    </row>
    <row r="1747" ht="15.75" customHeight="1">
      <c r="A1747" s="3"/>
      <c r="B1747" s="19"/>
      <c r="C1747" s="19"/>
      <c r="D1747" s="19"/>
      <c r="E1747" s="19"/>
      <c r="F1747" s="28"/>
      <c r="G1747" s="30"/>
      <c r="H1747" s="21" t="str">
        <f t="shared" si="1"/>
        <v/>
      </c>
      <c r="I1747" s="19"/>
    </row>
    <row r="1748" ht="15.75" customHeight="1">
      <c r="A1748" s="3"/>
      <c r="B1748" s="19"/>
      <c r="C1748" s="19"/>
      <c r="D1748" s="19"/>
      <c r="E1748" s="19"/>
      <c r="F1748" s="28"/>
      <c r="G1748" s="30"/>
      <c r="H1748" s="21" t="str">
        <f t="shared" si="1"/>
        <v/>
      </c>
      <c r="I1748" s="19"/>
    </row>
    <row r="1749" ht="15.75" customHeight="1">
      <c r="A1749" s="3"/>
      <c r="B1749" s="19"/>
      <c r="C1749" s="19"/>
      <c r="D1749" s="19"/>
      <c r="E1749" s="19"/>
      <c r="F1749" s="28"/>
      <c r="G1749" s="30"/>
      <c r="H1749" s="21" t="str">
        <f t="shared" si="1"/>
        <v/>
      </c>
      <c r="I1749" s="19"/>
    </row>
    <row r="1750" ht="15.75" customHeight="1">
      <c r="A1750" s="3"/>
      <c r="B1750" s="19"/>
      <c r="C1750" s="19"/>
      <c r="D1750" s="19"/>
      <c r="E1750" s="19"/>
      <c r="F1750" s="28"/>
      <c r="G1750" s="30"/>
      <c r="H1750" s="21" t="str">
        <f t="shared" si="1"/>
        <v/>
      </c>
      <c r="I1750" s="19"/>
    </row>
    <row r="1751" ht="15.75" customHeight="1">
      <c r="A1751" s="3"/>
      <c r="B1751" s="19"/>
      <c r="C1751" s="19"/>
      <c r="D1751" s="19"/>
      <c r="E1751" s="19"/>
      <c r="F1751" s="28"/>
      <c r="G1751" s="30"/>
      <c r="H1751" s="21" t="str">
        <f t="shared" si="1"/>
        <v/>
      </c>
      <c r="I1751" s="19"/>
    </row>
    <row r="1752" ht="15.75" customHeight="1">
      <c r="A1752" s="3"/>
      <c r="B1752" s="19"/>
      <c r="C1752" s="19"/>
      <c r="D1752" s="19"/>
      <c r="E1752" s="19"/>
      <c r="F1752" s="28"/>
      <c r="G1752" s="30"/>
      <c r="H1752" s="21" t="str">
        <f t="shared" si="1"/>
        <v/>
      </c>
      <c r="I1752" s="19"/>
    </row>
    <row r="1753" ht="15.75" customHeight="1">
      <c r="A1753" s="3"/>
      <c r="B1753" s="19"/>
      <c r="C1753" s="19"/>
      <c r="D1753" s="19"/>
      <c r="E1753" s="19"/>
      <c r="F1753" s="28"/>
      <c r="G1753" s="30"/>
      <c r="H1753" s="21" t="str">
        <f t="shared" si="1"/>
        <v/>
      </c>
      <c r="I1753" s="19"/>
    </row>
    <row r="1754" ht="15.75" customHeight="1">
      <c r="A1754" s="3"/>
      <c r="B1754" s="19"/>
      <c r="C1754" s="19"/>
      <c r="D1754" s="19"/>
      <c r="E1754" s="19"/>
      <c r="F1754" s="28"/>
      <c r="G1754" s="30"/>
      <c r="H1754" s="21" t="str">
        <f t="shared" si="1"/>
        <v/>
      </c>
      <c r="I1754" s="19"/>
    </row>
    <row r="1755" ht="15.75" customHeight="1">
      <c r="A1755" s="3"/>
      <c r="B1755" s="19"/>
      <c r="C1755" s="19"/>
      <c r="D1755" s="19"/>
      <c r="E1755" s="19"/>
      <c r="F1755" s="28"/>
      <c r="G1755" s="30"/>
      <c r="H1755" s="21" t="str">
        <f t="shared" si="1"/>
        <v/>
      </c>
      <c r="I1755" s="19"/>
    </row>
    <row r="1756" ht="15.75" customHeight="1">
      <c r="A1756" s="3"/>
      <c r="B1756" s="19"/>
      <c r="C1756" s="19"/>
      <c r="D1756" s="19"/>
      <c r="E1756" s="19"/>
      <c r="F1756" s="28"/>
      <c r="G1756" s="30"/>
      <c r="H1756" s="21" t="str">
        <f t="shared" si="1"/>
        <v/>
      </c>
      <c r="I1756" s="19"/>
    </row>
    <row r="1757" ht="15.75" customHeight="1">
      <c r="A1757" s="3"/>
      <c r="B1757" s="19"/>
      <c r="C1757" s="19"/>
      <c r="D1757" s="19"/>
      <c r="E1757" s="19"/>
      <c r="F1757" s="28"/>
      <c r="G1757" s="30"/>
      <c r="H1757" s="21" t="str">
        <f t="shared" si="1"/>
        <v/>
      </c>
      <c r="I1757" s="19"/>
    </row>
    <row r="1758" ht="15.75" customHeight="1">
      <c r="A1758" s="3"/>
      <c r="B1758" s="19"/>
      <c r="C1758" s="19"/>
      <c r="D1758" s="19"/>
      <c r="E1758" s="19"/>
      <c r="F1758" s="28"/>
      <c r="G1758" s="30"/>
      <c r="H1758" s="21" t="str">
        <f t="shared" si="1"/>
        <v/>
      </c>
      <c r="I1758" s="19"/>
    </row>
    <row r="1759" ht="15.75" customHeight="1">
      <c r="A1759" s="3"/>
      <c r="B1759" s="19"/>
      <c r="C1759" s="19"/>
      <c r="D1759" s="19"/>
      <c r="E1759" s="19"/>
      <c r="F1759" s="28"/>
      <c r="G1759" s="30"/>
      <c r="H1759" s="21" t="str">
        <f t="shared" si="1"/>
        <v/>
      </c>
      <c r="I1759" s="19"/>
    </row>
    <row r="1760" ht="15.75" customHeight="1">
      <c r="A1760" s="3"/>
      <c r="B1760" s="19"/>
      <c r="C1760" s="19"/>
      <c r="D1760" s="19"/>
      <c r="E1760" s="19"/>
      <c r="F1760" s="28"/>
      <c r="G1760" s="30"/>
      <c r="H1760" s="21" t="str">
        <f t="shared" si="1"/>
        <v/>
      </c>
      <c r="I1760" s="19"/>
    </row>
    <row r="1761" ht="15.75" customHeight="1">
      <c r="A1761" s="3"/>
      <c r="B1761" s="19"/>
      <c r="C1761" s="19"/>
      <c r="D1761" s="19"/>
      <c r="E1761" s="19"/>
      <c r="F1761" s="28"/>
      <c r="G1761" s="30"/>
      <c r="H1761" s="21" t="str">
        <f t="shared" si="1"/>
        <v/>
      </c>
      <c r="I1761" s="19"/>
    </row>
    <row r="1762" ht="15.75" customHeight="1">
      <c r="A1762" s="3"/>
      <c r="B1762" s="19"/>
      <c r="C1762" s="19"/>
      <c r="D1762" s="19"/>
      <c r="E1762" s="19"/>
      <c r="F1762" s="28"/>
      <c r="G1762" s="30"/>
      <c r="H1762" s="21" t="str">
        <f t="shared" si="1"/>
        <v/>
      </c>
      <c r="I1762" s="19"/>
    </row>
    <row r="1763" ht="15.75" customHeight="1">
      <c r="A1763" s="3"/>
      <c r="B1763" s="19"/>
      <c r="C1763" s="19"/>
      <c r="D1763" s="19"/>
      <c r="E1763" s="19"/>
      <c r="F1763" s="28"/>
      <c r="G1763" s="30"/>
      <c r="H1763" s="21" t="str">
        <f t="shared" si="1"/>
        <v/>
      </c>
      <c r="I1763" s="19"/>
    </row>
    <row r="1764" ht="15.75" customHeight="1">
      <c r="A1764" s="3"/>
      <c r="B1764" s="19"/>
      <c r="C1764" s="19"/>
      <c r="D1764" s="19"/>
      <c r="E1764" s="19"/>
      <c r="F1764" s="28"/>
      <c r="G1764" s="30"/>
      <c r="H1764" s="21" t="str">
        <f t="shared" si="1"/>
        <v/>
      </c>
      <c r="I1764" s="19"/>
    </row>
    <row r="1765" ht="15.75" customHeight="1">
      <c r="A1765" s="3"/>
      <c r="B1765" s="19"/>
      <c r="C1765" s="19"/>
      <c r="D1765" s="19"/>
      <c r="E1765" s="19"/>
      <c r="F1765" s="28"/>
      <c r="G1765" s="30"/>
      <c r="H1765" s="21" t="str">
        <f t="shared" si="1"/>
        <v/>
      </c>
      <c r="I1765" s="19"/>
    </row>
    <row r="1766" ht="15.75" customHeight="1">
      <c r="A1766" s="3"/>
      <c r="B1766" s="19"/>
      <c r="C1766" s="19"/>
      <c r="D1766" s="19"/>
      <c r="E1766" s="19"/>
      <c r="F1766" s="28"/>
      <c r="G1766" s="30"/>
      <c r="H1766" s="21" t="str">
        <f t="shared" si="1"/>
        <v/>
      </c>
      <c r="I1766" s="19"/>
    </row>
    <row r="1767" ht="15.75" customHeight="1">
      <c r="A1767" s="3"/>
      <c r="B1767" s="19"/>
      <c r="C1767" s="19"/>
      <c r="D1767" s="19"/>
      <c r="E1767" s="19"/>
      <c r="F1767" s="28"/>
      <c r="G1767" s="30"/>
      <c r="H1767" s="21" t="str">
        <f t="shared" si="1"/>
        <v/>
      </c>
      <c r="I1767" s="19"/>
    </row>
    <row r="1768" ht="15.75" customHeight="1">
      <c r="A1768" s="3"/>
      <c r="B1768" s="19"/>
      <c r="C1768" s="19"/>
      <c r="D1768" s="19"/>
      <c r="E1768" s="19"/>
      <c r="F1768" s="28"/>
      <c r="G1768" s="30"/>
      <c r="H1768" s="21" t="str">
        <f t="shared" si="1"/>
        <v/>
      </c>
      <c r="I1768" s="19"/>
    </row>
    <row r="1769" ht="15.75" customHeight="1">
      <c r="A1769" s="3"/>
      <c r="B1769" s="19"/>
      <c r="C1769" s="19"/>
      <c r="D1769" s="19"/>
      <c r="E1769" s="19"/>
      <c r="F1769" s="28"/>
      <c r="G1769" s="30"/>
      <c r="H1769" s="21" t="str">
        <f t="shared" si="1"/>
        <v/>
      </c>
      <c r="I1769" s="19"/>
    </row>
    <row r="1770" ht="15.75" customHeight="1">
      <c r="A1770" s="3"/>
      <c r="B1770" s="19"/>
      <c r="C1770" s="19"/>
      <c r="D1770" s="19"/>
      <c r="E1770" s="19"/>
      <c r="F1770" s="28"/>
      <c r="G1770" s="30"/>
      <c r="H1770" s="21" t="str">
        <f t="shared" si="1"/>
        <v/>
      </c>
      <c r="I1770" s="19"/>
    </row>
    <row r="1771" ht="15.75" customHeight="1">
      <c r="A1771" s="3"/>
      <c r="B1771" s="19"/>
      <c r="C1771" s="19"/>
      <c r="D1771" s="19"/>
      <c r="E1771" s="19"/>
      <c r="F1771" s="28"/>
      <c r="G1771" s="30"/>
      <c r="H1771" s="21" t="str">
        <f t="shared" si="1"/>
        <v/>
      </c>
      <c r="I1771" s="19"/>
    </row>
    <row r="1772" ht="15.75" customHeight="1">
      <c r="A1772" s="3"/>
      <c r="B1772" s="19"/>
      <c r="C1772" s="19"/>
      <c r="D1772" s="19"/>
      <c r="E1772" s="19"/>
      <c r="F1772" s="28"/>
      <c r="G1772" s="30"/>
      <c r="H1772" s="21" t="str">
        <f t="shared" si="1"/>
        <v/>
      </c>
      <c r="I1772" s="19"/>
    </row>
    <row r="1773" ht="15.75" customHeight="1">
      <c r="A1773" s="3"/>
      <c r="B1773" s="19"/>
      <c r="C1773" s="19"/>
      <c r="D1773" s="19"/>
      <c r="E1773" s="19"/>
      <c r="F1773" s="28"/>
      <c r="G1773" s="30"/>
      <c r="H1773" s="21" t="str">
        <f t="shared" si="1"/>
        <v/>
      </c>
      <c r="I1773" s="19"/>
    </row>
    <row r="1774" ht="15.75" customHeight="1">
      <c r="A1774" s="3"/>
      <c r="B1774" s="19"/>
      <c r="C1774" s="19"/>
      <c r="D1774" s="19"/>
      <c r="E1774" s="19"/>
      <c r="F1774" s="28"/>
      <c r="G1774" s="30"/>
      <c r="H1774" s="21" t="str">
        <f t="shared" si="1"/>
        <v/>
      </c>
      <c r="I1774" s="19"/>
    </row>
    <row r="1775" ht="15.75" customHeight="1">
      <c r="A1775" s="3"/>
      <c r="B1775" s="19"/>
      <c r="C1775" s="19"/>
      <c r="D1775" s="19"/>
      <c r="E1775" s="19"/>
      <c r="F1775" s="28"/>
      <c r="G1775" s="30"/>
      <c r="H1775" s="21" t="str">
        <f t="shared" si="1"/>
        <v/>
      </c>
      <c r="I1775" s="19"/>
    </row>
    <row r="1776" ht="15.75" customHeight="1">
      <c r="A1776" s="3"/>
      <c r="B1776" s="19"/>
      <c r="C1776" s="19"/>
      <c r="D1776" s="19"/>
      <c r="E1776" s="19"/>
      <c r="F1776" s="28"/>
      <c r="G1776" s="30"/>
      <c r="H1776" s="21" t="str">
        <f t="shared" si="1"/>
        <v/>
      </c>
      <c r="I1776" s="19"/>
    </row>
    <row r="1777" ht="15.75" customHeight="1">
      <c r="A1777" s="3"/>
      <c r="B1777" s="19"/>
      <c r="C1777" s="19"/>
      <c r="D1777" s="19"/>
      <c r="E1777" s="19"/>
      <c r="F1777" s="28"/>
      <c r="G1777" s="30"/>
      <c r="H1777" s="21" t="str">
        <f t="shared" si="1"/>
        <v/>
      </c>
      <c r="I1777" s="19"/>
    </row>
    <row r="1778" ht="15.75" customHeight="1">
      <c r="A1778" s="3"/>
      <c r="B1778" s="19"/>
      <c r="C1778" s="19"/>
      <c r="D1778" s="19"/>
      <c r="E1778" s="19"/>
      <c r="F1778" s="28"/>
      <c r="G1778" s="30"/>
      <c r="H1778" s="21" t="str">
        <f t="shared" si="1"/>
        <v/>
      </c>
      <c r="I1778" s="19"/>
    </row>
    <row r="1779" ht="15.75" customHeight="1">
      <c r="A1779" s="3"/>
      <c r="B1779" s="19"/>
      <c r="C1779" s="19"/>
      <c r="D1779" s="19"/>
      <c r="E1779" s="19"/>
      <c r="F1779" s="28"/>
      <c r="G1779" s="30"/>
      <c r="H1779" s="21" t="str">
        <f t="shared" si="1"/>
        <v/>
      </c>
      <c r="I1779" s="19"/>
    </row>
    <row r="1780" ht="15.75" customHeight="1">
      <c r="A1780" s="3"/>
      <c r="B1780" s="19"/>
      <c r="C1780" s="19"/>
      <c r="D1780" s="19"/>
      <c r="E1780" s="19"/>
      <c r="F1780" s="28"/>
      <c r="G1780" s="30"/>
      <c r="H1780" s="21" t="str">
        <f t="shared" si="1"/>
        <v/>
      </c>
      <c r="I1780" s="19"/>
    </row>
    <row r="1781" ht="15.75" customHeight="1">
      <c r="A1781" s="3"/>
      <c r="B1781" s="19"/>
      <c r="C1781" s="19"/>
      <c r="D1781" s="19"/>
      <c r="E1781" s="19"/>
      <c r="F1781" s="28"/>
      <c r="G1781" s="30"/>
      <c r="H1781" s="21" t="str">
        <f t="shared" si="1"/>
        <v/>
      </c>
      <c r="I1781" s="19"/>
    </row>
    <row r="1782" ht="15.75" customHeight="1">
      <c r="A1782" s="3"/>
      <c r="B1782" s="19"/>
      <c r="C1782" s="19"/>
      <c r="D1782" s="19"/>
      <c r="E1782" s="19"/>
      <c r="F1782" s="28"/>
      <c r="G1782" s="30"/>
      <c r="H1782" s="21" t="str">
        <f t="shared" si="1"/>
        <v/>
      </c>
      <c r="I1782" s="19"/>
    </row>
    <row r="1783" ht="15.75" customHeight="1">
      <c r="A1783" s="3"/>
      <c r="B1783" s="19"/>
      <c r="C1783" s="19"/>
      <c r="D1783" s="19"/>
      <c r="E1783" s="19"/>
      <c r="F1783" s="28"/>
      <c r="G1783" s="30"/>
      <c r="H1783" s="21" t="str">
        <f t="shared" si="1"/>
        <v/>
      </c>
      <c r="I1783" s="19"/>
    </row>
    <row r="1784" ht="15.75" customHeight="1">
      <c r="A1784" s="3"/>
      <c r="B1784" s="19"/>
      <c r="C1784" s="19"/>
      <c r="D1784" s="19"/>
      <c r="E1784" s="19"/>
      <c r="F1784" s="28"/>
      <c r="G1784" s="30"/>
      <c r="H1784" s="21" t="str">
        <f t="shared" si="1"/>
        <v/>
      </c>
      <c r="I1784" s="19"/>
    </row>
    <row r="1785" ht="15.75" customHeight="1">
      <c r="A1785" s="3"/>
      <c r="B1785" s="19"/>
      <c r="C1785" s="19"/>
      <c r="D1785" s="19"/>
      <c r="E1785" s="19"/>
      <c r="F1785" s="28"/>
      <c r="G1785" s="30"/>
      <c r="H1785" s="21" t="str">
        <f t="shared" si="1"/>
        <v/>
      </c>
      <c r="I1785" s="19"/>
    </row>
    <row r="1786" ht="15.75" customHeight="1">
      <c r="A1786" s="3"/>
      <c r="B1786" s="19"/>
      <c r="C1786" s="19"/>
      <c r="D1786" s="19"/>
      <c r="E1786" s="19"/>
      <c r="F1786" s="28"/>
      <c r="G1786" s="30"/>
      <c r="H1786" s="21" t="str">
        <f t="shared" si="1"/>
        <v/>
      </c>
      <c r="I1786" s="19"/>
    </row>
    <row r="1787" ht="15.75" customHeight="1">
      <c r="A1787" s="3"/>
      <c r="B1787" s="19"/>
      <c r="C1787" s="19"/>
      <c r="D1787" s="19"/>
      <c r="E1787" s="19"/>
      <c r="F1787" s="28"/>
      <c r="G1787" s="30"/>
      <c r="H1787" s="21" t="str">
        <f t="shared" si="1"/>
        <v/>
      </c>
      <c r="I1787" s="19"/>
    </row>
    <row r="1788" ht="15.75" customHeight="1">
      <c r="A1788" s="3"/>
      <c r="B1788" s="19"/>
      <c r="C1788" s="19"/>
      <c r="D1788" s="19"/>
      <c r="E1788" s="19"/>
      <c r="F1788" s="28"/>
      <c r="G1788" s="30"/>
      <c r="H1788" s="21" t="str">
        <f t="shared" si="1"/>
        <v/>
      </c>
      <c r="I1788" s="19"/>
    </row>
    <row r="1789" ht="15.75" customHeight="1">
      <c r="A1789" s="3"/>
      <c r="B1789" s="19"/>
      <c r="C1789" s="19"/>
      <c r="D1789" s="19"/>
      <c r="E1789" s="19"/>
      <c r="F1789" s="28"/>
      <c r="G1789" s="30"/>
      <c r="H1789" s="21" t="str">
        <f t="shared" si="1"/>
        <v/>
      </c>
      <c r="I1789" s="19"/>
    </row>
    <row r="1790" ht="15.75" customHeight="1">
      <c r="A1790" s="3"/>
      <c r="B1790" s="19"/>
      <c r="C1790" s="19"/>
      <c r="D1790" s="19"/>
      <c r="E1790" s="19"/>
      <c r="F1790" s="28"/>
      <c r="G1790" s="30"/>
      <c r="H1790" s="21" t="str">
        <f t="shared" si="1"/>
        <v/>
      </c>
      <c r="I1790" s="19"/>
    </row>
    <row r="1791" ht="15.75" customHeight="1">
      <c r="A1791" s="3"/>
      <c r="B1791" s="19"/>
      <c r="C1791" s="19"/>
      <c r="D1791" s="19"/>
      <c r="E1791" s="19"/>
      <c r="F1791" s="28"/>
      <c r="G1791" s="30"/>
      <c r="H1791" s="21" t="str">
        <f t="shared" si="1"/>
        <v/>
      </c>
      <c r="I1791" s="19"/>
    </row>
    <row r="1792" ht="15.75" customHeight="1">
      <c r="A1792" s="3"/>
      <c r="B1792" s="19"/>
      <c r="C1792" s="19"/>
      <c r="D1792" s="19"/>
      <c r="E1792" s="19"/>
      <c r="F1792" s="28"/>
      <c r="G1792" s="30"/>
      <c r="H1792" s="21" t="str">
        <f t="shared" si="1"/>
        <v/>
      </c>
      <c r="I1792" s="19"/>
    </row>
    <row r="1793" ht="15.75" customHeight="1">
      <c r="A1793" s="3"/>
      <c r="B1793" s="19"/>
      <c r="C1793" s="19"/>
      <c r="D1793" s="19"/>
      <c r="E1793" s="19"/>
      <c r="F1793" s="28"/>
      <c r="G1793" s="30"/>
      <c r="H1793" s="21" t="str">
        <f t="shared" si="1"/>
        <v/>
      </c>
      <c r="I1793" s="19"/>
    </row>
    <row r="1794" ht="15.75" customHeight="1">
      <c r="A1794" s="3"/>
      <c r="B1794" s="19"/>
      <c r="C1794" s="19"/>
      <c r="D1794" s="19"/>
      <c r="E1794" s="19"/>
      <c r="F1794" s="28"/>
      <c r="G1794" s="30"/>
      <c r="H1794" s="21" t="str">
        <f t="shared" si="1"/>
        <v/>
      </c>
      <c r="I1794" s="19"/>
    </row>
    <row r="1795" ht="15.75" customHeight="1">
      <c r="A1795" s="3"/>
      <c r="B1795" s="19"/>
      <c r="C1795" s="19"/>
      <c r="D1795" s="19"/>
      <c r="E1795" s="19"/>
      <c r="F1795" s="28"/>
      <c r="G1795" s="30"/>
      <c r="H1795" s="21" t="str">
        <f t="shared" si="1"/>
        <v/>
      </c>
      <c r="I1795" s="19"/>
    </row>
    <row r="1796" ht="15.75" customHeight="1">
      <c r="A1796" s="3"/>
      <c r="B1796" s="19"/>
      <c r="C1796" s="19"/>
      <c r="D1796" s="19"/>
      <c r="E1796" s="19"/>
      <c r="F1796" s="28"/>
      <c r="G1796" s="30"/>
      <c r="H1796" s="21" t="str">
        <f t="shared" si="1"/>
        <v/>
      </c>
      <c r="I1796" s="19"/>
    </row>
    <row r="1797" ht="15.75" customHeight="1">
      <c r="A1797" s="3"/>
      <c r="B1797" s="19"/>
      <c r="C1797" s="19"/>
      <c r="D1797" s="19"/>
      <c r="E1797" s="19"/>
      <c r="F1797" s="28"/>
      <c r="G1797" s="30"/>
      <c r="H1797" s="21" t="str">
        <f t="shared" si="1"/>
        <v/>
      </c>
      <c r="I1797" s="19"/>
    </row>
    <row r="1798" ht="15.75" customHeight="1">
      <c r="A1798" s="3"/>
      <c r="B1798" s="19"/>
      <c r="C1798" s="19"/>
      <c r="D1798" s="19"/>
      <c r="E1798" s="19"/>
      <c r="F1798" s="28"/>
      <c r="G1798" s="30"/>
      <c r="H1798" s="21" t="str">
        <f t="shared" si="1"/>
        <v/>
      </c>
      <c r="I1798" s="19"/>
    </row>
    <row r="1799" ht="15.75" customHeight="1">
      <c r="A1799" s="3"/>
      <c r="B1799" s="19"/>
      <c r="C1799" s="19"/>
      <c r="D1799" s="19"/>
      <c r="E1799" s="19"/>
      <c r="F1799" s="28"/>
      <c r="G1799" s="30"/>
      <c r="H1799" s="21" t="str">
        <f t="shared" si="1"/>
        <v/>
      </c>
      <c r="I1799" s="19"/>
    </row>
    <row r="1800" ht="15.75" customHeight="1">
      <c r="A1800" s="3"/>
      <c r="B1800" s="19"/>
      <c r="C1800" s="19"/>
      <c r="D1800" s="19"/>
      <c r="E1800" s="19"/>
      <c r="F1800" s="28"/>
      <c r="G1800" s="30"/>
      <c r="H1800" s="21" t="str">
        <f t="shared" si="1"/>
        <v/>
      </c>
      <c r="I1800" s="19"/>
    </row>
    <row r="1801" ht="15.75" customHeight="1">
      <c r="A1801" s="3"/>
      <c r="B1801" s="19"/>
      <c r="C1801" s="19"/>
      <c r="D1801" s="19"/>
      <c r="E1801" s="19"/>
      <c r="F1801" s="28"/>
      <c r="G1801" s="30"/>
      <c r="H1801" s="21" t="str">
        <f t="shared" si="1"/>
        <v/>
      </c>
      <c r="I1801" s="19"/>
    </row>
    <row r="1802" ht="15.75" customHeight="1">
      <c r="A1802" s="3"/>
      <c r="B1802" s="19"/>
      <c r="C1802" s="19"/>
      <c r="D1802" s="19"/>
      <c r="E1802" s="19"/>
      <c r="F1802" s="28"/>
      <c r="G1802" s="30"/>
      <c r="H1802" s="21" t="str">
        <f t="shared" si="1"/>
        <v/>
      </c>
      <c r="I1802" s="19"/>
    </row>
    <row r="1803" ht="15.75" customHeight="1">
      <c r="A1803" s="3"/>
      <c r="B1803" s="19"/>
      <c r="C1803" s="19"/>
      <c r="D1803" s="19"/>
      <c r="E1803" s="19"/>
      <c r="F1803" s="28"/>
      <c r="G1803" s="30"/>
      <c r="H1803" s="21" t="str">
        <f t="shared" si="1"/>
        <v/>
      </c>
      <c r="I1803" s="19"/>
    </row>
    <row r="1804" ht="15.75" customHeight="1">
      <c r="A1804" s="3"/>
      <c r="B1804" s="19"/>
      <c r="C1804" s="19"/>
      <c r="D1804" s="19"/>
      <c r="E1804" s="19"/>
      <c r="F1804" s="28"/>
      <c r="G1804" s="30"/>
      <c r="H1804" s="21" t="str">
        <f t="shared" si="1"/>
        <v/>
      </c>
      <c r="I1804" s="19"/>
    </row>
    <row r="1805" ht="15.75" customHeight="1">
      <c r="A1805" s="3"/>
      <c r="B1805" s="19"/>
      <c r="C1805" s="19"/>
      <c r="D1805" s="19"/>
      <c r="E1805" s="19"/>
      <c r="F1805" s="28"/>
      <c r="G1805" s="30"/>
      <c r="H1805" s="21" t="str">
        <f t="shared" si="1"/>
        <v/>
      </c>
      <c r="I1805" s="19"/>
    </row>
    <row r="1806" ht="15.75" customHeight="1">
      <c r="A1806" s="3"/>
      <c r="B1806" s="19"/>
      <c r="C1806" s="19"/>
      <c r="D1806" s="19"/>
      <c r="E1806" s="19"/>
      <c r="F1806" s="28"/>
      <c r="G1806" s="30"/>
      <c r="H1806" s="21" t="str">
        <f t="shared" si="1"/>
        <v/>
      </c>
      <c r="I1806" s="19"/>
    </row>
    <row r="1807" ht="15.75" customHeight="1">
      <c r="A1807" s="3"/>
      <c r="B1807" s="19"/>
      <c r="C1807" s="19"/>
      <c r="D1807" s="19"/>
      <c r="E1807" s="19"/>
      <c r="F1807" s="28"/>
      <c r="G1807" s="30"/>
      <c r="H1807" s="21" t="str">
        <f t="shared" si="1"/>
        <v/>
      </c>
      <c r="I1807" s="19"/>
    </row>
    <row r="1808" ht="15.75" customHeight="1">
      <c r="A1808" s="3"/>
      <c r="B1808" s="19"/>
      <c r="C1808" s="19"/>
      <c r="D1808" s="19"/>
      <c r="E1808" s="19"/>
      <c r="F1808" s="28"/>
      <c r="G1808" s="30"/>
      <c r="H1808" s="21" t="str">
        <f t="shared" si="1"/>
        <v/>
      </c>
      <c r="I1808" s="19"/>
    </row>
    <row r="1809" ht="15.75" customHeight="1">
      <c r="A1809" s="3"/>
      <c r="B1809" s="19"/>
      <c r="C1809" s="19"/>
      <c r="D1809" s="19"/>
      <c r="E1809" s="19"/>
      <c r="F1809" s="28"/>
      <c r="G1809" s="30"/>
      <c r="H1809" s="21" t="str">
        <f t="shared" si="1"/>
        <v/>
      </c>
      <c r="I1809" s="19"/>
    </row>
    <row r="1810" ht="15.75" customHeight="1">
      <c r="A1810" s="3"/>
      <c r="B1810" s="19"/>
      <c r="C1810" s="19"/>
      <c r="D1810" s="19"/>
      <c r="E1810" s="19"/>
      <c r="F1810" s="28"/>
      <c r="G1810" s="30"/>
      <c r="H1810" s="21" t="str">
        <f t="shared" si="1"/>
        <v/>
      </c>
      <c r="I1810" s="19"/>
    </row>
    <row r="1811" ht="15.75" customHeight="1">
      <c r="A1811" s="3"/>
      <c r="B1811" s="19"/>
      <c r="C1811" s="19"/>
      <c r="D1811" s="19"/>
      <c r="E1811" s="19"/>
      <c r="F1811" s="28"/>
      <c r="G1811" s="30"/>
      <c r="H1811" s="21" t="str">
        <f t="shared" si="1"/>
        <v/>
      </c>
      <c r="I1811" s="19"/>
    </row>
    <row r="1812" ht="15.75" customHeight="1">
      <c r="A1812" s="3"/>
      <c r="B1812" s="19"/>
      <c r="C1812" s="19"/>
      <c r="D1812" s="19"/>
      <c r="E1812" s="19"/>
      <c r="F1812" s="28"/>
      <c r="G1812" s="30"/>
      <c r="H1812" s="21" t="str">
        <f t="shared" si="1"/>
        <v/>
      </c>
      <c r="I1812" s="19"/>
    </row>
    <row r="1813" ht="15.75" customHeight="1">
      <c r="A1813" s="3"/>
      <c r="B1813" s="19"/>
      <c r="C1813" s="19"/>
      <c r="D1813" s="19"/>
      <c r="E1813" s="19"/>
      <c r="F1813" s="28"/>
      <c r="G1813" s="30"/>
      <c r="H1813" s="21" t="str">
        <f t="shared" si="1"/>
        <v/>
      </c>
      <c r="I1813" s="19"/>
    </row>
    <row r="1814" ht="15.75" customHeight="1">
      <c r="A1814" s="3"/>
      <c r="B1814" s="19"/>
      <c r="C1814" s="19"/>
      <c r="D1814" s="19"/>
      <c r="E1814" s="19"/>
      <c r="F1814" s="28"/>
      <c r="G1814" s="30"/>
      <c r="H1814" s="21" t="str">
        <f t="shared" si="1"/>
        <v/>
      </c>
      <c r="I1814" s="19"/>
    </row>
    <row r="1815" ht="15.75" customHeight="1">
      <c r="A1815" s="3"/>
      <c r="B1815" s="19"/>
      <c r="C1815" s="19"/>
      <c r="D1815" s="19"/>
      <c r="E1815" s="19"/>
      <c r="F1815" s="28"/>
      <c r="G1815" s="30"/>
      <c r="H1815" s="21" t="str">
        <f t="shared" si="1"/>
        <v/>
      </c>
      <c r="I1815" s="19"/>
    </row>
    <row r="1816" ht="15.75" customHeight="1">
      <c r="A1816" s="3"/>
      <c r="B1816" s="19"/>
      <c r="C1816" s="19"/>
      <c r="D1816" s="19"/>
      <c r="E1816" s="19"/>
      <c r="F1816" s="28"/>
      <c r="G1816" s="30"/>
      <c r="H1816" s="21" t="str">
        <f t="shared" si="1"/>
        <v/>
      </c>
      <c r="I1816" s="19"/>
    </row>
    <row r="1817" ht="15.75" customHeight="1">
      <c r="A1817" s="3"/>
      <c r="B1817" s="19"/>
      <c r="C1817" s="19"/>
      <c r="D1817" s="19"/>
      <c r="E1817" s="19"/>
      <c r="F1817" s="28"/>
      <c r="G1817" s="30"/>
      <c r="H1817" s="21" t="str">
        <f t="shared" si="1"/>
        <v/>
      </c>
      <c r="I1817" s="19"/>
    </row>
    <row r="1818" ht="15.75" customHeight="1">
      <c r="A1818" s="3"/>
      <c r="B1818" s="19"/>
      <c r="C1818" s="19"/>
      <c r="D1818" s="19"/>
      <c r="E1818" s="19"/>
      <c r="F1818" s="28"/>
      <c r="G1818" s="30"/>
      <c r="H1818" s="21" t="str">
        <f t="shared" si="1"/>
        <v/>
      </c>
      <c r="I1818" s="19"/>
    </row>
    <row r="1819" ht="15.75" customHeight="1">
      <c r="A1819" s="3"/>
      <c r="B1819" s="19"/>
      <c r="C1819" s="19"/>
      <c r="D1819" s="19"/>
      <c r="E1819" s="19"/>
      <c r="F1819" s="28"/>
      <c r="G1819" s="30"/>
      <c r="H1819" s="21" t="str">
        <f t="shared" si="1"/>
        <v/>
      </c>
      <c r="I1819" s="19"/>
    </row>
    <row r="1820" ht="15.75" customHeight="1">
      <c r="A1820" s="3"/>
      <c r="B1820" s="19"/>
      <c r="C1820" s="19"/>
      <c r="D1820" s="19"/>
      <c r="E1820" s="19"/>
      <c r="F1820" s="28"/>
      <c r="G1820" s="30"/>
      <c r="H1820" s="21" t="str">
        <f t="shared" si="1"/>
        <v/>
      </c>
      <c r="I1820" s="19"/>
    </row>
    <row r="1821" ht="15.75" customHeight="1">
      <c r="A1821" s="3"/>
      <c r="B1821" s="19"/>
      <c r="C1821" s="19"/>
      <c r="D1821" s="19"/>
      <c r="E1821" s="19"/>
      <c r="F1821" s="28"/>
      <c r="G1821" s="30"/>
      <c r="H1821" s="21" t="str">
        <f t="shared" si="1"/>
        <v/>
      </c>
      <c r="I1821" s="19"/>
    </row>
    <row r="1822" ht="15.75" customHeight="1">
      <c r="A1822" s="3"/>
      <c r="B1822" s="19"/>
      <c r="C1822" s="19"/>
      <c r="D1822" s="19"/>
      <c r="E1822" s="19"/>
      <c r="F1822" s="28"/>
      <c r="G1822" s="30"/>
      <c r="H1822" s="21" t="str">
        <f t="shared" si="1"/>
        <v/>
      </c>
      <c r="I1822" s="19"/>
    </row>
    <row r="1823" ht="15.75" customHeight="1">
      <c r="A1823" s="3"/>
      <c r="B1823" s="19"/>
      <c r="C1823" s="19"/>
      <c r="D1823" s="19"/>
      <c r="E1823" s="19"/>
      <c r="F1823" s="28"/>
      <c r="G1823" s="30"/>
      <c r="H1823" s="21" t="str">
        <f t="shared" si="1"/>
        <v/>
      </c>
      <c r="I1823" s="19"/>
    </row>
    <row r="1824" ht="15.75" customHeight="1">
      <c r="A1824" s="3"/>
      <c r="B1824" s="19"/>
      <c r="C1824" s="19"/>
      <c r="D1824" s="19"/>
      <c r="E1824" s="19"/>
      <c r="F1824" s="28"/>
      <c r="G1824" s="30"/>
      <c r="H1824" s="21" t="str">
        <f t="shared" si="1"/>
        <v/>
      </c>
      <c r="I1824" s="19"/>
    </row>
    <row r="1825" ht="15.75" customHeight="1">
      <c r="A1825" s="3"/>
      <c r="B1825" s="19"/>
      <c r="C1825" s="19"/>
      <c r="D1825" s="19"/>
      <c r="E1825" s="19"/>
      <c r="F1825" s="28"/>
      <c r="G1825" s="30"/>
      <c r="H1825" s="21" t="str">
        <f t="shared" si="1"/>
        <v/>
      </c>
      <c r="I1825" s="19"/>
    </row>
    <row r="1826" ht="15.75" customHeight="1">
      <c r="A1826" s="3"/>
      <c r="B1826" s="19"/>
      <c r="C1826" s="19"/>
      <c r="D1826" s="19"/>
      <c r="E1826" s="19"/>
      <c r="F1826" s="28"/>
      <c r="G1826" s="30"/>
      <c r="H1826" s="21" t="str">
        <f t="shared" si="1"/>
        <v/>
      </c>
      <c r="I1826" s="19"/>
    </row>
    <row r="1827" ht="15.75" customHeight="1">
      <c r="A1827" s="3"/>
      <c r="B1827" s="19"/>
      <c r="C1827" s="19"/>
      <c r="D1827" s="19"/>
      <c r="E1827" s="19"/>
      <c r="F1827" s="28"/>
      <c r="G1827" s="30"/>
      <c r="H1827" s="21" t="str">
        <f t="shared" si="1"/>
        <v/>
      </c>
      <c r="I1827" s="19"/>
    </row>
    <row r="1828" ht="15.75" customHeight="1">
      <c r="A1828" s="3"/>
      <c r="B1828" s="19"/>
      <c r="C1828" s="19"/>
      <c r="D1828" s="19"/>
      <c r="E1828" s="19"/>
      <c r="F1828" s="28"/>
      <c r="G1828" s="30"/>
      <c r="H1828" s="21" t="str">
        <f t="shared" si="1"/>
        <v/>
      </c>
      <c r="I1828" s="19"/>
    </row>
    <row r="1829" ht="15.75" customHeight="1">
      <c r="A1829" s="3"/>
      <c r="B1829" s="19"/>
      <c r="C1829" s="19"/>
      <c r="D1829" s="19"/>
      <c r="E1829" s="19"/>
      <c r="F1829" s="28"/>
      <c r="G1829" s="30"/>
      <c r="H1829" s="21" t="str">
        <f t="shared" si="1"/>
        <v/>
      </c>
      <c r="I1829" s="19"/>
    </row>
    <row r="1830" ht="15.75" customHeight="1">
      <c r="A1830" s="3"/>
      <c r="B1830" s="19"/>
      <c r="C1830" s="19"/>
      <c r="D1830" s="19"/>
      <c r="E1830" s="19"/>
      <c r="F1830" s="28"/>
      <c r="G1830" s="30"/>
      <c r="H1830" s="21" t="str">
        <f t="shared" si="1"/>
        <v/>
      </c>
      <c r="I1830" s="19"/>
    </row>
    <row r="1831" ht="15.75" customHeight="1">
      <c r="A1831" s="3"/>
      <c r="B1831" s="19"/>
      <c r="C1831" s="19"/>
      <c r="D1831" s="19"/>
      <c r="E1831" s="19"/>
      <c r="F1831" s="28"/>
      <c r="G1831" s="30"/>
      <c r="H1831" s="21" t="str">
        <f t="shared" si="1"/>
        <v/>
      </c>
      <c r="I1831" s="19"/>
    </row>
    <row r="1832" ht="15.75" customHeight="1">
      <c r="A1832" s="3"/>
      <c r="B1832" s="19"/>
      <c r="C1832" s="19"/>
      <c r="D1832" s="19"/>
      <c r="E1832" s="19"/>
      <c r="F1832" s="28"/>
      <c r="G1832" s="30"/>
      <c r="H1832" s="21" t="str">
        <f t="shared" si="1"/>
        <v/>
      </c>
      <c r="I1832" s="19"/>
    </row>
    <row r="1833" ht="15.75" customHeight="1">
      <c r="A1833" s="3"/>
      <c r="B1833" s="19"/>
      <c r="C1833" s="19"/>
      <c r="D1833" s="19"/>
      <c r="E1833" s="19"/>
      <c r="F1833" s="28"/>
      <c r="G1833" s="30"/>
      <c r="H1833" s="21" t="str">
        <f t="shared" si="1"/>
        <v/>
      </c>
      <c r="I1833" s="19"/>
    </row>
    <row r="1834" ht="15.75" customHeight="1">
      <c r="A1834" s="3"/>
      <c r="B1834" s="19"/>
      <c r="C1834" s="19"/>
      <c r="D1834" s="19"/>
      <c r="E1834" s="19"/>
      <c r="F1834" s="28"/>
      <c r="G1834" s="30"/>
      <c r="H1834" s="21" t="str">
        <f t="shared" si="1"/>
        <v/>
      </c>
      <c r="I1834" s="19"/>
    </row>
    <row r="1835" ht="15.75" customHeight="1">
      <c r="A1835" s="3"/>
      <c r="B1835" s="19"/>
      <c r="C1835" s="19"/>
      <c r="D1835" s="19"/>
      <c r="E1835" s="19"/>
      <c r="F1835" s="28"/>
      <c r="G1835" s="30"/>
      <c r="H1835" s="21" t="str">
        <f t="shared" si="1"/>
        <v/>
      </c>
      <c r="I1835" s="19"/>
    </row>
    <row r="1836" ht="15.75" customHeight="1">
      <c r="A1836" s="3"/>
      <c r="B1836" s="19"/>
      <c r="C1836" s="19"/>
      <c r="D1836" s="19"/>
      <c r="E1836" s="19"/>
      <c r="F1836" s="28"/>
      <c r="G1836" s="30"/>
      <c r="H1836" s="21" t="str">
        <f t="shared" si="1"/>
        <v/>
      </c>
      <c r="I1836" s="19"/>
    </row>
    <row r="1837" ht="15.75" customHeight="1">
      <c r="A1837" s="3"/>
      <c r="B1837" s="19"/>
      <c r="C1837" s="19"/>
      <c r="D1837" s="19"/>
      <c r="E1837" s="19"/>
      <c r="F1837" s="28"/>
      <c r="G1837" s="30"/>
      <c r="H1837" s="21" t="str">
        <f t="shared" si="1"/>
        <v/>
      </c>
      <c r="I1837" s="19"/>
    </row>
    <row r="1838" ht="15.75" customHeight="1">
      <c r="A1838" s="3"/>
      <c r="B1838" s="19"/>
      <c r="C1838" s="19"/>
      <c r="D1838" s="19"/>
      <c r="E1838" s="19"/>
      <c r="F1838" s="28"/>
      <c r="G1838" s="30"/>
      <c r="H1838" s="21" t="str">
        <f t="shared" si="1"/>
        <v/>
      </c>
      <c r="I1838" s="19"/>
    </row>
    <row r="1839" ht="15.75" customHeight="1">
      <c r="A1839" s="3"/>
      <c r="B1839" s="19"/>
      <c r="C1839" s="19"/>
      <c r="D1839" s="19"/>
      <c r="E1839" s="19"/>
      <c r="F1839" s="28"/>
      <c r="G1839" s="30"/>
      <c r="H1839" s="21" t="str">
        <f t="shared" si="1"/>
        <v/>
      </c>
      <c r="I1839" s="19"/>
    </row>
    <row r="1840" ht="15.75" customHeight="1">
      <c r="A1840" s="3"/>
      <c r="B1840" s="19"/>
      <c r="C1840" s="19"/>
      <c r="D1840" s="19"/>
      <c r="E1840" s="19"/>
      <c r="F1840" s="28"/>
      <c r="G1840" s="30"/>
      <c r="H1840" s="21" t="str">
        <f t="shared" si="1"/>
        <v/>
      </c>
      <c r="I1840" s="19"/>
    </row>
    <row r="1841" ht="15.75" customHeight="1">
      <c r="A1841" s="3"/>
      <c r="B1841" s="19"/>
      <c r="C1841" s="19"/>
      <c r="D1841" s="19"/>
      <c r="E1841" s="19"/>
      <c r="F1841" s="28"/>
      <c r="G1841" s="30"/>
      <c r="H1841" s="21" t="str">
        <f t="shared" si="1"/>
        <v/>
      </c>
      <c r="I1841" s="19"/>
    </row>
    <row r="1842" ht="15.75" customHeight="1">
      <c r="A1842" s="3"/>
      <c r="B1842" s="19"/>
      <c r="C1842" s="19"/>
      <c r="D1842" s="19"/>
      <c r="E1842" s="19"/>
      <c r="F1842" s="28"/>
      <c r="G1842" s="30"/>
      <c r="H1842" s="21" t="str">
        <f t="shared" si="1"/>
        <v/>
      </c>
      <c r="I1842" s="19"/>
    </row>
    <row r="1843" ht="15.75" customHeight="1">
      <c r="A1843" s="3"/>
      <c r="B1843" s="19"/>
      <c r="C1843" s="19"/>
      <c r="D1843" s="19"/>
      <c r="E1843" s="19"/>
      <c r="F1843" s="28"/>
      <c r="G1843" s="30"/>
      <c r="H1843" s="21" t="str">
        <f t="shared" si="1"/>
        <v/>
      </c>
      <c r="I1843" s="19"/>
    </row>
    <row r="1844" ht="15.75" customHeight="1">
      <c r="A1844" s="3"/>
      <c r="B1844" s="19"/>
      <c r="C1844" s="19"/>
      <c r="D1844" s="19"/>
      <c r="E1844" s="19"/>
      <c r="F1844" s="28"/>
      <c r="G1844" s="30"/>
      <c r="H1844" s="21" t="str">
        <f t="shared" si="1"/>
        <v/>
      </c>
      <c r="I1844" s="19"/>
    </row>
    <row r="1845" ht="15.75" customHeight="1">
      <c r="A1845" s="3"/>
      <c r="B1845" s="19"/>
      <c r="C1845" s="19"/>
      <c r="D1845" s="19"/>
      <c r="E1845" s="19"/>
      <c r="F1845" s="28"/>
      <c r="G1845" s="30"/>
      <c r="H1845" s="21" t="str">
        <f t="shared" si="1"/>
        <v/>
      </c>
      <c r="I1845" s="19"/>
    </row>
    <row r="1846" ht="15.75" customHeight="1">
      <c r="A1846" s="3"/>
      <c r="B1846" s="19"/>
      <c r="C1846" s="19"/>
      <c r="D1846" s="19"/>
      <c r="E1846" s="19"/>
      <c r="F1846" s="28"/>
      <c r="G1846" s="30"/>
      <c r="H1846" s="21" t="str">
        <f t="shared" si="1"/>
        <v/>
      </c>
      <c r="I1846" s="19"/>
    </row>
    <row r="1847" ht="15.75" customHeight="1">
      <c r="A1847" s="3"/>
      <c r="B1847" s="19"/>
      <c r="C1847" s="19"/>
      <c r="D1847" s="19"/>
      <c r="E1847" s="19"/>
      <c r="F1847" s="28"/>
      <c r="G1847" s="30"/>
      <c r="H1847" s="21" t="str">
        <f t="shared" si="1"/>
        <v/>
      </c>
      <c r="I1847" s="19"/>
    </row>
    <row r="1848" ht="15.75" customHeight="1">
      <c r="A1848" s="3"/>
      <c r="B1848" s="19"/>
      <c r="C1848" s="19"/>
      <c r="D1848" s="19"/>
      <c r="E1848" s="19"/>
      <c r="F1848" s="28"/>
      <c r="G1848" s="30"/>
      <c r="H1848" s="21" t="str">
        <f t="shared" si="1"/>
        <v/>
      </c>
      <c r="I1848" s="19"/>
    </row>
    <row r="1849" ht="15.75" customHeight="1">
      <c r="A1849" s="3"/>
      <c r="B1849" s="19"/>
      <c r="C1849" s="19"/>
      <c r="D1849" s="19"/>
      <c r="E1849" s="19"/>
      <c r="F1849" s="28"/>
      <c r="G1849" s="30"/>
      <c r="H1849" s="21" t="str">
        <f t="shared" si="1"/>
        <v/>
      </c>
      <c r="I1849" s="19"/>
    </row>
    <row r="1850" ht="15.75" customHeight="1">
      <c r="A1850" s="3"/>
      <c r="B1850" s="19"/>
      <c r="C1850" s="19"/>
      <c r="D1850" s="19"/>
      <c r="E1850" s="19"/>
      <c r="F1850" s="28"/>
      <c r="G1850" s="30"/>
      <c r="H1850" s="21" t="str">
        <f t="shared" si="1"/>
        <v/>
      </c>
      <c r="I1850" s="19"/>
    </row>
    <row r="1851" ht="15.75" customHeight="1">
      <c r="A1851" s="3"/>
      <c r="B1851" s="19"/>
      <c r="C1851" s="19"/>
      <c r="D1851" s="19"/>
      <c r="E1851" s="19"/>
      <c r="F1851" s="28"/>
      <c r="G1851" s="30"/>
      <c r="H1851" s="21" t="str">
        <f t="shared" si="1"/>
        <v/>
      </c>
      <c r="I1851" s="19"/>
    </row>
    <row r="1852" ht="15.75" customHeight="1">
      <c r="A1852" s="3"/>
      <c r="B1852" s="19"/>
      <c r="C1852" s="19"/>
      <c r="D1852" s="19"/>
      <c r="E1852" s="19"/>
      <c r="F1852" s="28"/>
      <c r="G1852" s="30"/>
      <c r="H1852" s="21" t="str">
        <f t="shared" si="1"/>
        <v/>
      </c>
      <c r="I1852" s="19"/>
    </row>
    <row r="1853" ht="15.75" customHeight="1">
      <c r="A1853" s="3"/>
      <c r="B1853" s="19"/>
      <c r="C1853" s="19"/>
      <c r="D1853" s="19"/>
      <c r="E1853" s="19"/>
      <c r="F1853" s="28"/>
      <c r="G1853" s="30"/>
      <c r="H1853" s="21" t="str">
        <f t="shared" si="1"/>
        <v/>
      </c>
      <c r="I1853" s="19"/>
    </row>
    <row r="1854" ht="15.75" customHeight="1">
      <c r="A1854" s="3"/>
      <c r="B1854" s="19"/>
      <c r="C1854" s="19"/>
      <c r="D1854" s="19"/>
      <c r="E1854" s="19"/>
      <c r="F1854" s="28"/>
      <c r="G1854" s="30"/>
      <c r="H1854" s="21" t="str">
        <f t="shared" si="1"/>
        <v/>
      </c>
      <c r="I1854" s="19"/>
    </row>
    <row r="1855" ht="15.75" customHeight="1">
      <c r="A1855" s="3"/>
      <c r="B1855" s="19"/>
      <c r="C1855" s="19"/>
      <c r="D1855" s="19"/>
      <c r="E1855" s="19"/>
      <c r="F1855" s="28"/>
      <c r="G1855" s="30"/>
      <c r="H1855" s="21" t="str">
        <f t="shared" si="1"/>
        <v/>
      </c>
      <c r="I1855" s="19"/>
    </row>
    <row r="1856" ht="15.75" customHeight="1">
      <c r="A1856" s="3"/>
      <c r="B1856" s="19"/>
      <c r="C1856" s="19"/>
      <c r="D1856" s="19"/>
      <c r="E1856" s="19"/>
      <c r="F1856" s="28"/>
      <c r="G1856" s="30"/>
      <c r="H1856" s="21" t="str">
        <f t="shared" si="1"/>
        <v/>
      </c>
      <c r="I1856" s="19"/>
    </row>
    <row r="1857" ht="15.75" customHeight="1">
      <c r="A1857" s="3"/>
      <c r="B1857" s="19"/>
      <c r="C1857" s="19"/>
      <c r="D1857" s="19"/>
      <c r="E1857" s="19"/>
      <c r="F1857" s="28"/>
      <c r="G1857" s="30"/>
      <c r="H1857" s="21" t="str">
        <f t="shared" si="1"/>
        <v/>
      </c>
      <c r="I1857" s="19"/>
    </row>
    <row r="1858" ht="15.75" customHeight="1">
      <c r="A1858" s="3"/>
      <c r="B1858" s="19"/>
      <c r="C1858" s="19"/>
      <c r="D1858" s="19"/>
      <c r="E1858" s="19"/>
      <c r="F1858" s="28"/>
      <c r="G1858" s="30"/>
      <c r="H1858" s="21" t="str">
        <f t="shared" si="1"/>
        <v/>
      </c>
      <c r="I1858" s="19"/>
    </row>
    <row r="1859" ht="15.75" customHeight="1">
      <c r="A1859" s="3"/>
      <c r="B1859" s="19"/>
      <c r="C1859" s="19"/>
      <c r="D1859" s="19"/>
      <c r="E1859" s="19"/>
      <c r="F1859" s="28"/>
      <c r="G1859" s="30"/>
      <c r="H1859" s="21" t="str">
        <f t="shared" si="1"/>
        <v/>
      </c>
      <c r="I1859" s="19"/>
    </row>
    <row r="1860" ht="15.75" customHeight="1">
      <c r="A1860" s="3"/>
      <c r="B1860" s="19"/>
      <c r="C1860" s="19"/>
      <c r="D1860" s="19"/>
      <c r="E1860" s="19"/>
      <c r="F1860" s="28"/>
      <c r="G1860" s="30"/>
      <c r="H1860" s="21" t="str">
        <f t="shared" si="1"/>
        <v/>
      </c>
      <c r="I1860" s="19"/>
    </row>
    <row r="1861" ht="15.75" customHeight="1">
      <c r="A1861" s="3"/>
      <c r="B1861" s="19"/>
      <c r="C1861" s="19"/>
      <c r="D1861" s="19"/>
      <c r="E1861" s="19"/>
      <c r="F1861" s="28"/>
      <c r="G1861" s="30"/>
      <c r="H1861" s="21" t="str">
        <f t="shared" si="1"/>
        <v/>
      </c>
      <c r="I1861" s="19"/>
    </row>
    <row r="1862" ht="15.75" customHeight="1">
      <c r="A1862" s="3"/>
      <c r="B1862" s="19"/>
      <c r="C1862" s="19"/>
      <c r="D1862" s="19"/>
      <c r="E1862" s="19"/>
      <c r="F1862" s="28"/>
      <c r="G1862" s="30"/>
      <c r="H1862" s="21" t="str">
        <f t="shared" si="1"/>
        <v/>
      </c>
      <c r="I1862" s="19"/>
    </row>
    <row r="1863" ht="15.75" customHeight="1">
      <c r="A1863" s="3"/>
      <c r="B1863" s="19"/>
      <c r="C1863" s="19"/>
      <c r="D1863" s="19"/>
      <c r="E1863" s="19"/>
      <c r="F1863" s="28"/>
      <c r="G1863" s="30"/>
      <c r="H1863" s="21" t="str">
        <f t="shared" si="1"/>
        <v/>
      </c>
      <c r="I1863" s="19"/>
    </row>
    <row r="1864" ht="15.75" customHeight="1">
      <c r="A1864" s="3"/>
      <c r="B1864" s="19"/>
      <c r="C1864" s="19"/>
      <c r="D1864" s="19"/>
      <c r="E1864" s="19"/>
      <c r="F1864" s="28"/>
      <c r="G1864" s="30"/>
      <c r="H1864" s="21" t="str">
        <f t="shared" si="1"/>
        <v/>
      </c>
      <c r="I1864" s="19"/>
    </row>
    <row r="1865" ht="15.75" customHeight="1">
      <c r="A1865" s="3"/>
      <c r="B1865" s="19"/>
      <c r="C1865" s="19"/>
      <c r="D1865" s="19"/>
      <c r="E1865" s="19"/>
      <c r="F1865" s="28"/>
      <c r="G1865" s="30"/>
      <c r="H1865" s="21" t="str">
        <f t="shared" si="1"/>
        <v/>
      </c>
      <c r="I1865" s="19"/>
    </row>
    <row r="1866" ht="15.75" customHeight="1">
      <c r="A1866" s="3"/>
      <c r="B1866" s="19"/>
      <c r="C1866" s="19"/>
      <c r="D1866" s="19"/>
      <c r="E1866" s="19"/>
      <c r="F1866" s="28"/>
      <c r="G1866" s="30"/>
      <c r="H1866" s="21" t="str">
        <f t="shared" si="1"/>
        <v/>
      </c>
      <c r="I1866" s="19"/>
    </row>
    <row r="1867" ht="15.75" customHeight="1">
      <c r="A1867" s="3"/>
      <c r="B1867" s="19"/>
      <c r="C1867" s="19"/>
      <c r="D1867" s="19"/>
      <c r="E1867" s="19"/>
      <c r="F1867" s="28"/>
      <c r="G1867" s="30"/>
      <c r="H1867" s="21" t="str">
        <f t="shared" si="1"/>
        <v/>
      </c>
      <c r="I1867" s="19"/>
    </row>
    <row r="1868" ht="15.75" customHeight="1">
      <c r="A1868" s="3"/>
      <c r="B1868" s="19"/>
      <c r="C1868" s="19"/>
      <c r="D1868" s="19"/>
      <c r="E1868" s="19"/>
      <c r="F1868" s="28"/>
      <c r="G1868" s="30"/>
      <c r="H1868" s="21" t="str">
        <f t="shared" si="1"/>
        <v/>
      </c>
      <c r="I1868" s="19"/>
    </row>
    <row r="1869" ht="15.75" customHeight="1">
      <c r="A1869" s="3"/>
      <c r="B1869" s="19"/>
      <c r="C1869" s="19"/>
      <c r="D1869" s="19"/>
      <c r="E1869" s="19"/>
      <c r="F1869" s="28"/>
      <c r="G1869" s="30"/>
      <c r="H1869" s="21" t="str">
        <f t="shared" si="1"/>
        <v/>
      </c>
      <c r="I1869" s="19"/>
    </row>
    <row r="1870" ht="15.75" customHeight="1">
      <c r="A1870" s="3"/>
      <c r="B1870" s="19"/>
      <c r="C1870" s="19"/>
      <c r="D1870" s="19"/>
      <c r="E1870" s="19"/>
      <c r="F1870" s="28"/>
      <c r="G1870" s="30"/>
      <c r="H1870" s="21" t="str">
        <f t="shared" si="1"/>
        <v/>
      </c>
      <c r="I1870" s="19"/>
    </row>
    <row r="1871" ht="15.75" customHeight="1">
      <c r="A1871" s="3"/>
      <c r="B1871" s="19"/>
      <c r="C1871" s="19"/>
      <c r="D1871" s="19"/>
      <c r="E1871" s="19"/>
      <c r="F1871" s="28"/>
      <c r="G1871" s="30"/>
      <c r="H1871" s="21" t="str">
        <f t="shared" si="1"/>
        <v/>
      </c>
      <c r="I1871" s="19"/>
    </row>
    <row r="1872" ht="15.75" customHeight="1">
      <c r="A1872" s="3"/>
      <c r="B1872" s="19"/>
      <c r="C1872" s="19"/>
      <c r="D1872" s="19"/>
      <c r="E1872" s="19"/>
      <c r="F1872" s="28"/>
      <c r="G1872" s="30"/>
      <c r="H1872" s="21" t="str">
        <f t="shared" si="1"/>
        <v/>
      </c>
      <c r="I1872" s="19"/>
    </row>
    <row r="1873" ht="15.75" customHeight="1">
      <c r="A1873" s="3"/>
      <c r="B1873" s="19"/>
      <c r="C1873" s="19"/>
      <c r="D1873" s="19"/>
      <c r="E1873" s="19"/>
      <c r="F1873" s="28"/>
      <c r="G1873" s="30"/>
      <c r="H1873" s="21" t="str">
        <f t="shared" si="1"/>
        <v/>
      </c>
      <c r="I1873" s="19"/>
    </row>
    <row r="1874" ht="15.75" customHeight="1">
      <c r="A1874" s="3"/>
      <c r="B1874" s="19"/>
      <c r="C1874" s="19"/>
      <c r="D1874" s="19"/>
      <c r="E1874" s="19"/>
      <c r="F1874" s="28"/>
      <c r="G1874" s="30"/>
      <c r="H1874" s="21" t="str">
        <f t="shared" si="1"/>
        <v/>
      </c>
      <c r="I1874" s="19"/>
    </row>
    <row r="1875" ht="15.75" customHeight="1">
      <c r="A1875" s="3"/>
      <c r="B1875" s="19"/>
      <c r="C1875" s="19"/>
      <c r="D1875" s="19"/>
      <c r="E1875" s="19"/>
      <c r="F1875" s="28"/>
      <c r="G1875" s="30"/>
      <c r="H1875" s="21" t="str">
        <f t="shared" si="1"/>
        <v/>
      </c>
      <c r="I1875" s="19"/>
    </row>
    <row r="1876" ht="15.75" customHeight="1">
      <c r="A1876" s="3"/>
      <c r="B1876" s="19"/>
      <c r="C1876" s="19"/>
      <c r="D1876" s="19"/>
      <c r="E1876" s="19"/>
      <c r="F1876" s="28"/>
      <c r="G1876" s="30"/>
      <c r="H1876" s="21" t="str">
        <f t="shared" si="1"/>
        <v/>
      </c>
      <c r="I1876" s="19"/>
    </row>
    <row r="1877" ht="15.75" customHeight="1">
      <c r="A1877" s="3"/>
      <c r="B1877" s="19"/>
      <c r="C1877" s="19"/>
      <c r="D1877" s="19"/>
      <c r="E1877" s="19"/>
      <c r="F1877" s="28"/>
      <c r="G1877" s="30"/>
      <c r="H1877" s="21" t="str">
        <f t="shared" si="1"/>
        <v/>
      </c>
      <c r="I1877" s="19"/>
    </row>
    <row r="1878" ht="15.75" customHeight="1">
      <c r="A1878" s="3"/>
      <c r="B1878" s="19"/>
      <c r="C1878" s="19"/>
      <c r="D1878" s="19"/>
      <c r="E1878" s="19"/>
      <c r="F1878" s="28"/>
      <c r="G1878" s="30"/>
      <c r="H1878" s="21" t="str">
        <f t="shared" si="1"/>
        <v/>
      </c>
      <c r="I1878" s="19"/>
    </row>
    <row r="1879" ht="15.75" customHeight="1">
      <c r="A1879" s="3"/>
      <c r="B1879" s="19"/>
      <c r="C1879" s="19"/>
      <c r="D1879" s="19"/>
      <c r="E1879" s="19"/>
      <c r="F1879" s="28"/>
      <c r="G1879" s="30"/>
      <c r="H1879" s="21" t="str">
        <f t="shared" si="1"/>
        <v/>
      </c>
      <c r="I1879" s="19"/>
    </row>
    <row r="1880" ht="15.75" customHeight="1">
      <c r="A1880" s="3"/>
      <c r="B1880" s="19"/>
      <c r="C1880" s="19"/>
      <c r="D1880" s="19"/>
      <c r="E1880" s="19"/>
      <c r="F1880" s="28"/>
      <c r="G1880" s="30"/>
      <c r="H1880" s="21" t="str">
        <f t="shared" si="1"/>
        <v/>
      </c>
      <c r="I1880" s="19"/>
    </row>
    <row r="1881" ht="15.75" customHeight="1">
      <c r="A1881" s="3"/>
      <c r="B1881" s="19"/>
      <c r="C1881" s="19"/>
      <c r="D1881" s="19"/>
      <c r="E1881" s="19"/>
      <c r="F1881" s="28"/>
      <c r="G1881" s="30"/>
      <c r="H1881" s="21" t="str">
        <f t="shared" si="1"/>
        <v/>
      </c>
      <c r="I1881" s="19"/>
    </row>
    <row r="1882" ht="15.75" customHeight="1">
      <c r="A1882" s="3"/>
      <c r="B1882" s="19"/>
      <c r="C1882" s="19"/>
      <c r="D1882" s="19"/>
      <c r="E1882" s="19"/>
      <c r="F1882" s="28"/>
      <c r="G1882" s="30"/>
      <c r="H1882" s="21" t="str">
        <f t="shared" si="1"/>
        <v/>
      </c>
      <c r="I1882" s="19"/>
    </row>
    <row r="1883" ht="15.75" customHeight="1">
      <c r="A1883" s="3"/>
      <c r="B1883" s="19"/>
      <c r="C1883" s="19"/>
      <c r="D1883" s="19"/>
      <c r="E1883" s="19"/>
      <c r="F1883" s="28"/>
      <c r="G1883" s="30"/>
      <c r="H1883" s="21" t="str">
        <f t="shared" si="1"/>
        <v/>
      </c>
      <c r="I1883" s="19"/>
    </row>
    <row r="1884" ht="15.75" customHeight="1">
      <c r="A1884" s="3"/>
      <c r="B1884" s="19"/>
      <c r="C1884" s="19"/>
      <c r="D1884" s="19"/>
      <c r="E1884" s="19"/>
      <c r="F1884" s="28"/>
      <c r="G1884" s="30"/>
      <c r="H1884" s="21" t="str">
        <f t="shared" si="1"/>
        <v/>
      </c>
      <c r="I1884" s="19"/>
    </row>
    <row r="1885" ht="15.75" customHeight="1">
      <c r="A1885" s="3"/>
      <c r="B1885" s="19"/>
      <c r="C1885" s="19"/>
      <c r="D1885" s="19"/>
      <c r="E1885" s="19"/>
      <c r="F1885" s="28"/>
      <c r="G1885" s="30"/>
      <c r="H1885" s="21" t="str">
        <f t="shared" si="1"/>
        <v/>
      </c>
      <c r="I1885" s="19"/>
    </row>
    <row r="1886" ht="15.75" customHeight="1">
      <c r="A1886" s="3"/>
      <c r="B1886" s="19"/>
      <c r="C1886" s="19"/>
      <c r="D1886" s="19"/>
      <c r="E1886" s="19"/>
      <c r="F1886" s="28"/>
      <c r="G1886" s="30"/>
      <c r="H1886" s="21" t="str">
        <f t="shared" si="1"/>
        <v/>
      </c>
      <c r="I1886" s="19"/>
    </row>
    <row r="1887" ht="15.75" customHeight="1">
      <c r="A1887" s="3"/>
      <c r="B1887" s="19"/>
      <c r="C1887" s="19"/>
      <c r="D1887" s="19"/>
      <c r="E1887" s="19"/>
      <c r="F1887" s="28"/>
      <c r="G1887" s="30"/>
      <c r="H1887" s="21" t="str">
        <f t="shared" si="1"/>
        <v/>
      </c>
      <c r="I1887" s="19"/>
    </row>
    <row r="1888" ht="15.75" customHeight="1">
      <c r="A1888" s="3"/>
      <c r="B1888" s="19"/>
      <c r="C1888" s="19"/>
      <c r="D1888" s="19"/>
      <c r="E1888" s="19"/>
      <c r="F1888" s="28"/>
      <c r="G1888" s="30"/>
      <c r="H1888" s="21" t="str">
        <f t="shared" si="1"/>
        <v/>
      </c>
      <c r="I1888" s="19"/>
    </row>
    <row r="1889" ht="15.75" customHeight="1">
      <c r="A1889" s="3"/>
      <c r="B1889" s="19"/>
      <c r="C1889" s="19"/>
      <c r="D1889" s="19"/>
      <c r="E1889" s="19"/>
      <c r="F1889" s="28"/>
      <c r="G1889" s="30"/>
      <c r="H1889" s="21" t="str">
        <f t="shared" si="1"/>
        <v/>
      </c>
      <c r="I1889" s="19"/>
    </row>
    <row r="1890" ht="15.75" customHeight="1">
      <c r="A1890" s="3"/>
      <c r="B1890" s="19"/>
      <c r="C1890" s="19"/>
      <c r="D1890" s="19"/>
      <c r="E1890" s="19"/>
      <c r="F1890" s="28"/>
      <c r="G1890" s="30"/>
      <c r="H1890" s="21" t="str">
        <f t="shared" si="1"/>
        <v/>
      </c>
      <c r="I1890" s="19"/>
    </row>
    <row r="1891" ht="15.75" customHeight="1">
      <c r="A1891" s="3"/>
      <c r="B1891" s="19"/>
      <c r="C1891" s="19"/>
      <c r="D1891" s="19"/>
      <c r="E1891" s="19"/>
      <c r="F1891" s="28"/>
      <c r="G1891" s="30"/>
      <c r="H1891" s="21" t="str">
        <f t="shared" si="1"/>
        <v/>
      </c>
      <c r="I1891" s="19"/>
    </row>
    <row r="1892" ht="15.75" customHeight="1">
      <c r="A1892" s="3"/>
      <c r="B1892" s="19"/>
      <c r="C1892" s="19"/>
      <c r="D1892" s="19"/>
      <c r="E1892" s="19"/>
      <c r="F1892" s="28"/>
      <c r="G1892" s="30"/>
      <c r="H1892" s="21" t="str">
        <f t="shared" si="1"/>
        <v/>
      </c>
      <c r="I1892" s="19"/>
    </row>
    <row r="1893" ht="15.75" customHeight="1">
      <c r="A1893" s="3"/>
      <c r="B1893" s="19"/>
      <c r="C1893" s="19"/>
      <c r="D1893" s="19"/>
      <c r="E1893" s="19"/>
      <c r="F1893" s="28"/>
      <c r="G1893" s="30"/>
      <c r="H1893" s="21" t="str">
        <f t="shared" si="1"/>
        <v/>
      </c>
      <c r="I1893" s="19"/>
    </row>
    <row r="1894" ht="15.75" customHeight="1">
      <c r="A1894" s="3"/>
      <c r="B1894" s="19"/>
      <c r="C1894" s="19"/>
      <c r="D1894" s="19"/>
      <c r="E1894" s="19"/>
      <c r="F1894" s="28"/>
      <c r="G1894" s="30"/>
      <c r="H1894" s="21" t="str">
        <f t="shared" si="1"/>
        <v/>
      </c>
      <c r="I1894" s="19"/>
    </row>
    <row r="1895" ht="15.75" customHeight="1">
      <c r="A1895" s="3"/>
      <c r="B1895" s="19"/>
      <c r="C1895" s="19"/>
      <c r="D1895" s="19"/>
      <c r="E1895" s="19"/>
      <c r="F1895" s="28"/>
      <c r="G1895" s="30"/>
      <c r="H1895" s="21" t="str">
        <f t="shared" si="1"/>
        <v/>
      </c>
      <c r="I1895" s="19"/>
    </row>
    <row r="1896" ht="15.75" customHeight="1">
      <c r="A1896" s="3"/>
      <c r="B1896" s="19"/>
      <c r="C1896" s="19"/>
      <c r="D1896" s="19"/>
      <c r="E1896" s="19"/>
      <c r="F1896" s="28"/>
      <c r="G1896" s="30"/>
      <c r="H1896" s="21" t="str">
        <f t="shared" si="1"/>
        <v/>
      </c>
      <c r="I1896" s="19"/>
    </row>
    <row r="1897" ht="15.75" customHeight="1">
      <c r="A1897" s="3"/>
      <c r="B1897" s="19"/>
      <c r="C1897" s="19"/>
      <c r="D1897" s="19"/>
      <c r="E1897" s="19"/>
      <c r="F1897" s="28"/>
      <c r="G1897" s="30"/>
      <c r="H1897" s="21" t="str">
        <f t="shared" si="1"/>
        <v/>
      </c>
      <c r="I1897" s="19"/>
    </row>
    <row r="1898" ht="15.75" customHeight="1">
      <c r="A1898" s="3"/>
      <c r="B1898" s="19"/>
      <c r="C1898" s="19"/>
      <c r="D1898" s="19"/>
      <c r="E1898" s="19"/>
      <c r="F1898" s="28"/>
      <c r="G1898" s="30"/>
      <c r="H1898" s="21" t="str">
        <f t="shared" si="1"/>
        <v/>
      </c>
      <c r="I1898" s="19"/>
    </row>
    <row r="1899" ht="15.75" customHeight="1">
      <c r="A1899" s="3"/>
      <c r="B1899" s="19"/>
      <c r="C1899" s="19"/>
      <c r="D1899" s="19"/>
      <c r="E1899" s="19"/>
      <c r="F1899" s="28"/>
      <c r="G1899" s="30"/>
      <c r="H1899" s="21" t="str">
        <f t="shared" si="1"/>
        <v/>
      </c>
      <c r="I1899" s="19"/>
    </row>
    <row r="1900" ht="15.75" customHeight="1">
      <c r="A1900" s="3"/>
      <c r="B1900" s="19"/>
      <c r="C1900" s="19"/>
      <c r="D1900" s="19"/>
      <c r="E1900" s="19"/>
      <c r="F1900" s="28"/>
      <c r="G1900" s="30"/>
      <c r="H1900" s="21" t="str">
        <f t="shared" si="1"/>
        <v/>
      </c>
      <c r="I1900" s="19"/>
    </row>
    <row r="1901" ht="15.75" customHeight="1">
      <c r="A1901" s="3"/>
      <c r="B1901" s="19"/>
      <c r="C1901" s="19"/>
      <c r="D1901" s="19"/>
      <c r="E1901" s="19"/>
      <c r="F1901" s="28"/>
      <c r="G1901" s="30"/>
      <c r="H1901" s="21" t="str">
        <f t="shared" si="1"/>
        <v/>
      </c>
      <c r="I1901" s="19"/>
    </row>
    <row r="1902" ht="15.75" customHeight="1">
      <c r="A1902" s="3"/>
      <c r="B1902" s="19"/>
      <c r="C1902" s="19"/>
      <c r="D1902" s="19"/>
      <c r="E1902" s="19"/>
      <c r="F1902" s="28"/>
      <c r="G1902" s="30"/>
      <c r="H1902" s="21" t="str">
        <f t="shared" si="1"/>
        <v/>
      </c>
      <c r="I1902" s="19"/>
    </row>
    <row r="1903" ht="15.75" customHeight="1">
      <c r="A1903" s="3"/>
      <c r="B1903" s="19"/>
      <c r="C1903" s="19"/>
      <c r="D1903" s="19"/>
      <c r="E1903" s="19"/>
      <c r="F1903" s="28"/>
      <c r="G1903" s="30"/>
      <c r="H1903" s="21" t="str">
        <f t="shared" si="1"/>
        <v/>
      </c>
      <c r="I1903" s="19"/>
    </row>
    <row r="1904" ht="15.75" customHeight="1">
      <c r="A1904" s="3"/>
      <c r="B1904" s="19"/>
      <c r="C1904" s="19"/>
      <c r="D1904" s="19"/>
      <c r="E1904" s="19"/>
      <c r="F1904" s="28"/>
      <c r="G1904" s="30"/>
      <c r="H1904" s="21" t="str">
        <f t="shared" si="1"/>
        <v/>
      </c>
      <c r="I1904" s="19"/>
    </row>
    <row r="1905" ht="15.75" customHeight="1">
      <c r="A1905" s="3"/>
      <c r="B1905" s="19"/>
      <c r="C1905" s="19"/>
      <c r="D1905" s="19"/>
      <c r="E1905" s="19"/>
      <c r="F1905" s="28"/>
      <c r="G1905" s="30"/>
      <c r="H1905" s="21" t="str">
        <f t="shared" si="1"/>
        <v/>
      </c>
      <c r="I1905" s="19"/>
    </row>
    <row r="1906" ht="15.75" customHeight="1">
      <c r="A1906" s="3"/>
      <c r="B1906" s="19"/>
      <c r="C1906" s="19"/>
      <c r="D1906" s="19"/>
      <c r="E1906" s="19"/>
      <c r="F1906" s="28"/>
      <c r="G1906" s="30"/>
      <c r="H1906" s="21" t="str">
        <f t="shared" si="1"/>
        <v/>
      </c>
      <c r="I1906" s="19"/>
    </row>
    <row r="1907" ht="15.75" customHeight="1">
      <c r="A1907" s="3"/>
      <c r="B1907" s="19"/>
      <c r="C1907" s="19"/>
      <c r="D1907" s="19"/>
      <c r="E1907" s="19"/>
      <c r="F1907" s="28"/>
      <c r="G1907" s="30"/>
      <c r="H1907" s="21" t="str">
        <f t="shared" si="1"/>
        <v/>
      </c>
      <c r="I1907" s="19"/>
    </row>
    <row r="1908" ht="15.75" customHeight="1">
      <c r="A1908" s="3"/>
      <c r="B1908" s="19"/>
      <c r="C1908" s="19"/>
      <c r="D1908" s="19"/>
      <c r="E1908" s="19"/>
      <c r="F1908" s="28"/>
      <c r="G1908" s="30"/>
      <c r="H1908" s="21" t="str">
        <f t="shared" si="1"/>
        <v/>
      </c>
      <c r="I1908" s="19"/>
    </row>
    <row r="1909" ht="15.75" customHeight="1">
      <c r="A1909" s="3"/>
      <c r="B1909" s="19"/>
      <c r="C1909" s="19"/>
      <c r="D1909" s="19"/>
      <c r="E1909" s="19"/>
      <c r="F1909" s="28"/>
      <c r="G1909" s="30"/>
      <c r="H1909" s="21" t="str">
        <f t="shared" si="1"/>
        <v/>
      </c>
      <c r="I1909" s="19"/>
    </row>
    <row r="1910" ht="15.75" customHeight="1">
      <c r="A1910" s="3"/>
      <c r="B1910" s="19"/>
      <c r="C1910" s="19"/>
      <c r="D1910" s="19"/>
      <c r="E1910" s="19"/>
      <c r="F1910" s="28"/>
      <c r="G1910" s="30"/>
      <c r="H1910" s="21" t="str">
        <f t="shared" si="1"/>
        <v/>
      </c>
      <c r="I1910" s="19"/>
    </row>
    <row r="1911" ht="15.75" customHeight="1">
      <c r="A1911" s="3"/>
      <c r="B1911" s="19"/>
      <c r="C1911" s="19"/>
      <c r="D1911" s="19"/>
      <c r="E1911" s="19"/>
      <c r="F1911" s="28"/>
      <c r="G1911" s="30"/>
      <c r="H1911" s="21" t="str">
        <f t="shared" si="1"/>
        <v/>
      </c>
      <c r="I1911" s="19"/>
    </row>
    <row r="1912" ht="15.75" customHeight="1">
      <c r="A1912" s="3"/>
      <c r="B1912" s="19"/>
      <c r="C1912" s="19"/>
      <c r="D1912" s="19"/>
      <c r="E1912" s="19"/>
      <c r="F1912" s="28"/>
      <c r="G1912" s="30"/>
      <c r="H1912" s="21" t="str">
        <f t="shared" si="1"/>
        <v/>
      </c>
      <c r="I1912" s="19"/>
    </row>
    <row r="1913" ht="15.75" customHeight="1">
      <c r="A1913" s="3"/>
      <c r="B1913" s="19"/>
      <c r="C1913" s="19"/>
      <c r="D1913" s="19"/>
      <c r="E1913" s="19"/>
      <c r="F1913" s="28"/>
      <c r="G1913" s="30"/>
      <c r="H1913" s="21" t="str">
        <f t="shared" si="1"/>
        <v/>
      </c>
      <c r="I1913" s="19"/>
    </row>
    <row r="1914" ht="15.75" customHeight="1">
      <c r="A1914" s="3"/>
      <c r="B1914" s="19"/>
      <c r="C1914" s="19"/>
      <c r="D1914" s="19"/>
      <c r="E1914" s="19"/>
      <c r="F1914" s="28"/>
      <c r="G1914" s="30"/>
      <c r="H1914" s="21" t="str">
        <f t="shared" si="1"/>
        <v/>
      </c>
      <c r="I1914" s="19"/>
    </row>
    <row r="1915" ht="15.75" customHeight="1">
      <c r="A1915" s="3"/>
      <c r="B1915" s="19"/>
      <c r="C1915" s="19"/>
      <c r="D1915" s="19"/>
      <c r="E1915" s="19"/>
      <c r="F1915" s="28"/>
      <c r="G1915" s="30"/>
      <c r="H1915" s="21" t="str">
        <f t="shared" si="1"/>
        <v/>
      </c>
      <c r="I1915" s="19"/>
    </row>
    <row r="1916" ht="15.75" customHeight="1">
      <c r="A1916" s="3"/>
      <c r="B1916" s="19"/>
      <c r="C1916" s="19"/>
      <c r="D1916" s="19"/>
      <c r="E1916" s="19"/>
      <c r="F1916" s="28"/>
      <c r="G1916" s="30"/>
      <c r="H1916" s="21" t="str">
        <f t="shared" si="1"/>
        <v/>
      </c>
      <c r="I1916" s="19"/>
    </row>
    <row r="1917" ht="15.75" customHeight="1">
      <c r="A1917" s="3"/>
      <c r="B1917" s="19"/>
      <c r="C1917" s="19"/>
      <c r="D1917" s="19"/>
      <c r="E1917" s="19"/>
      <c r="F1917" s="28"/>
      <c r="G1917" s="30"/>
      <c r="H1917" s="21" t="str">
        <f t="shared" si="1"/>
        <v/>
      </c>
      <c r="I1917" s="19"/>
    </row>
    <row r="1918" ht="15.75" customHeight="1">
      <c r="A1918" s="3"/>
      <c r="B1918" s="19"/>
      <c r="C1918" s="19"/>
      <c r="D1918" s="19"/>
      <c r="E1918" s="19"/>
      <c r="F1918" s="28"/>
      <c r="G1918" s="30"/>
      <c r="H1918" s="21" t="str">
        <f t="shared" si="1"/>
        <v/>
      </c>
      <c r="I1918" s="19"/>
    </row>
    <row r="1919" ht="15.75" customHeight="1">
      <c r="A1919" s="3"/>
      <c r="B1919" s="19"/>
      <c r="C1919" s="19"/>
      <c r="D1919" s="19"/>
      <c r="E1919" s="19"/>
      <c r="F1919" s="28"/>
      <c r="G1919" s="30"/>
      <c r="H1919" s="21" t="str">
        <f t="shared" si="1"/>
        <v/>
      </c>
      <c r="I1919" s="19"/>
    </row>
    <row r="1920" ht="15.75" customHeight="1">
      <c r="A1920" s="3"/>
      <c r="B1920" s="19"/>
      <c r="C1920" s="19"/>
      <c r="D1920" s="19"/>
      <c r="E1920" s="19"/>
      <c r="F1920" s="28"/>
      <c r="G1920" s="30"/>
      <c r="H1920" s="21" t="str">
        <f t="shared" si="1"/>
        <v/>
      </c>
      <c r="I1920" s="19"/>
    </row>
    <row r="1921" ht="15.75" customHeight="1">
      <c r="A1921" s="3"/>
      <c r="B1921" s="19"/>
      <c r="C1921" s="19"/>
      <c r="D1921" s="19"/>
      <c r="E1921" s="19"/>
      <c r="F1921" s="28"/>
      <c r="G1921" s="30"/>
      <c r="H1921" s="21" t="str">
        <f t="shared" si="1"/>
        <v/>
      </c>
      <c r="I1921" s="19"/>
    </row>
    <row r="1922" ht="15.75" customHeight="1">
      <c r="A1922" s="3"/>
      <c r="B1922" s="19"/>
      <c r="C1922" s="19"/>
      <c r="D1922" s="19"/>
      <c r="E1922" s="19"/>
      <c r="F1922" s="28"/>
      <c r="G1922" s="30"/>
      <c r="H1922" s="21" t="str">
        <f t="shared" si="1"/>
        <v/>
      </c>
      <c r="I1922" s="19"/>
    </row>
    <row r="1923" ht="15.75" customHeight="1">
      <c r="A1923" s="3"/>
      <c r="B1923" s="19"/>
      <c r="C1923" s="19"/>
      <c r="D1923" s="19"/>
      <c r="E1923" s="19"/>
      <c r="F1923" s="28"/>
      <c r="G1923" s="30"/>
      <c r="H1923" s="21" t="str">
        <f t="shared" si="1"/>
        <v/>
      </c>
      <c r="I1923" s="19"/>
    </row>
    <row r="1924" ht="15.75" customHeight="1">
      <c r="A1924" s="3"/>
      <c r="B1924" s="19"/>
      <c r="C1924" s="19"/>
      <c r="D1924" s="19"/>
      <c r="E1924" s="19"/>
      <c r="F1924" s="28"/>
      <c r="G1924" s="30"/>
      <c r="H1924" s="21" t="str">
        <f t="shared" si="1"/>
        <v/>
      </c>
      <c r="I1924" s="19"/>
    </row>
    <row r="1925" ht="15.75" customHeight="1">
      <c r="A1925" s="3"/>
      <c r="B1925" s="19"/>
      <c r="C1925" s="19"/>
      <c r="D1925" s="19"/>
      <c r="E1925" s="19"/>
      <c r="F1925" s="28"/>
      <c r="G1925" s="30"/>
      <c r="H1925" s="21" t="str">
        <f t="shared" si="1"/>
        <v/>
      </c>
      <c r="I1925" s="19"/>
    </row>
    <row r="1926" ht="15.75" customHeight="1">
      <c r="A1926" s="3"/>
      <c r="B1926" s="19"/>
      <c r="C1926" s="19"/>
      <c r="D1926" s="19"/>
      <c r="E1926" s="19"/>
      <c r="F1926" s="28"/>
      <c r="G1926" s="30"/>
      <c r="H1926" s="21" t="str">
        <f t="shared" si="1"/>
        <v/>
      </c>
      <c r="I1926" s="19"/>
    </row>
    <row r="1927" ht="15.75" customHeight="1">
      <c r="A1927" s="3"/>
      <c r="B1927" s="19"/>
      <c r="C1927" s="19"/>
      <c r="D1927" s="19"/>
      <c r="E1927" s="19"/>
      <c r="F1927" s="28"/>
      <c r="G1927" s="30"/>
      <c r="H1927" s="21" t="str">
        <f t="shared" si="1"/>
        <v/>
      </c>
      <c r="I1927" s="19"/>
    </row>
    <row r="1928" ht="15.75" customHeight="1">
      <c r="A1928" s="3"/>
      <c r="B1928" s="19"/>
      <c r="C1928" s="19"/>
      <c r="D1928" s="19"/>
      <c r="E1928" s="19"/>
      <c r="F1928" s="28"/>
      <c r="G1928" s="30"/>
      <c r="H1928" s="21" t="str">
        <f t="shared" si="1"/>
        <v/>
      </c>
      <c r="I1928" s="19"/>
    </row>
    <row r="1929" ht="15.75" customHeight="1">
      <c r="A1929" s="3"/>
      <c r="B1929" s="19"/>
      <c r="C1929" s="19"/>
      <c r="D1929" s="19"/>
      <c r="E1929" s="19"/>
      <c r="F1929" s="28"/>
      <c r="G1929" s="30"/>
      <c r="H1929" s="21" t="str">
        <f t="shared" si="1"/>
        <v/>
      </c>
      <c r="I1929" s="19"/>
    </row>
    <row r="1930" ht="15.75" customHeight="1">
      <c r="A1930" s="3"/>
      <c r="B1930" s="19"/>
      <c r="C1930" s="19"/>
      <c r="D1930" s="19"/>
      <c r="E1930" s="19"/>
      <c r="F1930" s="28"/>
      <c r="G1930" s="30"/>
      <c r="H1930" s="21" t="str">
        <f t="shared" si="1"/>
        <v/>
      </c>
      <c r="I1930" s="19"/>
    </row>
    <row r="1931" ht="15.75" customHeight="1">
      <c r="A1931" s="3"/>
      <c r="B1931" s="19"/>
      <c r="C1931" s="19"/>
      <c r="D1931" s="19"/>
      <c r="E1931" s="19"/>
      <c r="F1931" s="28"/>
      <c r="G1931" s="30"/>
      <c r="H1931" s="21" t="str">
        <f t="shared" si="1"/>
        <v/>
      </c>
      <c r="I1931" s="19"/>
    </row>
    <row r="1932" ht="15.75" customHeight="1">
      <c r="A1932" s="3"/>
      <c r="B1932" s="19"/>
      <c r="C1932" s="19"/>
      <c r="D1932" s="19"/>
      <c r="E1932" s="19"/>
      <c r="F1932" s="28"/>
      <c r="G1932" s="30"/>
      <c r="H1932" s="21" t="str">
        <f t="shared" si="1"/>
        <v/>
      </c>
      <c r="I1932" s="19"/>
    </row>
    <row r="1933" ht="15.75" customHeight="1">
      <c r="A1933" s="3"/>
      <c r="B1933" s="19"/>
      <c r="C1933" s="19"/>
      <c r="D1933" s="19"/>
      <c r="E1933" s="19"/>
      <c r="F1933" s="28"/>
      <c r="G1933" s="30"/>
      <c r="H1933" s="21" t="str">
        <f t="shared" si="1"/>
        <v/>
      </c>
      <c r="I1933" s="19"/>
    </row>
    <row r="1934" ht="15.75" customHeight="1">
      <c r="A1934" s="3"/>
      <c r="B1934" s="19"/>
      <c r="C1934" s="19"/>
      <c r="D1934" s="19"/>
      <c r="E1934" s="19"/>
      <c r="F1934" s="28"/>
      <c r="G1934" s="30"/>
      <c r="H1934" s="21" t="str">
        <f t="shared" si="1"/>
        <v/>
      </c>
      <c r="I1934" s="19"/>
    </row>
    <row r="1935" ht="15.75" customHeight="1">
      <c r="A1935" s="3"/>
      <c r="B1935" s="19"/>
      <c r="C1935" s="19"/>
      <c r="D1935" s="19"/>
      <c r="E1935" s="19"/>
      <c r="F1935" s="28"/>
      <c r="G1935" s="30"/>
      <c r="H1935" s="21" t="str">
        <f t="shared" si="1"/>
        <v/>
      </c>
      <c r="I1935" s="19"/>
    </row>
    <row r="1936" ht="15.75" customHeight="1">
      <c r="A1936" s="3"/>
      <c r="B1936" s="19"/>
      <c r="C1936" s="19"/>
      <c r="D1936" s="19"/>
      <c r="E1936" s="19"/>
      <c r="F1936" s="28"/>
      <c r="G1936" s="30"/>
      <c r="H1936" s="21" t="str">
        <f t="shared" si="1"/>
        <v/>
      </c>
      <c r="I1936" s="19"/>
    </row>
    <row r="1937" ht="15.75" customHeight="1">
      <c r="A1937" s="3"/>
      <c r="B1937" s="19"/>
      <c r="C1937" s="19"/>
      <c r="D1937" s="19"/>
      <c r="E1937" s="19"/>
      <c r="F1937" s="28"/>
      <c r="G1937" s="30"/>
      <c r="H1937" s="21" t="str">
        <f t="shared" si="1"/>
        <v/>
      </c>
      <c r="I1937" s="19"/>
    </row>
    <row r="1938" ht="15.75" customHeight="1">
      <c r="A1938" s="3"/>
      <c r="B1938" s="19"/>
      <c r="C1938" s="19"/>
      <c r="D1938" s="19"/>
      <c r="E1938" s="19"/>
      <c r="F1938" s="28"/>
      <c r="G1938" s="30"/>
      <c r="H1938" s="21" t="str">
        <f t="shared" si="1"/>
        <v/>
      </c>
      <c r="I1938" s="19"/>
    </row>
    <row r="1939" ht="15.75" customHeight="1">
      <c r="A1939" s="3"/>
      <c r="B1939" s="19"/>
      <c r="C1939" s="19"/>
      <c r="D1939" s="19"/>
      <c r="E1939" s="19"/>
      <c r="F1939" s="28"/>
      <c r="G1939" s="30"/>
      <c r="H1939" s="21" t="str">
        <f t="shared" si="1"/>
        <v/>
      </c>
      <c r="I1939" s="19"/>
    </row>
    <row r="1940" ht="15.75" customHeight="1">
      <c r="A1940" s="3"/>
      <c r="B1940" s="19"/>
      <c r="C1940" s="19"/>
      <c r="D1940" s="19"/>
      <c r="E1940" s="19"/>
      <c r="F1940" s="28"/>
      <c r="G1940" s="30"/>
      <c r="H1940" s="21" t="str">
        <f t="shared" si="1"/>
        <v/>
      </c>
      <c r="I1940" s="19"/>
    </row>
    <row r="1941" ht="15.75" customHeight="1">
      <c r="A1941" s="3"/>
      <c r="B1941" s="19"/>
      <c r="C1941" s="19"/>
      <c r="D1941" s="19"/>
      <c r="E1941" s="19"/>
      <c r="F1941" s="28"/>
      <c r="G1941" s="30"/>
      <c r="H1941" s="21" t="str">
        <f t="shared" si="1"/>
        <v/>
      </c>
      <c r="I1941" s="19"/>
    </row>
    <row r="1942" ht="15.75" customHeight="1">
      <c r="A1942" s="3"/>
      <c r="B1942" s="19"/>
      <c r="C1942" s="19"/>
      <c r="D1942" s="19"/>
      <c r="E1942" s="19"/>
      <c r="F1942" s="28"/>
      <c r="G1942" s="30"/>
      <c r="H1942" s="21" t="str">
        <f t="shared" si="1"/>
        <v/>
      </c>
      <c r="I1942" s="19"/>
    </row>
    <row r="1943" ht="15.75" customHeight="1">
      <c r="A1943" s="3"/>
      <c r="B1943" s="19"/>
      <c r="C1943" s="19"/>
      <c r="D1943" s="19"/>
      <c r="E1943" s="19"/>
      <c r="F1943" s="28"/>
      <c r="G1943" s="30"/>
      <c r="H1943" s="21" t="str">
        <f t="shared" si="1"/>
        <v/>
      </c>
      <c r="I1943" s="19"/>
    </row>
    <row r="1944" ht="15.75" customHeight="1">
      <c r="A1944" s="3"/>
      <c r="B1944" s="19"/>
      <c r="C1944" s="19"/>
      <c r="D1944" s="19"/>
      <c r="E1944" s="19"/>
      <c r="F1944" s="28"/>
      <c r="G1944" s="30"/>
      <c r="H1944" s="21" t="str">
        <f t="shared" si="1"/>
        <v/>
      </c>
      <c r="I1944" s="19"/>
    </row>
    <row r="1945" ht="15.75" customHeight="1">
      <c r="A1945" s="3"/>
      <c r="B1945" s="19"/>
      <c r="C1945" s="19"/>
      <c r="D1945" s="19"/>
      <c r="E1945" s="19"/>
      <c r="F1945" s="28"/>
      <c r="G1945" s="30"/>
      <c r="H1945" s="21" t="str">
        <f t="shared" si="1"/>
        <v/>
      </c>
      <c r="I1945" s="19"/>
    </row>
    <row r="1946" ht="15.75" customHeight="1">
      <c r="A1946" s="3"/>
      <c r="B1946" s="19"/>
      <c r="C1946" s="19"/>
      <c r="D1946" s="19"/>
      <c r="E1946" s="19"/>
      <c r="F1946" s="28"/>
      <c r="G1946" s="30"/>
      <c r="H1946" s="21" t="str">
        <f t="shared" si="1"/>
        <v/>
      </c>
      <c r="I1946" s="19"/>
    </row>
    <row r="1947" ht="15.75" customHeight="1">
      <c r="A1947" s="3"/>
      <c r="B1947" s="19"/>
      <c r="C1947" s="19"/>
      <c r="D1947" s="19"/>
      <c r="E1947" s="19"/>
      <c r="F1947" s="28"/>
      <c r="G1947" s="30"/>
      <c r="H1947" s="21" t="str">
        <f t="shared" si="1"/>
        <v/>
      </c>
      <c r="I1947" s="19"/>
    </row>
    <row r="1948" ht="15.75" customHeight="1">
      <c r="A1948" s="3"/>
      <c r="B1948" s="19"/>
      <c r="C1948" s="19"/>
      <c r="D1948" s="19"/>
      <c r="E1948" s="19"/>
      <c r="F1948" s="28"/>
      <c r="G1948" s="30"/>
      <c r="H1948" s="21" t="str">
        <f t="shared" si="1"/>
        <v/>
      </c>
      <c r="I1948" s="19"/>
    </row>
    <row r="1949" ht="15.75" customHeight="1">
      <c r="A1949" s="3"/>
      <c r="B1949" s="19"/>
      <c r="C1949" s="19"/>
      <c r="D1949" s="19"/>
      <c r="E1949" s="19"/>
      <c r="F1949" s="28"/>
      <c r="G1949" s="30"/>
      <c r="H1949" s="21" t="str">
        <f t="shared" si="1"/>
        <v/>
      </c>
      <c r="I1949" s="19"/>
    </row>
    <row r="1950" ht="15.75" customHeight="1">
      <c r="A1950" s="3"/>
      <c r="B1950" s="19"/>
      <c r="C1950" s="19"/>
      <c r="D1950" s="19"/>
      <c r="E1950" s="19"/>
      <c r="F1950" s="28"/>
      <c r="G1950" s="30"/>
      <c r="H1950" s="21" t="str">
        <f t="shared" si="1"/>
        <v/>
      </c>
      <c r="I1950" s="19"/>
    </row>
    <row r="1951" ht="15.75" customHeight="1">
      <c r="A1951" s="3"/>
      <c r="B1951" s="19"/>
      <c r="C1951" s="19"/>
      <c r="D1951" s="19"/>
      <c r="E1951" s="19"/>
      <c r="F1951" s="28"/>
      <c r="G1951" s="30"/>
      <c r="H1951" s="21" t="str">
        <f t="shared" si="1"/>
        <v/>
      </c>
      <c r="I1951" s="19"/>
    </row>
    <row r="1952" ht="15.75" customHeight="1">
      <c r="A1952" s="3"/>
      <c r="B1952" s="19"/>
      <c r="C1952" s="19"/>
      <c r="D1952" s="19"/>
      <c r="E1952" s="19"/>
      <c r="F1952" s="28"/>
      <c r="G1952" s="30"/>
      <c r="H1952" s="21" t="str">
        <f t="shared" si="1"/>
        <v/>
      </c>
      <c r="I1952" s="19"/>
    </row>
    <row r="1953" ht="15.75" customHeight="1">
      <c r="A1953" s="3"/>
      <c r="B1953" s="19"/>
      <c r="C1953" s="19"/>
      <c r="D1953" s="19"/>
      <c r="E1953" s="19"/>
      <c r="F1953" s="28"/>
      <c r="G1953" s="30"/>
      <c r="H1953" s="21" t="str">
        <f t="shared" si="1"/>
        <v/>
      </c>
      <c r="I1953" s="19"/>
    </row>
    <row r="1954" ht="15.75" customHeight="1">
      <c r="A1954" s="3"/>
      <c r="B1954" s="19"/>
      <c r="C1954" s="19"/>
      <c r="D1954" s="19"/>
      <c r="E1954" s="19"/>
      <c r="F1954" s="28"/>
      <c r="G1954" s="30"/>
      <c r="H1954" s="21" t="str">
        <f t="shared" si="1"/>
        <v/>
      </c>
      <c r="I1954" s="19"/>
    </row>
    <row r="1955" ht="15.75" customHeight="1">
      <c r="A1955" s="3"/>
      <c r="B1955" s="19"/>
      <c r="C1955" s="19"/>
      <c r="D1955" s="19"/>
      <c r="E1955" s="19"/>
      <c r="F1955" s="28"/>
      <c r="G1955" s="30"/>
      <c r="H1955" s="21" t="str">
        <f t="shared" si="1"/>
        <v/>
      </c>
      <c r="I1955" s="19"/>
    </row>
    <row r="1956" ht="15.75" customHeight="1">
      <c r="A1956" s="3"/>
      <c r="B1956" s="19"/>
      <c r="C1956" s="19"/>
      <c r="D1956" s="19"/>
      <c r="E1956" s="19"/>
      <c r="F1956" s="28"/>
      <c r="G1956" s="30"/>
      <c r="H1956" s="21" t="str">
        <f t="shared" si="1"/>
        <v/>
      </c>
      <c r="I1956" s="19"/>
    </row>
    <row r="1957" ht="15.75" customHeight="1">
      <c r="A1957" s="3"/>
      <c r="B1957" s="19"/>
      <c r="C1957" s="19"/>
      <c r="D1957" s="19"/>
      <c r="E1957" s="19"/>
      <c r="F1957" s="28"/>
      <c r="G1957" s="30"/>
      <c r="H1957" s="21" t="str">
        <f t="shared" si="1"/>
        <v/>
      </c>
      <c r="I1957" s="19"/>
    </row>
    <row r="1958" ht="15.75" customHeight="1">
      <c r="A1958" s="3"/>
      <c r="B1958" s="19"/>
      <c r="C1958" s="19"/>
      <c r="D1958" s="19"/>
      <c r="E1958" s="19"/>
      <c r="F1958" s="28"/>
      <c r="G1958" s="30"/>
      <c r="H1958" s="21" t="str">
        <f t="shared" si="1"/>
        <v/>
      </c>
      <c r="I1958" s="19"/>
    </row>
    <row r="1959" ht="15.75" customHeight="1">
      <c r="A1959" s="3"/>
      <c r="B1959" s="19"/>
      <c r="C1959" s="19"/>
      <c r="D1959" s="19"/>
      <c r="E1959" s="19"/>
      <c r="F1959" s="28"/>
      <c r="G1959" s="30"/>
      <c r="H1959" s="21" t="str">
        <f t="shared" si="1"/>
        <v/>
      </c>
      <c r="I1959" s="19"/>
    </row>
    <row r="1960" ht="15.75" customHeight="1">
      <c r="A1960" s="3"/>
      <c r="B1960" s="19"/>
      <c r="C1960" s="19"/>
      <c r="D1960" s="19"/>
      <c r="E1960" s="19"/>
      <c r="F1960" s="28"/>
      <c r="G1960" s="30"/>
      <c r="H1960" s="21" t="str">
        <f t="shared" si="1"/>
        <v/>
      </c>
      <c r="I1960" s="19"/>
    </row>
    <row r="1961" ht="15.75" customHeight="1">
      <c r="A1961" s="3"/>
      <c r="B1961" s="19"/>
      <c r="C1961" s="19"/>
      <c r="D1961" s="19"/>
      <c r="E1961" s="19"/>
      <c r="F1961" s="28"/>
      <c r="G1961" s="30"/>
      <c r="H1961" s="21" t="str">
        <f t="shared" si="1"/>
        <v/>
      </c>
      <c r="I1961" s="19"/>
    </row>
    <row r="1962" ht="15.75" customHeight="1">
      <c r="A1962" s="3"/>
      <c r="B1962" s="19"/>
      <c r="C1962" s="19"/>
      <c r="D1962" s="19"/>
      <c r="E1962" s="19"/>
      <c r="F1962" s="28"/>
      <c r="G1962" s="30"/>
      <c r="H1962" s="21" t="str">
        <f t="shared" si="1"/>
        <v/>
      </c>
      <c r="I1962" s="19"/>
    </row>
    <row r="1963" ht="15.75" customHeight="1">
      <c r="A1963" s="3"/>
      <c r="B1963" s="19"/>
      <c r="C1963" s="19"/>
      <c r="D1963" s="19"/>
      <c r="E1963" s="19"/>
      <c r="F1963" s="28"/>
      <c r="G1963" s="30"/>
      <c r="H1963" s="21" t="str">
        <f t="shared" si="1"/>
        <v/>
      </c>
      <c r="I1963" s="19"/>
    </row>
    <row r="1964" ht="15.75" customHeight="1">
      <c r="A1964" s="3"/>
      <c r="B1964" s="19"/>
      <c r="C1964" s="19"/>
      <c r="D1964" s="19"/>
      <c r="E1964" s="19"/>
      <c r="F1964" s="28"/>
      <c r="G1964" s="30"/>
      <c r="H1964" s="21" t="str">
        <f t="shared" si="1"/>
        <v/>
      </c>
      <c r="I1964" s="19"/>
    </row>
    <row r="1965" ht="15.75" customHeight="1">
      <c r="A1965" s="3"/>
      <c r="B1965" s="19"/>
      <c r="C1965" s="19"/>
      <c r="D1965" s="19"/>
      <c r="E1965" s="19"/>
      <c r="F1965" s="28"/>
      <c r="G1965" s="30"/>
      <c r="H1965" s="21" t="str">
        <f t="shared" si="1"/>
        <v/>
      </c>
      <c r="I1965" s="19"/>
    </row>
    <row r="1966" ht="15.75" customHeight="1">
      <c r="A1966" s="3"/>
      <c r="B1966" s="19"/>
      <c r="C1966" s="19"/>
      <c r="D1966" s="19"/>
      <c r="E1966" s="19"/>
      <c r="F1966" s="28"/>
      <c r="G1966" s="30"/>
      <c r="H1966" s="21" t="str">
        <f t="shared" si="1"/>
        <v/>
      </c>
      <c r="I1966" s="19"/>
    </row>
    <row r="1967" ht="15.75" customHeight="1">
      <c r="A1967" s="3"/>
      <c r="B1967" s="19"/>
      <c r="C1967" s="19"/>
      <c r="D1967" s="19"/>
      <c r="E1967" s="19"/>
      <c r="F1967" s="28"/>
      <c r="G1967" s="30"/>
      <c r="H1967" s="21" t="str">
        <f t="shared" si="1"/>
        <v/>
      </c>
      <c r="I1967" s="19"/>
    </row>
    <row r="1968" ht="15.75" customHeight="1">
      <c r="A1968" s="3"/>
      <c r="B1968" s="19"/>
      <c r="C1968" s="19"/>
      <c r="D1968" s="19"/>
      <c r="E1968" s="19"/>
      <c r="F1968" s="28"/>
      <c r="G1968" s="30"/>
      <c r="H1968" s="21" t="str">
        <f t="shared" si="1"/>
        <v/>
      </c>
      <c r="I1968" s="19"/>
    </row>
    <row r="1969" ht="15.75" customHeight="1">
      <c r="A1969" s="3"/>
      <c r="B1969" s="19"/>
      <c r="C1969" s="19"/>
      <c r="D1969" s="19"/>
      <c r="E1969" s="19"/>
      <c r="F1969" s="28"/>
      <c r="G1969" s="30"/>
      <c r="H1969" s="21" t="str">
        <f t="shared" si="1"/>
        <v/>
      </c>
      <c r="I1969" s="19"/>
    </row>
    <row r="1970" ht="15.75" customHeight="1">
      <c r="A1970" s="3"/>
      <c r="B1970" s="19"/>
      <c r="C1970" s="19"/>
      <c r="D1970" s="19"/>
      <c r="E1970" s="19"/>
      <c r="F1970" s="28"/>
      <c r="G1970" s="30"/>
      <c r="H1970" s="21" t="str">
        <f t="shared" si="1"/>
        <v/>
      </c>
      <c r="I1970" s="19"/>
    </row>
    <row r="1971" ht="15.75" customHeight="1">
      <c r="A1971" s="3"/>
      <c r="B1971" s="19"/>
      <c r="C1971" s="19"/>
      <c r="D1971" s="19"/>
      <c r="E1971" s="19"/>
      <c r="F1971" s="28"/>
      <c r="G1971" s="30"/>
      <c r="H1971" s="21" t="str">
        <f t="shared" si="1"/>
        <v/>
      </c>
      <c r="I1971" s="19"/>
    </row>
    <row r="1972" ht="15.75" customHeight="1">
      <c r="A1972" s="3"/>
      <c r="B1972" s="19"/>
      <c r="C1972" s="19"/>
      <c r="D1972" s="19"/>
      <c r="E1972" s="19"/>
      <c r="F1972" s="28"/>
      <c r="G1972" s="30"/>
      <c r="H1972" s="21" t="str">
        <f t="shared" si="1"/>
        <v/>
      </c>
      <c r="I1972" s="19"/>
    </row>
    <row r="1973" ht="15.75" customHeight="1">
      <c r="A1973" s="3"/>
      <c r="B1973" s="19"/>
      <c r="C1973" s="19"/>
      <c r="D1973" s="19"/>
      <c r="E1973" s="19"/>
      <c r="F1973" s="28"/>
      <c r="G1973" s="30"/>
      <c r="H1973" s="21" t="str">
        <f t="shared" si="1"/>
        <v/>
      </c>
      <c r="I1973" s="19"/>
    </row>
    <row r="1974" ht="15.75" customHeight="1">
      <c r="A1974" s="3"/>
      <c r="B1974" s="19"/>
      <c r="C1974" s="19"/>
      <c r="D1974" s="19"/>
      <c r="E1974" s="19"/>
      <c r="F1974" s="28"/>
      <c r="G1974" s="30"/>
      <c r="H1974" s="21" t="str">
        <f t="shared" si="1"/>
        <v/>
      </c>
      <c r="I1974" s="19"/>
    </row>
    <row r="1975" ht="15.75" customHeight="1">
      <c r="A1975" s="3"/>
      <c r="B1975" s="19"/>
      <c r="C1975" s="19"/>
      <c r="D1975" s="19"/>
      <c r="E1975" s="19"/>
      <c r="F1975" s="28"/>
      <c r="G1975" s="30"/>
      <c r="H1975" s="21" t="str">
        <f t="shared" si="1"/>
        <v/>
      </c>
      <c r="I1975" s="19"/>
    </row>
    <row r="1976" ht="15.75" customHeight="1">
      <c r="A1976" s="3"/>
      <c r="B1976" s="19"/>
      <c r="C1976" s="19"/>
      <c r="D1976" s="19"/>
      <c r="E1976" s="19"/>
      <c r="F1976" s="28"/>
      <c r="G1976" s="30"/>
      <c r="H1976" s="21" t="str">
        <f t="shared" si="1"/>
        <v/>
      </c>
      <c r="I1976" s="19"/>
    </row>
    <row r="1977" ht="15.75" customHeight="1">
      <c r="A1977" s="3"/>
      <c r="B1977" s="19"/>
      <c r="C1977" s="19"/>
      <c r="D1977" s="19"/>
      <c r="E1977" s="19"/>
      <c r="F1977" s="28"/>
      <c r="G1977" s="30"/>
      <c r="H1977" s="21" t="str">
        <f t="shared" si="1"/>
        <v/>
      </c>
      <c r="I1977" s="19"/>
    </row>
    <row r="1978" ht="15.75" customHeight="1">
      <c r="A1978" s="3"/>
      <c r="B1978" s="19"/>
      <c r="C1978" s="19"/>
      <c r="D1978" s="19"/>
      <c r="E1978" s="19"/>
      <c r="F1978" s="28"/>
      <c r="G1978" s="30"/>
      <c r="H1978" s="21" t="str">
        <f t="shared" si="1"/>
        <v/>
      </c>
      <c r="I1978" s="19"/>
    </row>
    <row r="1979" ht="15.75" customHeight="1">
      <c r="A1979" s="3"/>
      <c r="B1979" s="19"/>
      <c r="C1979" s="19"/>
      <c r="D1979" s="19"/>
      <c r="E1979" s="19"/>
      <c r="F1979" s="28"/>
      <c r="G1979" s="30"/>
      <c r="H1979" s="21" t="str">
        <f t="shared" si="1"/>
        <v/>
      </c>
      <c r="I1979" s="19"/>
    </row>
    <row r="1980" ht="15.75" customHeight="1">
      <c r="A1980" s="3"/>
      <c r="B1980" s="19"/>
      <c r="C1980" s="19"/>
      <c r="D1980" s="19"/>
      <c r="E1980" s="19"/>
      <c r="F1980" s="28"/>
      <c r="G1980" s="30"/>
      <c r="H1980" s="21" t="str">
        <f t="shared" si="1"/>
        <v/>
      </c>
      <c r="I1980" s="19"/>
    </row>
    <row r="1981" ht="15.75" customHeight="1">
      <c r="A1981" s="3"/>
      <c r="B1981" s="19"/>
      <c r="C1981" s="19"/>
      <c r="D1981" s="19"/>
      <c r="E1981" s="19"/>
      <c r="F1981" s="28"/>
      <c r="G1981" s="30"/>
      <c r="H1981" s="21" t="str">
        <f t="shared" si="1"/>
        <v/>
      </c>
      <c r="I1981" s="19"/>
    </row>
    <row r="1982" ht="15.75" customHeight="1">
      <c r="A1982" s="3"/>
      <c r="B1982" s="19"/>
      <c r="C1982" s="19"/>
      <c r="D1982" s="19"/>
      <c r="E1982" s="19"/>
      <c r="F1982" s="28"/>
      <c r="G1982" s="30"/>
      <c r="H1982" s="21" t="str">
        <f t="shared" si="1"/>
        <v/>
      </c>
      <c r="I1982" s="19"/>
    </row>
    <row r="1983" ht="15.75" customHeight="1">
      <c r="A1983" s="3"/>
      <c r="B1983" s="19"/>
      <c r="C1983" s="19"/>
      <c r="D1983" s="19"/>
      <c r="E1983" s="19"/>
      <c r="F1983" s="28"/>
      <c r="G1983" s="30"/>
      <c r="H1983" s="21" t="str">
        <f t="shared" si="1"/>
        <v/>
      </c>
      <c r="I1983" s="19"/>
    </row>
    <row r="1984" ht="15.75" customHeight="1">
      <c r="A1984" s="3"/>
      <c r="B1984" s="19"/>
      <c r="C1984" s="19"/>
      <c r="D1984" s="19"/>
      <c r="E1984" s="19"/>
      <c r="F1984" s="28"/>
      <c r="G1984" s="30"/>
      <c r="H1984" s="21" t="str">
        <f t="shared" si="1"/>
        <v/>
      </c>
      <c r="I1984" s="19"/>
    </row>
    <row r="1985" ht="15.75" customHeight="1">
      <c r="A1985" s="3"/>
      <c r="B1985" s="19"/>
      <c r="C1985" s="19"/>
      <c r="D1985" s="19"/>
      <c r="E1985" s="19"/>
      <c r="F1985" s="28"/>
      <c r="G1985" s="30"/>
      <c r="H1985" s="21" t="str">
        <f t="shared" si="1"/>
        <v/>
      </c>
      <c r="I1985" s="19"/>
    </row>
    <row r="1986" ht="15.75" customHeight="1">
      <c r="A1986" s="3"/>
      <c r="B1986" s="19"/>
      <c r="C1986" s="19"/>
      <c r="D1986" s="19"/>
      <c r="E1986" s="19"/>
      <c r="F1986" s="28"/>
      <c r="G1986" s="30"/>
      <c r="H1986" s="21" t="str">
        <f t="shared" si="1"/>
        <v/>
      </c>
      <c r="I1986" s="19"/>
    </row>
    <row r="1987" ht="15.75" customHeight="1">
      <c r="A1987" s="3"/>
      <c r="B1987" s="19"/>
      <c r="C1987" s="19"/>
      <c r="D1987" s="19"/>
      <c r="E1987" s="19"/>
      <c r="F1987" s="28"/>
      <c r="G1987" s="30"/>
      <c r="H1987" s="21" t="str">
        <f t="shared" si="1"/>
        <v/>
      </c>
      <c r="I1987" s="19"/>
    </row>
    <row r="1988" ht="15.75" customHeight="1">
      <c r="A1988" s="3"/>
      <c r="B1988" s="19"/>
      <c r="C1988" s="19"/>
      <c r="D1988" s="19"/>
      <c r="E1988" s="19"/>
      <c r="F1988" s="28"/>
      <c r="G1988" s="30"/>
      <c r="H1988" s="21" t="str">
        <f t="shared" si="1"/>
        <v/>
      </c>
      <c r="I1988" s="19"/>
    </row>
    <row r="1989" ht="15.75" customHeight="1">
      <c r="A1989" s="3"/>
      <c r="B1989" s="19"/>
      <c r="C1989" s="19"/>
      <c r="D1989" s="19"/>
      <c r="E1989" s="19"/>
      <c r="F1989" s="28"/>
      <c r="G1989" s="30"/>
      <c r="H1989" s="21" t="str">
        <f t="shared" si="1"/>
        <v/>
      </c>
      <c r="I1989" s="19"/>
    </row>
    <row r="1990" ht="15.75" customHeight="1">
      <c r="A1990" s="3"/>
      <c r="B1990" s="19"/>
      <c r="C1990" s="19"/>
      <c r="D1990" s="19"/>
      <c r="E1990" s="19"/>
      <c r="F1990" s="28"/>
      <c r="G1990" s="30"/>
      <c r="H1990" s="21" t="str">
        <f t="shared" si="1"/>
        <v/>
      </c>
      <c r="I1990" s="19"/>
    </row>
    <row r="1991" ht="15.75" customHeight="1">
      <c r="A1991" s="3"/>
      <c r="B1991" s="19"/>
      <c r="C1991" s="19"/>
      <c r="D1991" s="19"/>
      <c r="E1991" s="19"/>
      <c r="F1991" s="28"/>
      <c r="G1991" s="30"/>
      <c r="H1991" s="21" t="str">
        <f t="shared" si="1"/>
        <v/>
      </c>
      <c r="I1991" s="19"/>
    </row>
    <row r="1992" ht="15.75" customHeight="1">
      <c r="A1992" s="3"/>
      <c r="B1992" s="19"/>
      <c r="C1992" s="19"/>
      <c r="D1992" s="19"/>
      <c r="E1992" s="19"/>
      <c r="F1992" s="28"/>
      <c r="G1992" s="30"/>
      <c r="H1992" s="21" t="str">
        <f t="shared" si="1"/>
        <v/>
      </c>
      <c r="I1992" s="19"/>
    </row>
    <row r="1993" ht="15.75" customHeight="1">
      <c r="A1993" s="3"/>
      <c r="B1993" s="19"/>
      <c r="C1993" s="19"/>
      <c r="D1993" s="19"/>
      <c r="E1993" s="19"/>
      <c r="F1993" s="28"/>
      <c r="G1993" s="30"/>
      <c r="H1993" s="21" t="str">
        <f t="shared" si="1"/>
        <v/>
      </c>
      <c r="I1993" s="19"/>
    </row>
    <row r="1994" ht="15.75" customHeight="1">
      <c r="A1994" s="3"/>
      <c r="B1994" s="19"/>
      <c r="C1994" s="19"/>
      <c r="D1994" s="19"/>
      <c r="E1994" s="19"/>
      <c r="F1994" s="28"/>
      <c r="G1994" s="30"/>
      <c r="H1994" s="21" t="str">
        <f t="shared" si="1"/>
        <v/>
      </c>
      <c r="I1994" s="19"/>
    </row>
    <row r="1995" ht="15.75" customHeight="1">
      <c r="A1995" s="3"/>
      <c r="B1995" s="19"/>
      <c r="C1995" s="19"/>
      <c r="D1995" s="19"/>
      <c r="E1995" s="19"/>
      <c r="F1995" s="28"/>
      <c r="G1995" s="30"/>
      <c r="H1995" s="21" t="str">
        <f t="shared" si="1"/>
        <v/>
      </c>
      <c r="I1995" s="19"/>
    </row>
    <row r="1996" ht="15.75" customHeight="1">
      <c r="A1996" s="3"/>
      <c r="B1996" s="19"/>
      <c r="C1996" s="19"/>
      <c r="D1996" s="19"/>
      <c r="E1996" s="19"/>
      <c r="F1996" s="28"/>
      <c r="G1996" s="30"/>
      <c r="H1996" s="21" t="str">
        <f t="shared" si="1"/>
        <v/>
      </c>
      <c r="I1996" s="19"/>
    </row>
    <row r="1997" ht="15.75" customHeight="1">
      <c r="A1997" s="3"/>
      <c r="B1997" s="19"/>
      <c r="C1997" s="19"/>
      <c r="D1997" s="19"/>
      <c r="E1997" s="19"/>
      <c r="F1997" s="28"/>
      <c r="G1997" s="30"/>
      <c r="H1997" s="21" t="str">
        <f t="shared" si="1"/>
        <v/>
      </c>
      <c r="I1997" s="19"/>
    </row>
    <row r="1998" ht="15.75" customHeight="1">
      <c r="A1998" s="3"/>
      <c r="B1998" s="19"/>
      <c r="C1998" s="19"/>
      <c r="D1998" s="19"/>
      <c r="E1998" s="19"/>
      <c r="F1998" s="28"/>
      <c r="G1998" s="30"/>
      <c r="H1998" s="21" t="str">
        <f t="shared" si="1"/>
        <v/>
      </c>
      <c r="I1998" s="19"/>
    </row>
    <row r="1999" ht="15.75" customHeight="1">
      <c r="A1999" s="3"/>
      <c r="B1999" s="19"/>
      <c r="C1999" s="19"/>
      <c r="D1999" s="19"/>
      <c r="E1999" s="19"/>
      <c r="F1999" s="28"/>
      <c r="G1999" s="30"/>
      <c r="H1999" s="21" t="str">
        <f t="shared" si="1"/>
        <v/>
      </c>
      <c r="I1999" s="19"/>
    </row>
    <row r="2000" ht="15.75" customHeight="1">
      <c r="A2000" s="3"/>
      <c r="B2000" s="19"/>
      <c r="C2000" s="19"/>
      <c r="D2000" s="19"/>
      <c r="E2000" s="19"/>
      <c r="F2000" s="28"/>
      <c r="G2000" s="30"/>
      <c r="H2000" s="21" t="str">
        <f t="shared" si="1"/>
        <v/>
      </c>
      <c r="I2000" s="19"/>
    </row>
    <row r="2001" ht="15.75" customHeight="1">
      <c r="A2001" s="3"/>
      <c r="B2001" s="19"/>
      <c r="C2001" s="19"/>
      <c r="D2001" s="19"/>
      <c r="E2001" s="19"/>
      <c r="F2001" s="28"/>
      <c r="G2001" s="30"/>
      <c r="H2001" s="21" t="str">
        <f t="shared" si="1"/>
        <v/>
      </c>
      <c r="I2001" s="1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4" width="14.0"/>
    <col customWidth="1" min="5" max="5" width="12.0"/>
    <col customWidth="1" min="6" max="7" width="18.0"/>
    <col customWidth="1" min="8" max="8" width="14.0"/>
    <col customWidth="1" min="9" max="9" width="24.0"/>
    <col customWidth="1" min="10" max="26" width="8.71"/>
  </cols>
  <sheetData>
    <row r="1">
      <c r="A1" s="17" t="s">
        <v>29</v>
      </c>
      <c r="B1" s="17" t="s">
        <v>68</v>
      </c>
      <c r="C1" s="17" t="s">
        <v>69</v>
      </c>
      <c r="D1" s="17" t="s">
        <v>70</v>
      </c>
      <c r="E1" s="17" t="s">
        <v>71</v>
      </c>
      <c r="F1" s="17" t="s">
        <v>72</v>
      </c>
      <c r="G1" s="17" t="s">
        <v>73</v>
      </c>
      <c r="H1" s="17" t="s">
        <v>43</v>
      </c>
      <c r="I1" s="17" t="s">
        <v>33</v>
      </c>
    </row>
    <row r="2">
      <c r="A2" s="3"/>
      <c r="B2" s="20"/>
      <c r="C2" s="21" t="str">
        <f>IF(A2="","",SUMIFS('Daily Ops'!$N$2:$N$401,'Daily Ops'!$A$2:$A$401,A2))</f>
        <v/>
      </c>
      <c r="D2" s="20"/>
      <c r="E2" s="20"/>
      <c r="F2" s="20"/>
      <c r="G2" s="21" t="str">
        <f t="shared" ref="G2:G401" si="1">IF(A2="","",B2+C2-D2-E2)</f>
        <v/>
      </c>
      <c r="H2" s="21" t="str">
        <f t="shared" ref="H2:H401" si="2">IF(A2="","",F2-G2)</f>
        <v/>
      </c>
      <c r="I2" s="19"/>
    </row>
    <row r="3">
      <c r="A3" s="3"/>
      <c r="B3" s="20"/>
      <c r="C3" s="21" t="str">
        <f>IF(A3="","",SUMIFS('Daily Ops'!$N$2:$N$401,'Daily Ops'!$A$2:$A$401,A3))</f>
        <v/>
      </c>
      <c r="D3" s="20"/>
      <c r="E3" s="20"/>
      <c r="F3" s="20"/>
      <c r="G3" s="21" t="str">
        <f t="shared" si="1"/>
        <v/>
      </c>
      <c r="H3" s="21" t="str">
        <f t="shared" si="2"/>
        <v/>
      </c>
      <c r="I3" s="19"/>
    </row>
    <row r="4">
      <c r="A4" s="3"/>
      <c r="B4" s="20"/>
      <c r="C4" s="21" t="str">
        <f>IF(A4="","",SUMIFS('Daily Ops'!$N$2:$N$401,'Daily Ops'!$A$2:$A$401,A4))</f>
        <v/>
      </c>
      <c r="D4" s="20"/>
      <c r="E4" s="20"/>
      <c r="F4" s="20"/>
      <c r="G4" s="21" t="str">
        <f t="shared" si="1"/>
        <v/>
      </c>
      <c r="H4" s="21" t="str">
        <f t="shared" si="2"/>
        <v/>
      </c>
      <c r="I4" s="19"/>
    </row>
    <row r="5">
      <c r="A5" s="3"/>
      <c r="B5" s="20"/>
      <c r="C5" s="21" t="str">
        <f>IF(A5="","",SUMIFS('Daily Ops'!$N$2:$N$401,'Daily Ops'!$A$2:$A$401,A5))</f>
        <v/>
      </c>
      <c r="D5" s="20"/>
      <c r="E5" s="20"/>
      <c r="F5" s="20"/>
      <c r="G5" s="21" t="str">
        <f t="shared" si="1"/>
        <v/>
      </c>
      <c r="H5" s="21" t="str">
        <f t="shared" si="2"/>
        <v/>
      </c>
      <c r="I5" s="19"/>
    </row>
    <row r="6">
      <c r="A6" s="3"/>
      <c r="B6" s="20"/>
      <c r="C6" s="21" t="str">
        <f>IF(A6="","",SUMIFS('Daily Ops'!$N$2:$N$401,'Daily Ops'!$A$2:$A$401,A6))</f>
        <v/>
      </c>
      <c r="D6" s="20"/>
      <c r="E6" s="20"/>
      <c r="F6" s="20"/>
      <c r="G6" s="21" t="str">
        <f t="shared" si="1"/>
        <v/>
      </c>
      <c r="H6" s="21" t="str">
        <f t="shared" si="2"/>
        <v/>
      </c>
      <c r="I6" s="19"/>
    </row>
    <row r="7">
      <c r="A7" s="3"/>
      <c r="B7" s="20"/>
      <c r="C7" s="21" t="str">
        <f>IF(A7="","",SUMIFS('Daily Ops'!$N$2:$N$401,'Daily Ops'!$A$2:$A$401,A7))</f>
        <v/>
      </c>
      <c r="D7" s="20"/>
      <c r="E7" s="20"/>
      <c r="F7" s="20"/>
      <c r="G7" s="21" t="str">
        <f t="shared" si="1"/>
        <v/>
      </c>
      <c r="H7" s="21" t="str">
        <f t="shared" si="2"/>
        <v/>
      </c>
      <c r="I7" s="19"/>
    </row>
    <row r="8">
      <c r="A8" s="3"/>
      <c r="B8" s="20"/>
      <c r="C8" s="21" t="str">
        <f>IF(A8="","",SUMIFS('Daily Ops'!$N$2:$N$401,'Daily Ops'!$A$2:$A$401,A8))</f>
        <v/>
      </c>
      <c r="D8" s="20"/>
      <c r="E8" s="20"/>
      <c r="F8" s="20"/>
      <c r="G8" s="21" t="str">
        <f t="shared" si="1"/>
        <v/>
      </c>
      <c r="H8" s="21" t="str">
        <f t="shared" si="2"/>
        <v/>
      </c>
      <c r="I8" s="19"/>
    </row>
    <row r="9">
      <c r="A9" s="3"/>
      <c r="B9" s="20"/>
      <c r="C9" s="21" t="str">
        <f>IF(A9="","",SUMIFS('Daily Ops'!$N$2:$N$401,'Daily Ops'!$A$2:$A$401,A9))</f>
        <v/>
      </c>
      <c r="D9" s="20"/>
      <c r="E9" s="20"/>
      <c r="F9" s="20"/>
      <c r="G9" s="21" t="str">
        <f t="shared" si="1"/>
        <v/>
      </c>
      <c r="H9" s="21" t="str">
        <f t="shared" si="2"/>
        <v/>
      </c>
      <c r="I9" s="19"/>
    </row>
    <row r="10">
      <c r="A10" s="3"/>
      <c r="B10" s="20"/>
      <c r="C10" s="21" t="str">
        <f>IF(A10="","",SUMIFS('Daily Ops'!$N$2:$N$401,'Daily Ops'!$A$2:$A$401,A10))</f>
        <v/>
      </c>
      <c r="D10" s="20"/>
      <c r="E10" s="20"/>
      <c r="F10" s="20"/>
      <c r="G10" s="21" t="str">
        <f t="shared" si="1"/>
        <v/>
      </c>
      <c r="H10" s="21" t="str">
        <f t="shared" si="2"/>
        <v/>
      </c>
      <c r="I10" s="19"/>
    </row>
    <row r="11">
      <c r="A11" s="3"/>
      <c r="B11" s="20"/>
      <c r="C11" s="21" t="str">
        <f>IF(A11="","",SUMIFS('Daily Ops'!$N$2:$N$401,'Daily Ops'!$A$2:$A$401,A11))</f>
        <v/>
      </c>
      <c r="D11" s="20"/>
      <c r="E11" s="20"/>
      <c r="F11" s="20"/>
      <c r="G11" s="21" t="str">
        <f t="shared" si="1"/>
        <v/>
      </c>
      <c r="H11" s="21" t="str">
        <f t="shared" si="2"/>
        <v/>
      </c>
      <c r="I11" s="19"/>
    </row>
    <row r="12">
      <c r="A12" s="3"/>
      <c r="B12" s="20"/>
      <c r="C12" s="21" t="str">
        <f>IF(A12="","",SUMIFS('Daily Ops'!$N$2:$N$401,'Daily Ops'!$A$2:$A$401,A12))</f>
        <v/>
      </c>
      <c r="D12" s="20"/>
      <c r="E12" s="20"/>
      <c r="F12" s="20"/>
      <c r="G12" s="21" t="str">
        <f t="shared" si="1"/>
        <v/>
      </c>
      <c r="H12" s="21" t="str">
        <f t="shared" si="2"/>
        <v/>
      </c>
      <c r="I12" s="19"/>
    </row>
    <row r="13">
      <c r="A13" s="3"/>
      <c r="B13" s="20"/>
      <c r="C13" s="21" t="str">
        <f>IF(A13="","",SUMIFS('Daily Ops'!$N$2:$N$401,'Daily Ops'!$A$2:$A$401,A13))</f>
        <v/>
      </c>
      <c r="D13" s="20"/>
      <c r="E13" s="20"/>
      <c r="F13" s="20"/>
      <c r="G13" s="21" t="str">
        <f t="shared" si="1"/>
        <v/>
      </c>
      <c r="H13" s="21" t="str">
        <f t="shared" si="2"/>
        <v/>
      </c>
      <c r="I13" s="19"/>
    </row>
    <row r="14">
      <c r="A14" s="3"/>
      <c r="B14" s="20"/>
      <c r="C14" s="21" t="str">
        <f>IF(A14="","",SUMIFS('Daily Ops'!$N$2:$N$401,'Daily Ops'!$A$2:$A$401,A14))</f>
        <v/>
      </c>
      <c r="D14" s="20"/>
      <c r="E14" s="20"/>
      <c r="F14" s="20"/>
      <c r="G14" s="21" t="str">
        <f t="shared" si="1"/>
        <v/>
      </c>
      <c r="H14" s="21" t="str">
        <f t="shared" si="2"/>
        <v/>
      </c>
      <c r="I14" s="19"/>
    </row>
    <row r="15">
      <c r="A15" s="3"/>
      <c r="B15" s="20"/>
      <c r="C15" s="21" t="str">
        <f>IF(A15="","",SUMIFS('Daily Ops'!$N$2:$N$401,'Daily Ops'!$A$2:$A$401,A15))</f>
        <v/>
      </c>
      <c r="D15" s="20"/>
      <c r="E15" s="20"/>
      <c r="F15" s="20"/>
      <c r="G15" s="21" t="str">
        <f t="shared" si="1"/>
        <v/>
      </c>
      <c r="H15" s="21" t="str">
        <f t="shared" si="2"/>
        <v/>
      </c>
      <c r="I15" s="19"/>
    </row>
    <row r="16">
      <c r="A16" s="3"/>
      <c r="B16" s="20"/>
      <c r="C16" s="21" t="str">
        <f>IF(A16="","",SUMIFS('Daily Ops'!$N$2:$N$401,'Daily Ops'!$A$2:$A$401,A16))</f>
        <v/>
      </c>
      <c r="D16" s="20"/>
      <c r="E16" s="20"/>
      <c r="F16" s="20"/>
      <c r="G16" s="21" t="str">
        <f t="shared" si="1"/>
        <v/>
      </c>
      <c r="H16" s="21" t="str">
        <f t="shared" si="2"/>
        <v/>
      </c>
      <c r="I16" s="19"/>
    </row>
    <row r="17">
      <c r="A17" s="3"/>
      <c r="B17" s="20"/>
      <c r="C17" s="21" t="str">
        <f>IF(A17="","",SUMIFS('Daily Ops'!$N$2:$N$401,'Daily Ops'!$A$2:$A$401,A17))</f>
        <v/>
      </c>
      <c r="D17" s="20"/>
      <c r="E17" s="20"/>
      <c r="F17" s="20"/>
      <c r="G17" s="21" t="str">
        <f t="shared" si="1"/>
        <v/>
      </c>
      <c r="H17" s="21" t="str">
        <f t="shared" si="2"/>
        <v/>
      </c>
      <c r="I17" s="19"/>
    </row>
    <row r="18">
      <c r="A18" s="3"/>
      <c r="B18" s="20"/>
      <c r="C18" s="21" t="str">
        <f>IF(A18="","",SUMIFS('Daily Ops'!$N$2:$N$401,'Daily Ops'!$A$2:$A$401,A18))</f>
        <v/>
      </c>
      <c r="D18" s="20"/>
      <c r="E18" s="20"/>
      <c r="F18" s="20"/>
      <c r="G18" s="21" t="str">
        <f t="shared" si="1"/>
        <v/>
      </c>
      <c r="H18" s="21" t="str">
        <f t="shared" si="2"/>
        <v/>
      </c>
      <c r="I18" s="19"/>
    </row>
    <row r="19">
      <c r="A19" s="3"/>
      <c r="B19" s="20"/>
      <c r="C19" s="21" t="str">
        <f>IF(A19="","",SUMIFS('Daily Ops'!$N$2:$N$401,'Daily Ops'!$A$2:$A$401,A19))</f>
        <v/>
      </c>
      <c r="D19" s="20"/>
      <c r="E19" s="20"/>
      <c r="F19" s="20"/>
      <c r="G19" s="21" t="str">
        <f t="shared" si="1"/>
        <v/>
      </c>
      <c r="H19" s="21" t="str">
        <f t="shared" si="2"/>
        <v/>
      </c>
      <c r="I19" s="19"/>
    </row>
    <row r="20">
      <c r="A20" s="3"/>
      <c r="B20" s="20"/>
      <c r="C20" s="21" t="str">
        <f>IF(A20="","",SUMIFS('Daily Ops'!$N$2:$N$401,'Daily Ops'!$A$2:$A$401,A20))</f>
        <v/>
      </c>
      <c r="D20" s="20"/>
      <c r="E20" s="20"/>
      <c r="F20" s="20"/>
      <c r="G20" s="21" t="str">
        <f t="shared" si="1"/>
        <v/>
      </c>
      <c r="H20" s="21" t="str">
        <f t="shared" si="2"/>
        <v/>
      </c>
      <c r="I20" s="19"/>
    </row>
    <row r="21" ht="15.75" customHeight="1">
      <c r="A21" s="3"/>
      <c r="B21" s="20"/>
      <c r="C21" s="21" t="str">
        <f>IF(A21="","",SUMIFS('Daily Ops'!$N$2:$N$401,'Daily Ops'!$A$2:$A$401,A21))</f>
        <v/>
      </c>
      <c r="D21" s="20"/>
      <c r="E21" s="20"/>
      <c r="F21" s="20"/>
      <c r="G21" s="21" t="str">
        <f t="shared" si="1"/>
        <v/>
      </c>
      <c r="H21" s="21" t="str">
        <f t="shared" si="2"/>
        <v/>
      </c>
      <c r="I21" s="19"/>
    </row>
    <row r="22" ht="15.75" customHeight="1">
      <c r="A22" s="3"/>
      <c r="B22" s="20"/>
      <c r="C22" s="21" t="str">
        <f>IF(A22="","",SUMIFS('Daily Ops'!$N$2:$N$401,'Daily Ops'!$A$2:$A$401,A22))</f>
        <v/>
      </c>
      <c r="D22" s="20"/>
      <c r="E22" s="20"/>
      <c r="F22" s="20"/>
      <c r="G22" s="21" t="str">
        <f t="shared" si="1"/>
        <v/>
      </c>
      <c r="H22" s="21" t="str">
        <f t="shared" si="2"/>
        <v/>
      </c>
      <c r="I22" s="19"/>
    </row>
    <row r="23" ht="15.75" customHeight="1">
      <c r="A23" s="3"/>
      <c r="B23" s="20"/>
      <c r="C23" s="21" t="str">
        <f>IF(A23="","",SUMIFS('Daily Ops'!$N$2:$N$401,'Daily Ops'!$A$2:$A$401,A23))</f>
        <v/>
      </c>
      <c r="D23" s="20"/>
      <c r="E23" s="20"/>
      <c r="F23" s="20"/>
      <c r="G23" s="21" t="str">
        <f t="shared" si="1"/>
        <v/>
      </c>
      <c r="H23" s="21" t="str">
        <f t="shared" si="2"/>
        <v/>
      </c>
      <c r="I23" s="19"/>
    </row>
    <row r="24" ht="15.75" customHeight="1">
      <c r="A24" s="3"/>
      <c r="B24" s="20"/>
      <c r="C24" s="21" t="str">
        <f>IF(A24="","",SUMIFS('Daily Ops'!$N$2:$N$401,'Daily Ops'!$A$2:$A$401,A24))</f>
        <v/>
      </c>
      <c r="D24" s="20"/>
      <c r="E24" s="20"/>
      <c r="F24" s="20"/>
      <c r="G24" s="21" t="str">
        <f t="shared" si="1"/>
        <v/>
      </c>
      <c r="H24" s="21" t="str">
        <f t="shared" si="2"/>
        <v/>
      </c>
      <c r="I24" s="19"/>
    </row>
    <row r="25" ht="15.75" customHeight="1">
      <c r="A25" s="3"/>
      <c r="B25" s="20"/>
      <c r="C25" s="21" t="str">
        <f>IF(A25="","",SUMIFS('Daily Ops'!$N$2:$N$401,'Daily Ops'!$A$2:$A$401,A25))</f>
        <v/>
      </c>
      <c r="D25" s="20"/>
      <c r="E25" s="20"/>
      <c r="F25" s="20"/>
      <c r="G25" s="21" t="str">
        <f t="shared" si="1"/>
        <v/>
      </c>
      <c r="H25" s="21" t="str">
        <f t="shared" si="2"/>
        <v/>
      </c>
      <c r="I25" s="19"/>
    </row>
    <row r="26" ht="15.75" customHeight="1">
      <c r="A26" s="3"/>
      <c r="B26" s="20"/>
      <c r="C26" s="21" t="str">
        <f>IF(A26="","",SUMIFS('Daily Ops'!$N$2:$N$401,'Daily Ops'!$A$2:$A$401,A26))</f>
        <v/>
      </c>
      <c r="D26" s="20"/>
      <c r="E26" s="20"/>
      <c r="F26" s="20"/>
      <c r="G26" s="21" t="str">
        <f t="shared" si="1"/>
        <v/>
      </c>
      <c r="H26" s="21" t="str">
        <f t="shared" si="2"/>
        <v/>
      </c>
      <c r="I26" s="19"/>
    </row>
    <row r="27" ht="15.75" customHeight="1">
      <c r="A27" s="3"/>
      <c r="B27" s="20"/>
      <c r="C27" s="21" t="str">
        <f>IF(A27="","",SUMIFS('Daily Ops'!$N$2:$N$401,'Daily Ops'!$A$2:$A$401,A27))</f>
        <v/>
      </c>
      <c r="D27" s="20"/>
      <c r="E27" s="20"/>
      <c r="F27" s="20"/>
      <c r="G27" s="21" t="str">
        <f t="shared" si="1"/>
        <v/>
      </c>
      <c r="H27" s="21" t="str">
        <f t="shared" si="2"/>
        <v/>
      </c>
      <c r="I27" s="19"/>
    </row>
    <row r="28" ht="15.75" customHeight="1">
      <c r="A28" s="3"/>
      <c r="B28" s="20"/>
      <c r="C28" s="21" t="str">
        <f>IF(A28="","",SUMIFS('Daily Ops'!$N$2:$N$401,'Daily Ops'!$A$2:$A$401,A28))</f>
        <v/>
      </c>
      <c r="D28" s="20"/>
      <c r="E28" s="20"/>
      <c r="F28" s="20"/>
      <c r="G28" s="21" t="str">
        <f t="shared" si="1"/>
        <v/>
      </c>
      <c r="H28" s="21" t="str">
        <f t="shared" si="2"/>
        <v/>
      </c>
      <c r="I28" s="19"/>
    </row>
    <row r="29" ht="15.75" customHeight="1">
      <c r="A29" s="3"/>
      <c r="B29" s="20"/>
      <c r="C29" s="21" t="str">
        <f>IF(A29="","",SUMIFS('Daily Ops'!$N$2:$N$401,'Daily Ops'!$A$2:$A$401,A29))</f>
        <v/>
      </c>
      <c r="D29" s="20"/>
      <c r="E29" s="20"/>
      <c r="F29" s="20"/>
      <c r="G29" s="21" t="str">
        <f t="shared" si="1"/>
        <v/>
      </c>
      <c r="H29" s="21" t="str">
        <f t="shared" si="2"/>
        <v/>
      </c>
      <c r="I29" s="19"/>
    </row>
    <row r="30" ht="15.75" customHeight="1">
      <c r="A30" s="3"/>
      <c r="B30" s="20"/>
      <c r="C30" s="21" t="str">
        <f>IF(A30="","",SUMIFS('Daily Ops'!$N$2:$N$401,'Daily Ops'!$A$2:$A$401,A30))</f>
        <v/>
      </c>
      <c r="D30" s="20"/>
      <c r="E30" s="20"/>
      <c r="F30" s="20"/>
      <c r="G30" s="21" t="str">
        <f t="shared" si="1"/>
        <v/>
      </c>
      <c r="H30" s="21" t="str">
        <f t="shared" si="2"/>
        <v/>
      </c>
      <c r="I30" s="19"/>
    </row>
    <row r="31" ht="15.75" customHeight="1">
      <c r="A31" s="3"/>
      <c r="B31" s="20"/>
      <c r="C31" s="21" t="str">
        <f>IF(A31="","",SUMIFS('Daily Ops'!$N$2:$N$401,'Daily Ops'!$A$2:$A$401,A31))</f>
        <v/>
      </c>
      <c r="D31" s="20"/>
      <c r="E31" s="20"/>
      <c r="F31" s="20"/>
      <c r="G31" s="21" t="str">
        <f t="shared" si="1"/>
        <v/>
      </c>
      <c r="H31" s="21" t="str">
        <f t="shared" si="2"/>
        <v/>
      </c>
      <c r="I31" s="19"/>
    </row>
    <row r="32" ht="15.75" customHeight="1">
      <c r="A32" s="3"/>
      <c r="B32" s="20"/>
      <c r="C32" s="21" t="str">
        <f>IF(A32="","",SUMIFS('Daily Ops'!$N$2:$N$401,'Daily Ops'!$A$2:$A$401,A32))</f>
        <v/>
      </c>
      <c r="D32" s="20"/>
      <c r="E32" s="20"/>
      <c r="F32" s="20"/>
      <c r="G32" s="21" t="str">
        <f t="shared" si="1"/>
        <v/>
      </c>
      <c r="H32" s="21" t="str">
        <f t="shared" si="2"/>
        <v/>
      </c>
      <c r="I32" s="19"/>
    </row>
    <row r="33" ht="15.75" customHeight="1">
      <c r="A33" s="3"/>
      <c r="B33" s="20"/>
      <c r="C33" s="21" t="str">
        <f>IF(A33="","",SUMIFS('Daily Ops'!$N$2:$N$401,'Daily Ops'!$A$2:$A$401,A33))</f>
        <v/>
      </c>
      <c r="D33" s="20"/>
      <c r="E33" s="20"/>
      <c r="F33" s="20"/>
      <c r="G33" s="21" t="str">
        <f t="shared" si="1"/>
        <v/>
      </c>
      <c r="H33" s="21" t="str">
        <f t="shared" si="2"/>
        <v/>
      </c>
      <c r="I33" s="19"/>
    </row>
    <row r="34" ht="15.75" customHeight="1">
      <c r="A34" s="3"/>
      <c r="B34" s="20"/>
      <c r="C34" s="21" t="str">
        <f>IF(A34="","",SUMIFS('Daily Ops'!$N$2:$N$401,'Daily Ops'!$A$2:$A$401,A34))</f>
        <v/>
      </c>
      <c r="D34" s="20"/>
      <c r="E34" s="20"/>
      <c r="F34" s="20"/>
      <c r="G34" s="21" t="str">
        <f t="shared" si="1"/>
        <v/>
      </c>
      <c r="H34" s="21" t="str">
        <f t="shared" si="2"/>
        <v/>
      </c>
      <c r="I34" s="19"/>
    </row>
    <row r="35" ht="15.75" customHeight="1">
      <c r="A35" s="3"/>
      <c r="B35" s="20"/>
      <c r="C35" s="21" t="str">
        <f>IF(A35="","",SUMIFS('Daily Ops'!$N$2:$N$401,'Daily Ops'!$A$2:$A$401,A35))</f>
        <v/>
      </c>
      <c r="D35" s="20"/>
      <c r="E35" s="20"/>
      <c r="F35" s="20"/>
      <c r="G35" s="21" t="str">
        <f t="shared" si="1"/>
        <v/>
      </c>
      <c r="H35" s="21" t="str">
        <f t="shared" si="2"/>
        <v/>
      </c>
      <c r="I35" s="19"/>
    </row>
    <row r="36" ht="15.75" customHeight="1">
      <c r="A36" s="3"/>
      <c r="B36" s="20"/>
      <c r="C36" s="21" t="str">
        <f>IF(A36="","",SUMIFS('Daily Ops'!$N$2:$N$401,'Daily Ops'!$A$2:$A$401,A36))</f>
        <v/>
      </c>
      <c r="D36" s="20"/>
      <c r="E36" s="20"/>
      <c r="F36" s="20"/>
      <c r="G36" s="21" t="str">
        <f t="shared" si="1"/>
        <v/>
      </c>
      <c r="H36" s="21" t="str">
        <f t="shared" si="2"/>
        <v/>
      </c>
      <c r="I36" s="19"/>
    </row>
    <row r="37" ht="15.75" customHeight="1">
      <c r="A37" s="3"/>
      <c r="B37" s="20"/>
      <c r="C37" s="21" t="str">
        <f>IF(A37="","",SUMIFS('Daily Ops'!$N$2:$N$401,'Daily Ops'!$A$2:$A$401,A37))</f>
        <v/>
      </c>
      <c r="D37" s="20"/>
      <c r="E37" s="20"/>
      <c r="F37" s="20"/>
      <c r="G37" s="21" t="str">
        <f t="shared" si="1"/>
        <v/>
      </c>
      <c r="H37" s="21" t="str">
        <f t="shared" si="2"/>
        <v/>
      </c>
      <c r="I37" s="19"/>
    </row>
    <row r="38" ht="15.75" customHeight="1">
      <c r="A38" s="3"/>
      <c r="B38" s="20"/>
      <c r="C38" s="21" t="str">
        <f>IF(A38="","",SUMIFS('Daily Ops'!$N$2:$N$401,'Daily Ops'!$A$2:$A$401,A38))</f>
        <v/>
      </c>
      <c r="D38" s="20"/>
      <c r="E38" s="20"/>
      <c r="F38" s="20"/>
      <c r="G38" s="21" t="str">
        <f t="shared" si="1"/>
        <v/>
      </c>
      <c r="H38" s="21" t="str">
        <f t="shared" si="2"/>
        <v/>
      </c>
      <c r="I38" s="19"/>
    </row>
    <row r="39" ht="15.75" customHeight="1">
      <c r="A39" s="3"/>
      <c r="B39" s="20"/>
      <c r="C39" s="21" t="str">
        <f>IF(A39="","",SUMIFS('Daily Ops'!$N$2:$N$401,'Daily Ops'!$A$2:$A$401,A39))</f>
        <v/>
      </c>
      <c r="D39" s="20"/>
      <c r="E39" s="20"/>
      <c r="F39" s="20"/>
      <c r="G39" s="21" t="str">
        <f t="shared" si="1"/>
        <v/>
      </c>
      <c r="H39" s="21" t="str">
        <f t="shared" si="2"/>
        <v/>
      </c>
      <c r="I39" s="19"/>
    </row>
    <row r="40" ht="15.75" customHeight="1">
      <c r="A40" s="3"/>
      <c r="B40" s="20"/>
      <c r="C40" s="21" t="str">
        <f>IF(A40="","",SUMIFS('Daily Ops'!$N$2:$N$401,'Daily Ops'!$A$2:$A$401,A40))</f>
        <v/>
      </c>
      <c r="D40" s="20"/>
      <c r="E40" s="20"/>
      <c r="F40" s="20"/>
      <c r="G40" s="21" t="str">
        <f t="shared" si="1"/>
        <v/>
      </c>
      <c r="H40" s="21" t="str">
        <f t="shared" si="2"/>
        <v/>
      </c>
      <c r="I40" s="19"/>
    </row>
    <row r="41" ht="15.75" customHeight="1">
      <c r="A41" s="3"/>
      <c r="B41" s="20"/>
      <c r="C41" s="21" t="str">
        <f>IF(A41="","",SUMIFS('Daily Ops'!$N$2:$N$401,'Daily Ops'!$A$2:$A$401,A41))</f>
        <v/>
      </c>
      <c r="D41" s="20"/>
      <c r="E41" s="20"/>
      <c r="F41" s="20"/>
      <c r="G41" s="21" t="str">
        <f t="shared" si="1"/>
        <v/>
      </c>
      <c r="H41" s="21" t="str">
        <f t="shared" si="2"/>
        <v/>
      </c>
      <c r="I41" s="19"/>
    </row>
    <row r="42" ht="15.75" customHeight="1">
      <c r="A42" s="3"/>
      <c r="B42" s="20"/>
      <c r="C42" s="21" t="str">
        <f>IF(A42="","",SUMIFS('Daily Ops'!$N$2:$N$401,'Daily Ops'!$A$2:$A$401,A42))</f>
        <v/>
      </c>
      <c r="D42" s="20"/>
      <c r="E42" s="20"/>
      <c r="F42" s="20"/>
      <c r="G42" s="21" t="str">
        <f t="shared" si="1"/>
        <v/>
      </c>
      <c r="H42" s="21" t="str">
        <f t="shared" si="2"/>
        <v/>
      </c>
      <c r="I42" s="19"/>
    </row>
    <row r="43" ht="15.75" customHeight="1">
      <c r="A43" s="3"/>
      <c r="B43" s="20"/>
      <c r="C43" s="21" t="str">
        <f>IF(A43="","",SUMIFS('Daily Ops'!$N$2:$N$401,'Daily Ops'!$A$2:$A$401,A43))</f>
        <v/>
      </c>
      <c r="D43" s="20"/>
      <c r="E43" s="20"/>
      <c r="F43" s="20"/>
      <c r="G43" s="21" t="str">
        <f t="shared" si="1"/>
        <v/>
      </c>
      <c r="H43" s="21" t="str">
        <f t="shared" si="2"/>
        <v/>
      </c>
      <c r="I43" s="19"/>
    </row>
    <row r="44" ht="15.75" customHeight="1">
      <c r="A44" s="3"/>
      <c r="B44" s="20"/>
      <c r="C44" s="21" t="str">
        <f>IF(A44="","",SUMIFS('Daily Ops'!$N$2:$N$401,'Daily Ops'!$A$2:$A$401,A44))</f>
        <v/>
      </c>
      <c r="D44" s="20"/>
      <c r="E44" s="20"/>
      <c r="F44" s="20"/>
      <c r="G44" s="21" t="str">
        <f t="shared" si="1"/>
        <v/>
      </c>
      <c r="H44" s="21" t="str">
        <f t="shared" si="2"/>
        <v/>
      </c>
      <c r="I44" s="19"/>
    </row>
    <row r="45" ht="15.75" customHeight="1">
      <c r="A45" s="3"/>
      <c r="B45" s="20"/>
      <c r="C45" s="21" t="str">
        <f>IF(A45="","",SUMIFS('Daily Ops'!$N$2:$N$401,'Daily Ops'!$A$2:$A$401,A45))</f>
        <v/>
      </c>
      <c r="D45" s="20"/>
      <c r="E45" s="20"/>
      <c r="F45" s="20"/>
      <c r="G45" s="21" t="str">
        <f t="shared" si="1"/>
        <v/>
      </c>
      <c r="H45" s="21" t="str">
        <f t="shared" si="2"/>
        <v/>
      </c>
      <c r="I45" s="19"/>
    </row>
    <row r="46" ht="15.75" customHeight="1">
      <c r="A46" s="3"/>
      <c r="B46" s="20"/>
      <c r="C46" s="21" t="str">
        <f>IF(A46="","",SUMIFS('Daily Ops'!$N$2:$N$401,'Daily Ops'!$A$2:$A$401,A46))</f>
        <v/>
      </c>
      <c r="D46" s="20"/>
      <c r="E46" s="20"/>
      <c r="F46" s="20"/>
      <c r="G46" s="21" t="str">
        <f t="shared" si="1"/>
        <v/>
      </c>
      <c r="H46" s="21" t="str">
        <f t="shared" si="2"/>
        <v/>
      </c>
      <c r="I46" s="19"/>
    </row>
    <row r="47" ht="15.75" customHeight="1">
      <c r="A47" s="3"/>
      <c r="B47" s="20"/>
      <c r="C47" s="21" t="str">
        <f>IF(A47="","",SUMIFS('Daily Ops'!$N$2:$N$401,'Daily Ops'!$A$2:$A$401,A47))</f>
        <v/>
      </c>
      <c r="D47" s="20"/>
      <c r="E47" s="20"/>
      <c r="F47" s="20"/>
      <c r="G47" s="21" t="str">
        <f t="shared" si="1"/>
        <v/>
      </c>
      <c r="H47" s="21" t="str">
        <f t="shared" si="2"/>
        <v/>
      </c>
      <c r="I47" s="19"/>
    </row>
    <row r="48" ht="15.75" customHeight="1">
      <c r="A48" s="3"/>
      <c r="B48" s="20"/>
      <c r="C48" s="21" t="str">
        <f>IF(A48="","",SUMIFS('Daily Ops'!$N$2:$N$401,'Daily Ops'!$A$2:$A$401,A48))</f>
        <v/>
      </c>
      <c r="D48" s="20"/>
      <c r="E48" s="20"/>
      <c r="F48" s="20"/>
      <c r="G48" s="21" t="str">
        <f t="shared" si="1"/>
        <v/>
      </c>
      <c r="H48" s="21" t="str">
        <f t="shared" si="2"/>
        <v/>
      </c>
      <c r="I48" s="19"/>
    </row>
    <row r="49" ht="15.75" customHeight="1">
      <c r="A49" s="3"/>
      <c r="B49" s="20"/>
      <c r="C49" s="21" t="str">
        <f>IF(A49="","",SUMIFS('Daily Ops'!$N$2:$N$401,'Daily Ops'!$A$2:$A$401,A49))</f>
        <v/>
      </c>
      <c r="D49" s="20"/>
      <c r="E49" s="20"/>
      <c r="F49" s="20"/>
      <c r="G49" s="21" t="str">
        <f t="shared" si="1"/>
        <v/>
      </c>
      <c r="H49" s="21" t="str">
        <f t="shared" si="2"/>
        <v/>
      </c>
      <c r="I49" s="19"/>
    </row>
    <row r="50" ht="15.75" customHeight="1">
      <c r="A50" s="3"/>
      <c r="B50" s="20"/>
      <c r="C50" s="21" t="str">
        <f>IF(A50="","",SUMIFS('Daily Ops'!$N$2:$N$401,'Daily Ops'!$A$2:$A$401,A50))</f>
        <v/>
      </c>
      <c r="D50" s="20"/>
      <c r="E50" s="20"/>
      <c r="F50" s="20"/>
      <c r="G50" s="21" t="str">
        <f t="shared" si="1"/>
        <v/>
      </c>
      <c r="H50" s="21" t="str">
        <f t="shared" si="2"/>
        <v/>
      </c>
      <c r="I50" s="19"/>
    </row>
    <row r="51" ht="15.75" customHeight="1">
      <c r="A51" s="3"/>
      <c r="B51" s="20"/>
      <c r="C51" s="21" t="str">
        <f>IF(A51="","",SUMIFS('Daily Ops'!$N$2:$N$401,'Daily Ops'!$A$2:$A$401,A51))</f>
        <v/>
      </c>
      <c r="D51" s="20"/>
      <c r="E51" s="20"/>
      <c r="F51" s="20"/>
      <c r="G51" s="21" t="str">
        <f t="shared" si="1"/>
        <v/>
      </c>
      <c r="H51" s="21" t="str">
        <f t="shared" si="2"/>
        <v/>
      </c>
      <c r="I51" s="19"/>
    </row>
    <row r="52" ht="15.75" customHeight="1">
      <c r="A52" s="3"/>
      <c r="B52" s="20"/>
      <c r="C52" s="21" t="str">
        <f>IF(A52="","",SUMIFS('Daily Ops'!$N$2:$N$401,'Daily Ops'!$A$2:$A$401,A52))</f>
        <v/>
      </c>
      <c r="D52" s="20"/>
      <c r="E52" s="20"/>
      <c r="F52" s="20"/>
      <c r="G52" s="21" t="str">
        <f t="shared" si="1"/>
        <v/>
      </c>
      <c r="H52" s="21" t="str">
        <f t="shared" si="2"/>
        <v/>
      </c>
      <c r="I52" s="19"/>
    </row>
    <row r="53" ht="15.75" customHeight="1">
      <c r="A53" s="3"/>
      <c r="B53" s="20"/>
      <c r="C53" s="21" t="str">
        <f>IF(A53="","",SUMIFS('Daily Ops'!$N$2:$N$401,'Daily Ops'!$A$2:$A$401,A53))</f>
        <v/>
      </c>
      <c r="D53" s="20"/>
      <c r="E53" s="20"/>
      <c r="F53" s="20"/>
      <c r="G53" s="21" t="str">
        <f t="shared" si="1"/>
        <v/>
      </c>
      <c r="H53" s="21" t="str">
        <f t="shared" si="2"/>
        <v/>
      </c>
      <c r="I53" s="19"/>
    </row>
    <row r="54" ht="15.75" customHeight="1">
      <c r="A54" s="3"/>
      <c r="B54" s="20"/>
      <c r="C54" s="21" t="str">
        <f>IF(A54="","",SUMIFS('Daily Ops'!$N$2:$N$401,'Daily Ops'!$A$2:$A$401,A54))</f>
        <v/>
      </c>
      <c r="D54" s="20"/>
      <c r="E54" s="20"/>
      <c r="F54" s="20"/>
      <c r="G54" s="21" t="str">
        <f t="shared" si="1"/>
        <v/>
      </c>
      <c r="H54" s="21" t="str">
        <f t="shared" si="2"/>
        <v/>
      </c>
      <c r="I54" s="19"/>
    </row>
    <row r="55" ht="15.75" customHeight="1">
      <c r="A55" s="3"/>
      <c r="B55" s="20"/>
      <c r="C55" s="21" t="str">
        <f>IF(A55="","",SUMIFS('Daily Ops'!$N$2:$N$401,'Daily Ops'!$A$2:$A$401,A55))</f>
        <v/>
      </c>
      <c r="D55" s="20"/>
      <c r="E55" s="20"/>
      <c r="F55" s="20"/>
      <c r="G55" s="21" t="str">
        <f t="shared" si="1"/>
        <v/>
      </c>
      <c r="H55" s="21" t="str">
        <f t="shared" si="2"/>
        <v/>
      </c>
      <c r="I55" s="19"/>
    </row>
    <row r="56" ht="15.75" customHeight="1">
      <c r="A56" s="3"/>
      <c r="B56" s="20"/>
      <c r="C56" s="21" t="str">
        <f>IF(A56="","",SUMIFS('Daily Ops'!$N$2:$N$401,'Daily Ops'!$A$2:$A$401,A56))</f>
        <v/>
      </c>
      <c r="D56" s="20"/>
      <c r="E56" s="20"/>
      <c r="F56" s="20"/>
      <c r="G56" s="21" t="str">
        <f t="shared" si="1"/>
        <v/>
      </c>
      <c r="H56" s="21" t="str">
        <f t="shared" si="2"/>
        <v/>
      </c>
      <c r="I56" s="19"/>
    </row>
    <row r="57" ht="15.75" customHeight="1">
      <c r="A57" s="3"/>
      <c r="B57" s="20"/>
      <c r="C57" s="21" t="str">
        <f>IF(A57="","",SUMIFS('Daily Ops'!$N$2:$N$401,'Daily Ops'!$A$2:$A$401,A57))</f>
        <v/>
      </c>
      <c r="D57" s="20"/>
      <c r="E57" s="20"/>
      <c r="F57" s="20"/>
      <c r="G57" s="21" t="str">
        <f t="shared" si="1"/>
        <v/>
      </c>
      <c r="H57" s="21" t="str">
        <f t="shared" si="2"/>
        <v/>
      </c>
      <c r="I57" s="19"/>
    </row>
    <row r="58" ht="15.75" customHeight="1">
      <c r="A58" s="3"/>
      <c r="B58" s="20"/>
      <c r="C58" s="21" t="str">
        <f>IF(A58="","",SUMIFS('Daily Ops'!$N$2:$N$401,'Daily Ops'!$A$2:$A$401,A58))</f>
        <v/>
      </c>
      <c r="D58" s="20"/>
      <c r="E58" s="20"/>
      <c r="F58" s="20"/>
      <c r="G58" s="21" t="str">
        <f t="shared" si="1"/>
        <v/>
      </c>
      <c r="H58" s="21" t="str">
        <f t="shared" si="2"/>
        <v/>
      </c>
      <c r="I58" s="19"/>
    </row>
    <row r="59" ht="15.75" customHeight="1">
      <c r="A59" s="3"/>
      <c r="B59" s="20"/>
      <c r="C59" s="21" t="str">
        <f>IF(A59="","",SUMIFS('Daily Ops'!$N$2:$N$401,'Daily Ops'!$A$2:$A$401,A59))</f>
        <v/>
      </c>
      <c r="D59" s="20"/>
      <c r="E59" s="20"/>
      <c r="F59" s="20"/>
      <c r="G59" s="21" t="str">
        <f t="shared" si="1"/>
        <v/>
      </c>
      <c r="H59" s="21" t="str">
        <f t="shared" si="2"/>
        <v/>
      </c>
      <c r="I59" s="19"/>
    </row>
    <row r="60" ht="15.75" customHeight="1">
      <c r="A60" s="3"/>
      <c r="B60" s="20"/>
      <c r="C60" s="21" t="str">
        <f>IF(A60="","",SUMIFS('Daily Ops'!$N$2:$N$401,'Daily Ops'!$A$2:$A$401,A60))</f>
        <v/>
      </c>
      <c r="D60" s="20"/>
      <c r="E60" s="20"/>
      <c r="F60" s="20"/>
      <c r="G60" s="21" t="str">
        <f t="shared" si="1"/>
        <v/>
      </c>
      <c r="H60" s="21" t="str">
        <f t="shared" si="2"/>
        <v/>
      </c>
      <c r="I60" s="19"/>
    </row>
    <row r="61" ht="15.75" customHeight="1">
      <c r="A61" s="3"/>
      <c r="B61" s="20"/>
      <c r="C61" s="21" t="str">
        <f>IF(A61="","",SUMIFS('Daily Ops'!$N$2:$N$401,'Daily Ops'!$A$2:$A$401,A61))</f>
        <v/>
      </c>
      <c r="D61" s="20"/>
      <c r="E61" s="20"/>
      <c r="F61" s="20"/>
      <c r="G61" s="21" t="str">
        <f t="shared" si="1"/>
        <v/>
      </c>
      <c r="H61" s="21" t="str">
        <f t="shared" si="2"/>
        <v/>
      </c>
      <c r="I61" s="19"/>
    </row>
    <row r="62" ht="15.75" customHeight="1">
      <c r="A62" s="3"/>
      <c r="B62" s="20"/>
      <c r="C62" s="21" t="str">
        <f>IF(A62="","",SUMIFS('Daily Ops'!$N$2:$N$401,'Daily Ops'!$A$2:$A$401,A62))</f>
        <v/>
      </c>
      <c r="D62" s="20"/>
      <c r="E62" s="20"/>
      <c r="F62" s="20"/>
      <c r="G62" s="21" t="str">
        <f t="shared" si="1"/>
        <v/>
      </c>
      <c r="H62" s="21" t="str">
        <f t="shared" si="2"/>
        <v/>
      </c>
      <c r="I62" s="19"/>
    </row>
    <row r="63" ht="15.75" customHeight="1">
      <c r="A63" s="3"/>
      <c r="B63" s="20"/>
      <c r="C63" s="21" t="str">
        <f>IF(A63="","",SUMIFS('Daily Ops'!$N$2:$N$401,'Daily Ops'!$A$2:$A$401,A63))</f>
        <v/>
      </c>
      <c r="D63" s="20"/>
      <c r="E63" s="20"/>
      <c r="F63" s="20"/>
      <c r="G63" s="21" t="str">
        <f t="shared" si="1"/>
        <v/>
      </c>
      <c r="H63" s="21" t="str">
        <f t="shared" si="2"/>
        <v/>
      </c>
      <c r="I63" s="19"/>
    </row>
    <row r="64" ht="15.75" customHeight="1">
      <c r="A64" s="3"/>
      <c r="B64" s="20"/>
      <c r="C64" s="21" t="str">
        <f>IF(A64="","",SUMIFS('Daily Ops'!$N$2:$N$401,'Daily Ops'!$A$2:$A$401,A64))</f>
        <v/>
      </c>
      <c r="D64" s="20"/>
      <c r="E64" s="20"/>
      <c r="F64" s="20"/>
      <c r="G64" s="21" t="str">
        <f t="shared" si="1"/>
        <v/>
      </c>
      <c r="H64" s="21" t="str">
        <f t="shared" si="2"/>
        <v/>
      </c>
      <c r="I64" s="19"/>
    </row>
    <row r="65" ht="15.75" customHeight="1">
      <c r="A65" s="3"/>
      <c r="B65" s="20"/>
      <c r="C65" s="21" t="str">
        <f>IF(A65="","",SUMIFS('Daily Ops'!$N$2:$N$401,'Daily Ops'!$A$2:$A$401,A65))</f>
        <v/>
      </c>
      <c r="D65" s="20"/>
      <c r="E65" s="20"/>
      <c r="F65" s="20"/>
      <c r="G65" s="21" t="str">
        <f t="shared" si="1"/>
        <v/>
      </c>
      <c r="H65" s="21" t="str">
        <f t="shared" si="2"/>
        <v/>
      </c>
      <c r="I65" s="19"/>
    </row>
    <row r="66" ht="15.75" customHeight="1">
      <c r="A66" s="3"/>
      <c r="B66" s="20"/>
      <c r="C66" s="21" t="str">
        <f>IF(A66="","",SUMIFS('Daily Ops'!$N$2:$N$401,'Daily Ops'!$A$2:$A$401,A66))</f>
        <v/>
      </c>
      <c r="D66" s="20"/>
      <c r="E66" s="20"/>
      <c r="F66" s="20"/>
      <c r="G66" s="21" t="str">
        <f t="shared" si="1"/>
        <v/>
      </c>
      <c r="H66" s="21" t="str">
        <f t="shared" si="2"/>
        <v/>
      </c>
      <c r="I66" s="19"/>
    </row>
    <row r="67" ht="15.75" customHeight="1">
      <c r="A67" s="3"/>
      <c r="B67" s="20"/>
      <c r="C67" s="21" t="str">
        <f>IF(A67="","",SUMIFS('Daily Ops'!$N$2:$N$401,'Daily Ops'!$A$2:$A$401,A67))</f>
        <v/>
      </c>
      <c r="D67" s="20"/>
      <c r="E67" s="20"/>
      <c r="F67" s="20"/>
      <c r="G67" s="21" t="str">
        <f t="shared" si="1"/>
        <v/>
      </c>
      <c r="H67" s="21" t="str">
        <f t="shared" si="2"/>
        <v/>
      </c>
      <c r="I67" s="19"/>
    </row>
    <row r="68" ht="15.75" customHeight="1">
      <c r="A68" s="3"/>
      <c r="B68" s="20"/>
      <c r="C68" s="21" t="str">
        <f>IF(A68="","",SUMIFS('Daily Ops'!$N$2:$N$401,'Daily Ops'!$A$2:$A$401,A68))</f>
        <v/>
      </c>
      <c r="D68" s="20"/>
      <c r="E68" s="20"/>
      <c r="F68" s="20"/>
      <c r="G68" s="21" t="str">
        <f t="shared" si="1"/>
        <v/>
      </c>
      <c r="H68" s="21" t="str">
        <f t="shared" si="2"/>
        <v/>
      </c>
      <c r="I68" s="19"/>
    </row>
    <row r="69" ht="15.75" customHeight="1">
      <c r="A69" s="3"/>
      <c r="B69" s="20"/>
      <c r="C69" s="21" t="str">
        <f>IF(A69="","",SUMIFS('Daily Ops'!$N$2:$N$401,'Daily Ops'!$A$2:$A$401,A69))</f>
        <v/>
      </c>
      <c r="D69" s="20"/>
      <c r="E69" s="20"/>
      <c r="F69" s="20"/>
      <c r="G69" s="21" t="str">
        <f t="shared" si="1"/>
        <v/>
      </c>
      <c r="H69" s="21" t="str">
        <f t="shared" si="2"/>
        <v/>
      </c>
      <c r="I69" s="19"/>
    </row>
    <row r="70" ht="15.75" customHeight="1">
      <c r="A70" s="3"/>
      <c r="B70" s="20"/>
      <c r="C70" s="21" t="str">
        <f>IF(A70="","",SUMIFS('Daily Ops'!$N$2:$N$401,'Daily Ops'!$A$2:$A$401,A70))</f>
        <v/>
      </c>
      <c r="D70" s="20"/>
      <c r="E70" s="20"/>
      <c r="F70" s="20"/>
      <c r="G70" s="21" t="str">
        <f t="shared" si="1"/>
        <v/>
      </c>
      <c r="H70" s="21" t="str">
        <f t="shared" si="2"/>
        <v/>
      </c>
      <c r="I70" s="19"/>
    </row>
    <row r="71" ht="15.75" customHeight="1">
      <c r="A71" s="3"/>
      <c r="B71" s="20"/>
      <c r="C71" s="21" t="str">
        <f>IF(A71="","",SUMIFS('Daily Ops'!$N$2:$N$401,'Daily Ops'!$A$2:$A$401,A71))</f>
        <v/>
      </c>
      <c r="D71" s="20"/>
      <c r="E71" s="20"/>
      <c r="F71" s="20"/>
      <c r="G71" s="21" t="str">
        <f t="shared" si="1"/>
        <v/>
      </c>
      <c r="H71" s="21" t="str">
        <f t="shared" si="2"/>
        <v/>
      </c>
      <c r="I71" s="19"/>
    </row>
    <row r="72" ht="15.75" customHeight="1">
      <c r="A72" s="3"/>
      <c r="B72" s="20"/>
      <c r="C72" s="21" t="str">
        <f>IF(A72="","",SUMIFS('Daily Ops'!$N$2:$N$401,'Daily Ops'!$A$2:$A$401,A72))</f>
        <v/>
      </c>
      <c r="D72" s="20"/>
      <c r="E72" s="20"/>
      <c r="F72" s="20"/>
      <c r="G72" s="21" t="str">
        <f t="shared" si="1"/>
        <v/>
      </c>
      <c r="H72" s="21" t="str">
        <f t="shared" si="2"/>
        <v/>
      </c>
      <c r="I72" s="19"/>
    </row>
    <row r="73" ht="15.75" customHeight="1">
      <c r="A73" s="3"/>
      <c r="B73" s="20"/>
      <c r="C73" s="21" t="str">
        <f>IF(A73="","",SUMIFS('Daily Ops'!$N$2:$N$401,'Daily Ops'!$A$2:$A$401,A73))</f>
        <v/>
      </c>
      <c r="D73" s="20"/>
      <c r="E73" s="20"/>
      <c r="F73" s="20"/>
      <c r="G73" s="21" t="str">
        <f t="shared" si="1"/>
        <v/>
      </c>
      <c r="H73" s="21" t="str">
        <f t="shared" si="2"/>
        <v/>
      </c>
      <c r="I73" s="19"/>
    </row>
    <row r="74" ht="15.75" customHeight="1">
      <c r="A74" s="3"/>
      <c r="B74" s="20"/>
      <c r="C74" s="21" t="str">
        <f>IF(A74="","",SUMIFS('Daily Ops'!$N$2:$N$401,'Daily Ops'!$A$2:$A$401,A74))</f>
        <v/>
      </c>
      <c r="D74" s="20"/>
      <c r="E74" s="20"/>
      <c r="F74" s="20"/>
      <c r="G74" s="21" t="str">
        <f t="shared" si="1"/>
        <v/>
      </c>
      <c r="H74" s="21" t="str">
        <f t="shared" si="2"/>
        <v/>
      </c>
      <c r="I74" s="19"/>
    </row>
    <row r="75" ht="15.75" customHeight="1">
      <c r="A75" s="3"/>
      <c r="B75" s="20"/>
      <c r="C75" s="21" t="str">
        <f>IF(A75="","",SUMIFS('Daily Ops'!$N$2:$N$401,'Daily Ops'!$A$2:$A$401,A75))</f>
        <v/>
      </c>
      <c r="D75" s="20"/>
      <c r="E75" s="20"/>
      <c r="F75" s="20"/>
      <c r="G75" s="21" t="str">
        <f t="shared" si="1"/>
        <v/>
      </c>
      <c r="H75" s="21" t="str">
        <f t="shared" si="2"/>
        <v/>
      </c>
      <c r="I75" s="19"/>
    </row>
    <row r="76" ht="15.75" customHeight="1">
      <c r="A76" s="3"/>
      <c r="B76" s="20"/>
      <c r="C76" s="21" t="str">
        <f>IF(A76="","",SUMIFS('Daily Ops'!$N$2:$N$401,'Daily Ops'!$A$2:$A$401,A76))</f>
        <v/>
      </c>
      <c r="D76" s="20"/>
      <c r="E76" s="20"/>
      <c r="F76" s="20"/>
      <c r="G76" s="21" t="str">
        <f t="shared" si="1"/>
        <v/>
      </c>
      <c r="H76" s="21" t="str">
        <f t="shared" si="2"/>
        <v/>
      </c>
      <c r="I76" s="19"/>
    </row>
    <row r="77" ht="15.75" customHeight="1">
      <c r="A77" s="3"/>
      <c r="B77" s="20"/>
      <c r="C77" s="21" t="str">
        <f>IF(A77="","",SUMIFS('Daily Ops'!$N$2:$N$401,'Daily Ops'!$A$2:$A$401,A77))</f>
        <v/>
      </c>
      <c r="D77" s="20"/>
      <c r="E77" s="20"/>
      <c r="F77" s="20"/>
      <c r="G77" s="21" t="str">
        <f t="shared" si="1"/>
        <v/>
      </c>
      <c r="H77" s="21" t="str">
        <f t="shared" si="2"/>
        <v/>
      </c>
      <c r="I77" s="19"/>
    </row>
    <row r="78" ht="15.75" customHeight="1">
      <c r="A78" s="3"/>
      <c r="B78" s="20"/>
      <c r="C78" s="21" t="str">
        <f>IF(A78="","",SUMIFS('Daily Ops'!$N$2:$N$401,'Daily Ops'!$A$2:$A$401,A78))</f>
        <v/>
      </c>
      <c r="D78" s="20"/>
      <c r="E78" s="20"/>
      <c r="F78" s="20"/>
      <c r="G78" s="21" t="str">
        <f t="shared" si="1"/>
        <v/>
      </c>
      <c r="H78" s="21" t="str">
        <f t="shared" si="2"/>
        <v/>
      </c>
      <c r="I78" s="19"/>
    </row>
    <row r="79" ht="15.75" customHeight="1">
      <c r="A79" s="3"/>
      <c r="B79" s="20"/>
      <c r="C79" s="21" t="str">
        <f>IF(A79="","",SUMIFS('Daily Ops'!$N$2:$N$401,'Daily Ops'!$A$2:$A$401,A79))</f>
        <v/>
      </c>
      <c r="D79" s="20"/>
      <c r="E79" s="20"/>
      <c r="F79" s="20"/>
      <c r="G79" s="21" t="str">
        <f t="shared" si="1"/>
        <v/>
      </c>
      <c r="H79" s="21" t="str">
        <f t="shared" si="2"/>
        <v/>
      </c>
      <c r="I79" s="19"/>
    </row>
    <row r="80" ht="15.75" customHeight="1">
      <c r="A80" s="3"/>
      <c r="B80" s="20"/>
      <c r="C80" s="21" t="str">
        <f>IF(A80="","",SUMIFS('Daily Ops'!$N$2:$N$401,'Daily Ops'!$A$2:$A$401,A80))</f>
        <v/>
      </c>
      <c r="D80" s="20"/>
      <c r="E80" s="20"/>
      <c r="F80" s="20"/>
      <c r="G80" s="21" t="str">
        <f t="shared" si="1"/>
        <v/>
      </c>
      <c r="H80" s="21" t="str">
        <f t="shared" si="2"/>
        <v/>
      </c>
      <c r="I80" s="19"/>
    </row>
    <row r="81" ht="15.75" customHeight="1">
      <c r="A81" s="3"/>
      <c r="B81" s="20"/>
      <c r="C81" s="21" t="str">
        <f>IF(A81="","",SUMIFS('Daily Ops'!$N$2:$N$401,'Daily Ops'!$A$2:$A$401,A81))</f>
        <v/>
      </c>
      <c r="D81" s="20"/>
      <c r="E81" s="20"/>
      <c r="F81" s="20"/>
      <c r="G81" s="21" t="str">
        <f t="shared" si="1"/>
        <v/>
      </c>
      <c r="H81" s="21" t="str">
        <f t="shared" si="2"/>
        <v/>
      </c>
      <c r="I81" s="19"/>
    </row>
    <row r="82" ht="15.75" customHeight="1">
      <c r="A82" s="3"/>
      <c r="B82" s="20"/>
      <c r="C82" s="21" t="str">
        <f>IF(A82="","",SUMIFS('Daily Ops'!$N$2:$N$401,'Daily Ops'!$A$2:$A$401,A82))</f>
        <v/>
      </c>
      <c r="D82" s="20"/>
      <c r="E82" s="20"/>
      <c r="F82" s="20"/>
      <c r="G82" s="21" t="str">
        <f t="shared" si="1"/>
        <v/>
      </c>
      <c r="H82" s="21" t="str">
        <f t="shared" si="2"/>
        <v/>
      </c>
      <c r="I82" s="19"/>
    </row>
    <row r="83" ht="15.75" customHeight="1">
      <c r="A83" s="3"/>
      <c r="B83" s="20"/>
      <c r="C83" s="21" t="str">
        <f>IF(A83="","",SUMIFS('Daily Ops'!$N$2:$N$401,'Daily Ops'!$A$2:$A$401,A83))</f>
        <v/>
      </c>
      <c r="D83" s="20"/>
      <c r="E83" s="20"/>
      <c r="F83" s="20"/>
      <c r="G83" s="21" t="str">
        <f t="shared" si="1"/>
        <v/>
      </c>
      <c r="H83" s="21" t="str">
        <f t="shared" si="2"/>
        <v/>
      </c>
      <c r="I83" s="19"/>
    </row>
    <row r="84" ht="15.75" customHeight="1">
      <c r="A84" s="3"/>
      <c r="B84" s="20"/>
      <c r="C84" s="21" t="str">
        <f>IF(A84="","",SUMIFS('Daily Ops'!$N$2:$N$401,'Daily Ops'!$A$2:$A$401,A84))</f>
        <v/>
      </c>
      <c r="D84" s="20"/>
      <c r="E84" s="20"/>
      <c r="F84" s="20"/>
      <c r="G84" s="21" t="str">
        <f t="shared" si="1"/>
        <v/>
      </c>
      <c r="H84" s="21" t="str">
        <f t="shared" si="2"/>
        <v/>
      </c>
      <c r="I84" s="19"/>
    </row>
    <row r="85" ht="15.75" customHeight="1">
      <c r="A85" s="3"/>
      <c r="B85" s="20"/>
      <c r="C85" s="21" t="str">
        <f>IF(A85="","",SUMIFS('Daily Ops'!$N$2:$N$401,'Daily Ops'!$A$2:$A$401,A85))</f>
        <v/>
      </c>
      <c r="D85" s="20"/>
      <c r="E85" s="20"/>
      <c r="F85" s="20"/>
      <c r="G85" s="21" t="str">
        <f t="shared" si="1"/>
        <v/>
      </c>
      <c r="H85" s="21" t="str">
        <f t="shared" si="2"/>
        <v/>
      </c>
      <c r="I85" s="19"/>
    </row>
    <row r="86" ht="15.75" customHeight="1">
      <c r="A86" s="3"/>
      <c r="B86" s="20"/>
      <c r="C86" s="21" t="str">
        <f>IF(A86="","",SUMIFS('Daily Ops'!$N$2:$N$401,'Daily Ops'!$A$2:$A$401,A86))</f>
        <v/>
      </c>
      <c r="D86" s="20"/>
      <c r="E86" s="20"/>
      <c r="F86" s="20"/>
      <c r="G86" s="21" t="str">
        <f t="shared" si="1"/>
        <v/>
      </c>
      <c r="H86" s="21" t="str">
        <f t="shared" si="2"/>
        <v/>
      </c>
      <c r="I86" s="19"/>
    </row>
    <row r="87" ht="15.75" customHeight="1">
      <c r="A87" s="3"/>
      <c r="B87" s="20"/>
      <c r="C87" s="21" t="str">
        <f>IF(A87="","",SUMIFS('Daily Ops'!$N$2:$N$401,'Daily Ops'!$A$2:$A$401,A87))</f>
        <v/>
      </c>
      <c r="D87" s="20"/>
      <c r="E87" s="20"/>
      <c r="F87" s="20"/>
      <c r="G87" s="21" t="str">
        <f t="shared" si="1"/>
        <v/>
      </c>
      <c r="H87" s="21" t="str">
        <f t="shared" si="2"/>
        <v/>
      </c>
      <c r="I87" s="19"/>
    </row>
    <row r="88" ht="15.75" customHeight="1">
      <c r="A88" s="3"/>
      <c r="B88" s="20"/>
      <c r="C88" s="21" t="str">
        <f>IF(A88="","",SUMIFS('Daily Ops'!$N$2:$N$401,'Daily Ops'!$A$2:$A$401,A88))</f>
        <v/>
      </c>
      <c r="D88" s="20"/>
      <c r="E88" s="20"/>
      <c r="F88" s="20"/>
      <c r="G88" s="21" t="str">
        <f t="shared" si="1"/>
        <v/>
      </c>
      <c r="H88" s="21" t="str">
        <f t="shared" si="2"/>
        <v/>
      </c>
      <c r="I88" s="19"/>
    </row>
    <row r="89" ht="15.75" customHeight="1">
      <c r="A89" s="3"/>
      <c r="B89" s="20"/>
      <c r="C89" s="21" t="str">
        <f>IF(A89="","",SUMIFS('Daily Ops'!$N$2:$N$401,'Daily Ops'!$A$2:$A$401,A89))</f>
        <v/>
      </c>
      <c r="D89" s="20"/>
      <c r="E89" s="20"/>
      <c r="F89" s="20"/>
      <c r="G89" s="21" t="str">
        <f t="shared" si="1"/>
        <v/>
      </c>
      <c r="H89" s="21" t="str">
        <f t="shared" si="2"/>
        <v/>
      </c>
      <c r="I89" s="19"/>
    </row>
    <row r="90" ht="15.75" customHeight="1">
      <c r="A90" s="3"/>
      <c r="B90" s="20"/>
      <c r="C90" s="21" t="str">
        <f>IF(A90="","",SUMIFS('Daily Ops'!$N$2:$N$401,'Daily Ops'!$A$2:$A$401,A90))</f>
        <v/>
      </c>
      <c r="D90" s="20"/>
      <c r="E90" s="20"/>
      <c r="F90" s="20"/>
      <c r="G90" s="21" t="str">
        <f t="shared" si="1"/>
        <v/>
      </c>
      <c r="H90" s="21" t="str">
        <f t="shared" si="2"/>
        <v/>
      </c>
      <c r="I90" s="19"/>
    </row>
    <row r="91" ht="15.75" customHeight="1">
      <c r="A91" s="3"/>
      <c r="B91" s="20"/>
      <c r="C91" s="21" t="str">
        <f>IF(A91="","",SUMIFS('Daily Ops'!$N$2:$N$401,'Daily Ops'!$A$2:$A$401,A91))</f>
        <v/>
      </c>
      <c r="D91" s="20"/>
      <c r="E91" s="20"/>
      <c r="F91" s="20"/>
      <c r="G91" s="21" t="str">
        <f t="shared" si="1"/>
        <v/>
      </c>
      <c r="H91" s="21" t="str">
        <f t="shared" si="2"/>
        <v/>
      </c>
      <c r="I91" s="19"/>
    </row>
    <row r="92" ht="15.75" customHeight="1">
      <c r="A92" s="3"/>
      <c r="B92" s="20"/>
      <c r="C92" s="21" t="str">
        <f>IF(A92="","",SUMIFS('Daily Ops'!$N$2:$N$401,'Daily Ops'!$A$2:$A$401,A92))</f>
        <v/>
      </c>
      <c r="D92" s="20"/>
      <c r="E92" s="20"/>
      <c r="F92" s="20"/>
      <c r="G92" s="21" t="str">
        <f t="shared" si="1"/>
        <v/>
      </c>
      <c r="H92" s="21" t="str">
        <f t="shared" si="2"/>
        <v/>
      </c>
      <c r="I92" s="19"/>
    </row>
    <row r="93" ht="15.75" customHeight="1">
      <c r="A93" s="3"/>
      <c r="B93" s="20"/>
      <c r="C93" s="21" t="str">
        <f>IF(A93="","",SUMIFS('Daily Ops'!$N$2:$N$401,'Daily Ops'!$A$2:$A$401,A93))</f>
        <v/>
      </c>
      <c r="D93" s="20"/>
      <c r="E93" s="20"/>
      <c r="F93" s="20"/>
      <c r="G93" s="21" t="str">
        <f t="shared" si="1"/>
        <v/>
      </c>
      <c r="H93" s="21" t="str">
        <f t="shared" si="2"/>
        <v/>
      </c>
      <c r="I93" s="19"/>
    </row>
    <row r="94" ht="15.75" customHeight="1">
      <c r="A94" s="3"/>
      <c r="B94" s="20"/>
      <c r="C94" s="21" t="str">
        <f>IF(A94="","",SUMIFS('Daily Ops'!$N$2:$N$401,'Daily Ops'!$A$2:$A$401,A94))</f>
        <v/>
      </c>
      <c r="D94" s="20"/>
      <c r="E94" s="20"/>
      <c r="F94" s="20"/>
      <c r="G94" s="21" t="str">
        <f t="shared" si="1"/>
        <v/>
      </c>
      <c r="H94" s="21" t="str">
        <f t="shared" si="2"/>
        <v/>
      </c>
      <c r="I94" s="19"/>
    </row>
    <row r="95" ht="15.75" customHeight="1">
      <c r="A95" s="3"/>
      <c r="B95" s="20"/>
      <c r="C95" s="21" t="str">
        <f>IF(A95="","",SUMIFS('Daily Ops'!$N$2:$N$401,'Daily Ops'!$A$2:$A$401,A95))</f>
        <v/>
      </c>
      <c r="D95" s="20"/>
      <c r="E95" s="20"/>
      <c r="F95" s="20"/>
      <c r="G95" s="21" t="str">
        <f t="shared" si="1"/>
        <v/>
      </c>
      <c r="H95" s="21" t="str">
        <f t="shared" si="2"/>
        <v/>
      </c>
      <c r="I95" s="19"/>
    </row>
    <row r="96" ht="15.75" customHeight="1">
      <c r="A96" s="3"/>
      <c r="B96" s="20"/>
      <c r="C96" s="21" t="str">
        <f>IF(A96="","",SUMIFS('Daily Ops'!$N$2:$N$401,'Daily Ops'!$A$2:$A$401,A96))</f>
        <v/>
      </c>
      <c r="D96" s="20"/>
      <c r="E96" s="20"/>
      <c r="F96" s="20"/>
      <c r="G96" s="21" t="str">
        <f t="shared" si="1"/>
        <v/>
      </c>
      <c r="H96" s="21" t="str">
        <f t="shared" si="2"/>
        <v/>
      </c>
      <c r="I96" s="19"/>
    </row>
    <row r="97" ht="15.75" customHeight="1">
      <c r="A97" s="3"/>
      <c r="B97" s="20"/>
      <c r="C97" s="21" t="str">
        <f>IF(A97="","",SUMIFS('Daily Ops'!$N$2:$N$401,'Daily Ops'!$A$2:$A$401,A97))</f>
        <v/>
      </c>
      <c r="D97" s="20"/>
      <c r="E97" s="20"/>
      <c r="F97" s="20"/>
      <c r="G97" s="21" t="str">
        <f t="shared" si="1"/>
        <v/>
      </c>
      <c r="H97" s="21" t="str">
        <f t="shared" si="2"/>
        <v/>
      </c>
      <c r="I97" s="19"/>
    </row>
    <row r="98" ht="15.75" customHeight="1">
      <c r="A98" s="3"/>
      <c r="B98" s="20"/>
      <c r="C98" s="21" t="str">
        <f>IF(A98="","",SUMIFS('Daily Ops'!$N$2:$N$401,'Daily Ops'!$A$2:$A$401,A98))</f>
        <v/>
      </c>
      <c r="D98" s="20"/>
      <c r="E98" s="20"/>
      <c r="F98" s="20"/>
      <c r="G98" s="21" t="str">
        <f t="shared" si="1"/>
        <v/>
      </c>
      <c r="H98" s="21" t="str">
        <f t="shared" si="2"/>
        <v/>
      </c>
      <c r="I98" s="19"/>
    </row>
    <row r="99" ht="15.75" customHeight="1">
      <c r="A99" s="3"/>
      <c r="B99" s="20"/>
      <c r="C99" s="21" t="str">
        <f>IF(A99="","",SUMIFS('Daily Ops'!$N$2:$N$401,'Daily Ops'!$A$2:$A$401,A99))</f>
        <v/>
      </c>
      <c r="D99" s="20"/>
      <c r="E99" s="20"/>
      <c r="F99" s="20"/>
      <c r="G99" s="21" t="str">
        <f t="shared" si="1"/>
        <v/>
      </c>
      <c r="H99" s="21" t="str">
        <f t="shared" si="2"/>
        <v/>
      </c>
      <c r="I99" s="19"/>
    </row>
    <row r="100" ht="15.75" customHeight="1">
      <c r="A100" s="3"/>
      <c r="B100" s="20"/>
      <c r="C100" s="21" t="str">
        <f>IF(A100="","",SUMIFS('Daily Ops'!$N$2:$N$401,'Daily Ops'!$A$2:$A$401,A100))</f>
        <v/>
      </c>
      <c r="D100" s="20"/>
      <c r="E100" s="20"/>
      <c r="F100" s="20"/>
      <c r="G100" s="21" t="str">
        <f t="shared" si="1"/>
        <v/>
      </c>
      <c r="H100" s="21" t="str">
        <f t="shared" si="2"/>
        <v/>
      </c>
      <c r="I100" s="19"/>
    </row>
    <row r="101" ht="15.75" customHeight="1">
      <c r="A101" s="3"/>
      <c r="B101" s="20"/>
      <c r="C101" s="21" t="str">
        <f>IF(A101="","",SUMIFS('Daily Ops'!$N$2:$N$401,'Daily Ops'!$A$2:$A$401,A101))</f>
        <v/>
      </c>
      <c r="D101" s="20"/>
      <c r="E101" s="20"/>
      <c r="F101" s="20"/>
      <c r="G101" s="21" t="str">
        <f t="shared" si="1"/>
        <v/>
      </c>
      <c r="H101" s="21" t="str">
        <f t="shared" si="2"/>
        <v/>
      </c>
      <c r="I101" s="19"/>
    </row>
    <row r="102" ht="15.75" customHeight="1">
      <c r="A102" s="3"/>
      <c r="B102" s="20"/>
      <c r="C102" s="21" t="str">
        <f>IF(A102="","",SUMIFS('Daily Ops'!$N$2:$N$401,'Daily Ops'!$A$2:$A$401,A102))</f>
        <v/>
      </c>
      <c r="D102" s="20"/>
      <c r="E102" s="20"/>
      <c r="F102" s="20"/>
      <c r="G102" s="21" t="str">
        <f t="shared" si="1"/>
        <v/>
      </c>
      <c r="H102" s="21" t="str">
        <f t="shared" si="2"/>
        <v/>
      </c>
      <c r="I102" s="19"/>
    </row>
    <row r="103" ht="15.75" customHeight="1">
      <c r="A103" s="3"/>
      <c r="B103" s="20"/>
      <c r="C103" s="21" t="str">
        <f>IF(A103="","",SUMIFS('Daily Ops'!$N$2:$N$401,'Daily Ops'!$A$2:$A$401,A103))</f>
        <v/>
      </c>
      <c r="D103" s="20"/>
      <c r="E103" s="20"/>
      <c r="F103" s="20"/>
      <c r="G103" s="21" t="str">
        <f t="shared" si="1"/>
        <v/>
      </c>
      <c r="H103" s="21" t="str">
        <f t="shared" si="2"/>
        <v/>
      </c>
      <c r="I103" s="19"/>
    </row>
    <row r="104" ht="15.75" customHeight="1">
      <c r="A104" s="3"/>
      <c r="B104" s="20"/>
      <c r="C104" s="21" t="str">
        <f>IF(A104="","",SUMIFS('Daily Ops'!$N$2:$N$401,'Daily Ops'!$A$2:$A$401,A104))</f>
        <v/>
      </c>
      <c r="D104" s="20"/>
      <c r="E104" s="20"/>
      <c r="F104" s="20"/>
      <c r="G104" s="21" t="str">
        <f t="shared" si="1"/>
        <v/>
      </c>
      <c r="H104" s="21" t="str">
        <f t="shared" si="2"/>
        <v/>
      </c>
      <c r="I104" s="19"/>
    </row>
    <row r="105" ht="15.75" customHeight="1">
      <c r="A105" s="3"/>
      <c r="B105" s="20"/>
      <c r="C105" s="21" t="str">
        <f>IF(A105="","",SUMIFS('Daily Ops'!$N$2:$N$401,'Daily Ops'!$A$2:$A$401,A105))</f>
        <v/>
      </c>
      <c r="D105" s="20"/>
      <c r="E105" s="20"/>
      <c r="F105" s="20"/>
      <c r="G105" s="21" t="str">
        <f t="shared" si="1"/>
        <v/>
      </c>
      <c r="H105" s="21" t="str">
        <f t="shared" si="2"/>
        <v/>
      </c>
      <c r="I105" s="19"/>
    </row>
    <row r="106" ht="15.75" customHeight="1">
      <c r="A106" s="3"/>
      <c r="B106" s="20"/>
      <c r="C106" s="21" t="str">
        <f>IF(A106="","",SUMIFS('Daily Ops'!$N$2:$N$401,'Daily Ops'!$A$2:$A$401,A106))</f>
        <v/>
      </c>
      <c r="D106" s="20"/>
      <c r="E106" s="20"/>
      <c r="F106" s="20"/>
      <c r="G106" s="21" t="str">
        <f t="shared" si="1"/>
        <v/>
      </c>
      <c r="H106" s="21" t="str">
        <f t="shared" si="2"/>
        <v/>
      </c>
      <c r="I106" s="19"/>
    </row>
    <row r="107" ht="15.75" customHeight="1">
      <c r="A107" s="3"/>
      <c r="B107" s="20"/>
      <c r="C107" s="21" t="str">
        <f>IF(A107="","",SUMIFS('Daily Ops'!$N$2:$N$401,'Daily Ops'!$A$2:$A$401,A107))</f>
        <v/>
      </c>
      <c r="D107" s="20"/>
      <c r="E107" s="20"/>
      <c r="F107" s="20"/>
      <c r="G107" s="21" t="str">
        <f t="shared" si="1"/>
        <v/>
      </c>
      <c r="H107" s="21" t="str">
        <f t="shared" si="2"/>
        <v/>
      </c>
      <c r="I107" s="19"/>
    </row>
    <row r="108" ht="15.75" customHeight="1">
      <c r="A108" s="3"/>
      <c r="B108" s="20"/>
      <c r="C108" s="21" t="str">
        <f>IF(A108="","",SUMIFS('Daily Ops'!$N$2:$N$401,'Daily Ops'!$A$2:$A$401,A108))</f>
        <v/>
      </c>
      <c r="D108" s="20"/>
      <c r="E108" s="20"/>
      <c r="F108" s="20"/>
      <c r="G108" s="21" t="str">
        <f t="shared" si="1"/>
        <v/>
      </c>
      <c r="H108" s="21" t="str">
        <f t="shared" si="2"/>
        <v/>
      </c>
      <c r="I108" s="19"/>
    </row>
    <row r="109" ht="15.75" customHeight="1">
      <c r="A109" s="3"/>
      <c r="B109" s="20"/>
      <c r="C109" s="21" t="str">
        <f>IF(A109="","",SUMIFS('Daily Ops'!$N$2:$N$401,'Daily Ops'!$A$2:$A$401,A109))</f>
        <v/>
      </c>
      <c r="D109" s="20"/>
      <c r="E109" s="20"/>
      <c r="F109" s="20"/>
      <c r="G109" s="21" t="str">
        <f t="shared" si="1"/>
        <v/>
      </c>
      <c r="H109" s="21" t="str">
        <f t="shared" si="2"/>
        <v/>
      </c>
      <c r="I109" s="19"/>
    </row>
    <row r="110" ht="15.75" customHeight="1">
      <c r="A110" s="3"/>
      <c r="B110" s="20"/>
      <c r="C110" s="21" t="str">
        <f>IF(A110="","",SUMIFS('Daily Ops'!$N$2:$N$401,'Daily Ops'!$A$2:$A$401,A110))</f>
        <v/>
      </c>
      <c r="D110" s="20"/>
      <c r="E110" s="20"/>
      <c r="F110" s="20"/>
      <c r="G110" s="21" t="str">
        <f t="shared" si="1"/>
        <v/>
      </c>
      <c r="H110" s="21" t="str">
        <f t="shared" si="2"/>
        <v/>
      </c>
      <c r="I110" s="19"/>
    </row>
    <row r="111" ht="15.75" customHeight="1">
      <c r="A111" s="3"/>
      <c r="B111" s="20"/>
      <c r="C111" s="21" t="str">
        <f>IF(A111="","",SUMIFS('Daily Ops'!$N$2:$N$401,'Daily Ops'!$A$2:$A$401,A111))</f>
        <v/>
      </c>
      <c r="D111" s="20"/>
      <c r="E111" s="20"/>
      <c r="F111" s="20"/>
      <c r="G111" s="21" t="str">
        <f t="shared" si="1"/>
        <v/>
      </c>
      <c r="H111" s="21" t="str">
        <f t="shared" si="2"/>
        <v/>
      </c>
      <c r="I111" s="19"/>
    </row>
    <row r="112" ht="15.75" customHeight="1">
      <c r="A112" s="3"/>
      <c r="B112" s="20"/>
      <c r="C112" s="21" t="str">
        <f>IF(A112="","",SUMIFS('Daily Ops'!$N$2:$N$401,'Daily Ops'!$A$2:$A$401,A112))</f>
        <v/>
      </c>
      <c r="D112" s="20"/>
      <c r="E112" s="20"/>
      <c r="F112" s="20"/>
      <c r="G112" s="21" t="str">
        <f t="shared" si="1"/>
        <v/>
      </c>
      <c r="H112" s="21" t="str">
        <f t="shared" si="2"/>
        <v/>
      </c>
      <c r="I112" s="19"/>
    </row>
    <row r="113" ht="15.75" customHeight="1">
      <c r="A113" s="3"/>
      <c r="B113" s="20"/>
      <c r="C113" s="21" t="str">
        <f>IF(A113="","",SUMIFS('Daily Ops'!$N$2:$N$401,'Daily Ops'!$A$2:$A$401,A113))</f>
        <v/>
      </c>
      <c r="D113" s="20"/>
      <c r="E113" s="20"/>
      <c r="F113" s="20"/>
      <c r="G113" s="21" t="str">
        <f t="shared" si="1"/>
        <v/>
      </c>
      <c r="H113" s="21" t="str">
        <f t="shared" si="2"/>
        <v/>
      </c>
      <c r="I113" s="19"/>
    </row>
    <row r="114" ht="15.75" customHeight="1">
      <c r="A114" s="3"/>
      <c r="B114" s="20"/>
      <c r="C114" s="21" t="str">
        <f>IF(A114="","",SUMIFS('Daily Ops'!$N$2:$N$401,'Daily Ops'!$A$2:$A$401,A114))</f>
        <v/>
      </c>
      <c r="D114" s="20"/>
      <c r="E114" s="20"/>
      <c r="F114" s="20"/>
      <c r="G114" s="21" t="str">
        <f t="shared" si="1"/>
        <v/>
      </c>
      <c r="H114" s="21" t="str">
        <f t="shared" si="2"/>
        <v/>
      </c>
      <c r="I114" s="19"/>
    </row>
    <row r="115" ht="15.75" customHeight="1">
      <c r="A115" s="3"/>
      <c r="B115" s="20"/>
      <c r="C115" s="21" t="str">
        <f>IF(A115="","",SUMIFS('Daily Ops'!$N$2:$N$401,'Daily Ops'!$A$2:$A$401,A115))</f>
        <v/>
      </c>
      <c r="D115" s="20"/>
      <c r="E115" s="20"/>
      <c r="F115" s="20"/>
      <c r="G115" s="21" t="str">
        <f t="shared" si="1"/>
        <v/>
      </c>
      <c r="H115" s="21" t="str">
        <f t="shared" si="2"/>
        <v/>
      </c>
      <c r="I115" s="19"/>
    </row>
    <row r="116" ht="15.75" customHeight="1">
      <c r="A116" s="3"/>
      <c r="B116" s="20"/>
      <c r="C116" s="21" t="str">
        <f>IF(A116="","",SUMIFS('Daily Ops'!$N$2:$N$401,'Daily Ops'!$A$2:$A$401,A116))</f>
        <v/>
      </c>
      <c r="D116" s="20"/>
      <c r="E116" s="20"/>
      <c r="F116" s="20"/>
      <c r="G116" s="21" t="str">
        <f t="shared" si="1"/>
        <v/>
      </c>
      <c r="H116" s="21" t="str">
        <f t="shared" si="2"/>
        <v/>
      </c>
      <c r="I116" s="19"/>
    </row>
    <row r="117" ht="15.75" customHeight="1">
      <c r="A117" s="3"/>
      <c r="B117" s="20"/>
      <c r="C117" s="21" t="str">
        <f>IF(A117="","",SUMIFS('Daily Ops'!$N$2:$N$401,'Daily Ops'!$A$2:$A$401,A117))</f>
        <v/>
      </c>
      <c r="D117" s="20"/>
      <c r="E117" s="20"/>
      <c r="F117" s="20"/>
      <c r="G117" s="21" t="str">
        <f t="shared" si="1"/>
        <v/>
      </c>
      <c r="H117" s="21" t="str">
        <f t="shared" si="2"/>
        <v/>
      </c>
      <c r="I117" s="19"/>
    </row>
    <row r="118" ht="15.75" customHeight="1">
      <c r="A118" s="3"/>
      <c r="B118" s="20"/>
      <c r="C118" s="21" t="str">
        <f>IF(A118="","",SUMIFS('Daily Ops'!$N$2:$N$401,'Daily Ops'!$A$2:$A$401,A118))</f>
        <v/>
      </c>
      <c r="D118" s="20"/>
      <c r="E118" s="20"/>
      <c r="F118" s="20"/>
      <c r="G118" s="21" t="str">
        <f t="shared" si="1"/>
        <v/>
      </c>
      <c r="H118" s="21" t="str">
        <f t="shared" si="2"/>
        <v/>
      </c>
      <c r="I118" s="19"/>
    </row>
    <row r="119" ht="15.75" customHeight="1">
      <c r="A119" s="3"/>
      <c r="B119" s="20"/>
      <c r="C119" s="21" t="str">
        <f>IF(A119="","",SUMIFS('Daily Ops'!$N$2:$N$401,'Daily Ops'!$A$2:$A$401,A119))</f>
        <v/>
      </c>
      <c r="D119" s="20"/>
      <c r="E119" s="20"/>
      <c r="F119" s="20"/>
      <c r="G119" s="21" t="str">
        <f t="shared" si="1"/>
        <v/>
      </c>
      <c r="H119" s="21" t="str">
        <f t="shared" si="2"/>
        <v/>
      </c>
      <c r="I119" s="19"/>
    </row>
    <row r="120" ht="15.75" customHeight="1">
      <c r="A120" s="3"/>
      <c r="B120" s="20"/>
      <c r="C120" s="21" t="str">
        <f>IF(A120="","",SUMIFS('Daily Ops'!$N$2:$N$401,'Daily Ops'!$A$2:$A$401,A120))</f>
        <v/>
      </c>
      <c r="D120" s="20"/>
      <c r="E120" s="20"/>
      <c r="F120" s="20"/>
      <c r="G120" s="21" t="str">
        <f t="shared" si="1"/>
        <v/>
      </c>
      <c r="H120" s="21" t="str">
        <f t="shared" si="2"/>
        <v/>
      </c>
      <c r="I120" s="19"/>
    </row>
    <row r="121" ht="15.75" customHeight="1">
      <c r="A121" s="3"/>
      <c r="B121" s="20"/>
      <c r="C121" s="21" t="str">
        <f>IF(A121="","",SUMIFS('Daily Ops'!$N$2:$N$401,'Daily Ops'!$A$2:$A$401,A121))</f>
        <v/>
      </c>
      <c r="D121" s="20"/>
      <c r="E121" s="20"/>
      <c r="F121" s="20"/>
      <c r="G121" s="21" t="str">
        <f t="shared" si="1"/>
        <v/>
      </c>
      <c r="H121" s="21" t="str">
        <f t="shared" si="2"/>
        <v/>
      </c>
      <c r="I121" s="19"/>
    </row>
    <row r="122" ht="15.75" customHeight="1">
      <c r="A122" s="3"/>
      <c r="B122" s="20"/>
      <c r="C122" s="21" t="str">
        <f>IF(A122="","",SUMIFS('Daily Ops'!$N$2:$N$401,'Daily Ops'!$A$2:$A$401,A122))</f>
        <v/>
      </c>
      <c r="D122" s="20"/>
      <c r="E122" s="20"/>
      <c r="F122" s="20"/>
      <c r="G122" s="21" t="str">
        <f t="shared" si="1"/>
        <v/>
      </c>
      <c r="H122" s="21" t="str">
        <f t="shared" si="2"/>
        <v/>
      </c>
      <c r="I122" s="19"/>
    </row>
    <row r="123" ht="15.75" customHeight="1">
      <c r="A123" s="3"/>
      <c r="B123" s="20"/>
      <c r="C123" s="21" t="str">
        <f>IF(A123="","",SUMIFS('Daily Ops'!$N$2:$N$401,'Daily Ops'!$A$2:$A$401,A123))</f>
        <v/>
      </c>
      <c r="D123" s="20"/>
      <c r="E123" s="20"/>
      <c r="F123" s="20"/>
      <c r="G123" s="21" t="str">
        <f t="shared" si="1"/>
        <v/>
      </c>
      <c r="H123" s="21" t="str">
        <f t="shared" si="2"/>
        <v/>
      </c>
      <c r="I123" s="19"/>
    </row>
    <row r="124" ht="15.75" customHeight="1">
      <c r="A124" s="3"/>
      <c r="B124" s="20"/>
      <c r="C124" s="21" t="str">
        <f>IF(A124="","",SUMIFS('Daily Ops'!$N$2:$N$401,'Daily Ops'!$A$2:$A$401,A124))</f>
        <v/>
      </c>
      <c r="D124" s="20"/>
      <c r="E124" s="20"/>
      <c r="F124" s="20"/>
      <c r="G124" s="21" t="str">
        <f t="shared" si="1"/>
        <v/>
      </c>
      <c r="H124" s="21" t="str">
        <f t="shared" si="2"/>
        <v/>
      </c>
      <c r="I124" s="19"/>
    </row>
    <row r="125" ht="15.75" customHeight="1">
      <c r="A125" s="3"/>
      <c r="B125" s="20"/>
      <c r="C125" s="21" t="str">
        <f>IF(A125="","",SUMIFS('Daily Ops'!$N$2:$N$401,'Daily Ops'!$A$2:$A$401,A125))</f>
        <v/>
      </c>
      <c r="D125" s="20"/>
      <c r="E125" s="20"/>
      <c r="F125" s="20"/>
      <c r="G125" s="21" t="str">
        <f t="shared" si="1"/>
        <v/>
      </c>
      <c r="H125" s="21" t="str">
        <f t="shared" si="2"/>
        <v/>
      </c>
      <c r="I125" s="19"/>
    </row>
    <row r="126" ht="15.75" customHeight="1">
      <c r="A126" s="3"/>
      <c r="B126" s="20"/>
      <c r="C126" s="21" t="str">
        <f>IF(A126="","",SUMIFS('Daily Ops'!$N$2:$N$401,'Daily Ops'!$A$2:$A$401,A126))</f>
        <v/>
      </c>
      <c r="D126" s="20"/>
      <c r="E126" s="20"/>
      <c r="F126" s="20"/>
      <c r="G126" s="21" t="str">
        <f t="shared" si="1"/>
        <v/>
      </c>
      <c r="H126" s="21" t="str">
        <f t="shared" si="2"/>
        <v/>
      </c>
      <c r="I126" s="19"/>
    </row>
    <row r="127" ht="15.75" customHeight="1">
      <c r="A127" s="3"/>
      <c r="B127" s="20"/>
      <c r="C127" s="21" t="str">
        <f>IF(A127="","",SUMIFS('Daily Ops'!$N$2:$N$401,'Daily Ops'!$A$2:$A$401,A127))</f>
        <v/>
      </c>
      <c r="D127" s="20"/>
      <c r="E127" s="20"/>
      <c r="F127" s="20"/>
      <c r="G127" s="21" t="str">
        <f t="shared" si="1"/>
        <v/>
      </c>
      <c r="H127" s="21" t="str">
        <f t="shared" si="2"/>
        <v/>
      </c>
      <c r="I127" s="19"/>
    </row>
    <row r="128" ht="15.75" customHeight="1">
      <c r="A128" s="3"/>
      <c r="B128" s="20"/>
      <c r="C128" s="21" t="str">
        <f>IF(A128="","",SUMIFS('Daily Ops'!$N$2:$N$401,'Daily Ops'!$A$2:$A$401,A128))</f>
        <v/>
      </c>
      <c r="D128" s="20"/>
      <c r="E128" s="20"/>
      <c r="F128" s="20"/>
      <c r="G128" s="21" t="str">
        <f t="shared" si="1"/>
        <v/>
      </c>
      <c r="H128" s="21" t="str">
        <f t="shared" si="2"/>
        <v/>
      </c>
      <c r="I128" s="19"/>
    </row>
    <row r="129" ht="15.75" customHeight="1">
      <c r="A129" s="3"/>
      <c r="B129" s="20"/>
      <c r="C129" s="21" t="str">
        <f>IF(A129="","",SUMIFS('Daily Ops'!$N$2:$N$401,'Daily Ops'!$A$2:$A$401,A129))</f>
        <v/>
      </c>
      <c r="D129" s="20"/>
      <c r="E129" s="20"/>
      <c r="F129" s="20"/>
      <c r="G129" s="21" t="str">
        <f t="shared" si="1"/>
        <v/>
      </c>
      <c r="H129" s="21" t="str">
        <f t="shared" si="2"/>
        <v/>
      </c>
      <c r="I129" s="19"/>
    </row>
    <row r="130" ht="15.75" customHeight="1">
      <c r="A130" s="3"/>
      <c r="B130" s="20"/>
      <c r="C130" s="21" t="str">
        <f>IF(A130="","",SUMIFS('Daily Ops'!$N$2:$N$401,'Daily Ops'!$A$2:$A$401,A130))</f>
        <v/>
      </c>
      <c r="D130" s="20"/>
      <c r="E130" s="20"/>
      <c r="F130" s="20"/>
      <c r="G130" s="21" t="str">
        <f t="shared" si="1"/>
        <v/>
      </c>
      <c r="H130" s="21" t="str">
        <f t="shared" si="2"/>
        <v/>
      </c>
      <c r="I130" s="19"/>
    </row>
    <row r="131" ht="15.75" customHeight="1">
      <c r="A131" s="3"/>
      <c r="B131" s="20"/>
      <c r="C131" s="21" t="str">
        <f>IF(A131="","",SUMIFS('Daily Ops'!$N$2:$N$401,'Daily Ops'!$A$2:$A$401,A131))</f>
        <v/>
      </c>
      <c r="D131" s="20"/>
      <c r="E131" s="20"/>
      <c r="F131" s="20"/>
      <c r="G131" s="21" t="str">
        <f t="shared" si="1"/>
        <v/>
      </c>
      <c r="H131" s="21" t="str">
        <f t="shared" si="2"/>
        <v/>
      </c>
      <c r="I131" s="19"/>
    </row>
    <row r="132" ht="15.75" customHeight="1">
      <c r="A132" s="3"/>
      <c r="B132" s="20"/>
      <c r="C132" s="21" t="str">
        <f>IF(A132="","",SUMIFS('Daily Ops'!$N$2:$N$401,'Daily Ops'!$A$2:$A$401,A132))</f>
        <v/>
      </c>
      <c r="D132" s="20"/>
      <c r="E132" s="20"/>
      <c r="F132" s="20"/>
      <c r="G132" s="21" t="str">
        <f t="shared" si="1"/>
        <v/>
      </c>
      <c r="H132" s="21" t="str">
        <f t="shared" si="2"/>
        <v/>
      </c>
      <c r="I132" s="19"/>
    </row>
    <row r="133" ht="15.75" customHeight="1">
      <c r="A133" s="3"/>
      <c r="B133" s="20"/>
      <c r="C133" s="21" t="str">
        <f>IF(A133="","",SUMIFS('Daily Ops'!$N$2:$N$401,'Daily Ops'!$A$2:$A$401,A133))</f>
        <v/>
      </c>
      <c r="D133" s="20"/>
      <c r="E133" s="20"/>
      <c r="F133" s="20"/>
      <c r="G133" s="21" t="str">
        <f t="shared" si="1"/>
        <v/>
      </c>
      <c r="H133" s="21" t="str">
        <f t="shared" si="2"/>
        <v/>
      </c>
      <c r="I133" s="19"/>
    </row>
    <row r="134" ht="15.75" customHeight="1">
      <c r="A134" s="3"/>
      <c r="B134" s="20"/>
      <c r="C134" s="21" t="str">
        <f>IF(A134="","",SUMIFS('Daily Ops'!$N$2:$N$401,'Daily Ops'!$A$2:$A$401,A134))</f>
        <v/>
      </c>
      <c r="D134" s="20"/>
      <c r="E134" s="20"/>
      <c r="F134" s="20"/>
      <c r="G134" s="21" t="str">
        <f t="shared" si="1"/>
        <v/>
      </c>
      <c r="H134" s="21" t="str">
        <f t="shared" si="2"/>
        <v/>
      </c>
      <c r="I134" s="19"/>
    </row>
    <row r="135" ht="15.75" customHeight="1">
      <c r="A135" s="3"/>
      <c r="B135" s="20"/>
      <c r="C135" s="21" t="str">
        <f>IF(A135="","",SUMIFS('Daily Ops'!$N$2:$N$401,'Daily Ops'!$A$2:$A$401,A135))</f>
        <v/>
      </c>
      <c r="D135" s="20"/>
      <c r="E135" s="20"/>
      <c r="F135" s="20"/>
      <c r="G135" s="21" t="str">
        <f t="shared" si="1"/>
        <v/>
      </c>
      <c r="H135" s="21" t="str">
        <f t="shared" si="2"/>
        <v/>
      </c>
      <c r="I135" s="19"/>
    </row>
    <row r="136" ht="15.75" customHeight="1">
      <c r="A136" s="3"/>
      <c r="B136" s="20"/>
      <c r="C136" s="21" t="str">
        <f>IF(A136="","",SUMIFS('Daily Ops'!$N$2:$N$401,'Daily Ops'!$A$2:$A$401,A136))</f>
        <v/>
      </c>
      <c r="D136" s="20"/>
      <c r="E136" s="20"/>
      <c r="F136" s="20"/>
      <c r="G136" s="21" t="str">
        <f t="shared" si="1"/>
        <v/>
      </c>
      <c r="H136" s="21" t="str">
        <f t="shared" si="2"/>
        <v/>
      </c>
      <c r="I136" s="19"/>
    </row>
    <row r="137" ht="15.75" customHeight="1">
      <c r="A137" s="3"/>
      <c r="B137" s="20"/>
      <c r="C137" s="21" t="str">
        <f>IF(A137="","",SUMIFS('Daily Ops'!$N$2:$N$401,'Daily Ops'!$A$2:$A$401,A137))</f>
        <v/>
      </c>
      <c r="D137" s="20"/>
      <c r="E137" s="20"/>
      <c r="F137" s="20"/>
      <c r="G137" s="21" t="str">
        <f t="shared" si="1"/>
        <v/>
      </c>
      <c r="H137" s="21" t="str">
        <f t="shared" si="2"/>
        <v/>
      </c>
      <c r="I137" s="19"/>
    </row>
    <row r="138" ht="15.75" customHeight="1">
      <c r="A138" s="3"/>
      <c r="B138" s="20"/>
      <c r="C138" s="21" t="str">
        <f>IF(A138="","",SUMIFS('Daily Ops'!$N$2:$N$401,'Daily Ops'!$A$2:$A$401,A138))</f>
        <v/>
      </c>
      <c r="D138" s="20"/>
      <c r="E138" s="20"/>
      <c r="F138" s="20"/>
      <c r="G138" s="21" t="str">
        <f t="shared" si="1"/>
        <v/>
      </c>
      <c r="H138" s="21" t="str">
        <f t="shared" si="2"/>
        <v/>
      </c>
      <c r="I138" s="19"/>
    </row>
    <row r="139" ht="15.75" customHeight="1">
      <c r="A139" s="3"/>
      <c r="B139" s="20"/>
      <c r="C139" s="21" t="str">
        <f>IF(A139="","",SUMIFS('Daily Ops'!$N$2:$N$401,'Daily Ops'!$A$2:$A$401,A139))</f>
        <v/>
      </c>
      <c r="D139" s="20"/>
      <c r="E139" s="20"/>
      <c r="F139" s="20"/>
      <c r="G139" s="21" t="str">
        <f t="shared" si="1"/>
        <v/>
      </c>
      <c r="H139" s="21" t="str">
        <f t="shared" si="2"/>
        <v/>
      </c>
      <c r="I139" s="19"/>
    </row>
    <row r="140" ht="15.75" customHeight="1">
      <c r="A140" s="3"/>
      <c r="B140" s="20"/>
      <c r="C140" s="21" t="str">
        <f>IF(A140="","",SUMIFS('Daily Ops'!$N$2:$N$401,'Daily Ops'!$A$2:$A$401,A140))</f>
        <v/>
      </c>
      <c r="D140" s="20"/>
      <c r="E140" s="20"/>
      <c r="F140" s="20"/>
      <c r="G140" s="21" t="str">
        <f t="shared" si="1"/>
        <v/>
      </c>
      <c r="H140" s="21" t="str">
        <f t="shared" si="2"/>
        <v/>
      </c>
      <c r="I140" s="19"/>
    </row>
    <row r="141" ht="15.75" customHeight="1">
      <c r="A141" s="3"/>
      <c r="B141" s="20"/>
      <c r="C141" s="21" t="str">
        <f>IF(A141="","",SUMIFS('Daily Ops'!$N$2:$N$401,'Daily Ops'!$A$2:$A$401,A141))</f>
        <v/>
      </c>
      <c r="D141" s="20"/>
      <c r="E141" s="20"/>
      <c r="F141" s="20"/>
      <c r="G141" s="21" t="str">
        <f t="shared" si="1"/>
        <v/>
      </c>
      <c r="H141" s="21" t="str">
        <f t="shared" si="2"/>
        <v/>
      </c>
      <c r="I141" s="19"/>
    </row>
    <row r="142" ht="15.75" customHeight="1">
      <c r="A142" s="3"/>
      <c r="B142" s="20"/>
      <c r="C142" s="21" t="str">
        <f>IF(A142="","",SUMIFS('Daily Ops'!$N$2:$N$401,'Daily Ops'!$A$2:$A$401,A142))</f>
        <v/>
      </c>
      <c r="D142" s="20"/>
      <c r="E142" s="20"/>
      <c r="F142" s="20"/>
      <c r="G142" s="21" t="str">
        <f t="shared" si="1"/>
        <v/>
      </c>
      <c r="H142" s="21" t="str">
        <f t="shared" si="2"/>
        <v/>
      </c>
      <c r="I142" s="19"/>
    </row>
    <row r="143" ht="15.75" customHeight="1">
      <c r="A143" s="3"/>
      <c r="B143" s="20"/>
      <c r="C143" s="21" t="str">
        <f>IF(A143="","",SUMIFS('Daily Ops'!$N$2:$N$401,'Daily Ops'!$A$2:$A$401,A143))</f>
        <v/>
      </c>
      <c r="D143" s="20"/>
      <c r="E143" s="20"/>
      <c r="F143" s="20"/>
      <c r="G143" s="21" t="str">
        <f t="shared" si="1"/>
        <v/>
      </c>
      <c r="H143" s="21" t="str">
        <f t="shared" si="2"/>
        <v/>
      </c>
      <c r="I143" s="19"/>
    </row>
    <row r="144" ht="15.75" customHeight="1">
      <c r="A144" s="3"/>
      <c r="B144" s="20"/>
      <c r="C144" s="21" t="str">
        <f>IF(A144="","",SUMIFS('Daily Ops'!$N$2:$N$401,'Daily Ops'!$A$2:$A$401,A144))</f>
        <v/>
      </c>
      <c r="D144" s="20"/>
      <c r="E144" s="20"/>
      <c r="F144" s="20"/>
      <c r="G144" s="21" t="str">
        <f t="shared" si="1"/>
        <v/>
      </c>
      <c r="H144" s="21" t="str">
        <f t="shared" si="2"/>
        <v/>
      </c>
      <c r="I144" s="19"/>
    </row>
    <row r="145" ht="15.75" customHeight="1">
      <c r="A145" s="3"/>
      <c r="B145" s="20"/>
      <c r="C145" s="21" t="str">
        <f>IF(A145="","",SUMIFS('Daily Ops'!$N$2:$N$401,'Daily Ops'!$A$2:$A$401,A145))</f>
        <v/>
      </c>
      <c r="D145" s="20"/>
      <c r="E145" s="20"/>
      <c r="F145" s="20"/>
      <c r="G145" s="21" t="str">
        <f t="shared" si="1"/>
        <v/>
      </c>
      <c r="H145" s="21" t="str">
        <f t="shared" si="2"/>
        <v/>
      </c>
      <c r="I145" s="19"/>
    </row>
    <row r="146" ht="15.75" customHeight="1">
      <c r="A146" s="3"/>
      <c r="B146" s="20"/>
      <c r="C146" s="21" t="str">
        <f>IF(A146="","",SUMIFS('Daily Ops'!$N$2:$N$401,'Daily Ops'!$A$2:$A$401,A146))</f>
        <v/>
      </c>
      <c r="D146" s="20"/>
      <c r="E146" s="20"/>
      <c r="F146" s="20"/>
      <c r="G146" s="21" t="str">
        <f t="shared" si="1"/>
        <v/>
      </c>
      <c r="H146" s="21" t="str">
        <f t="shared" si="2"/>
        <v/>
      </c>
      <c r="I146" s="19"/>
    </row>
    <row r="147" ht="15.75" customHeight="1">
      <c r="A147" s="3"/>
      <c r="B147" s="20"/>
      <c r="C147" s="21" t="str">
        <f>IF(A147="","",SUMIFS('Daily Ops'!$N$2:$N$401,'Daily Ops'!$A$2:$A$401,A147))</f>
        <v/>
      </c>
      <c r="D147" s="20"/>
      <c r="E147" s="20"/>
      <c r="F147" s="20"/>
      <c r="G147" s="21" t="str">
        <f t="shared" si="1"/>
        <v/>
      </c>
      <c r="H147" s="21" t="str">
        <f t="shared" si="2"/>
        <v/>
      </c>
      <c r="I147" s="19"/>
    </row>
    <row r="148" ht="15.75" customHeight="1">
      <c r="A148" s="3"/>
      <c r="B148" s="20"/>
      <c r="C148" s="21" t="str">
        <f>IF(A148="","",SUMIFS('Daily Ops'!$N$2:$N$401,'Daily Ops'!$A$2:$A$401,A148))</f>
        <v/>
      </c>
      <c r="D148" s="20"/>
      <c r="E148" s="20"/>
      <c r="F148" s="20"/>
      <c r="G148" s="21" t="str">
        <f t="shared" si="1"/>
        <v/>
      </c>
      <c r="H148" s="21" t="str">
        <f t="shared" si="2"/>
        <v/>
      </c>
      <c r="I148" s="19"/>
    </row>
    <row r="149" ht="15.75" customHeight="1">
      <c r="A149" s="3"/>
      <c r="B149" s="20"/>
      <c r="C149" s="21" t="str">
        <f>IF(A149="","",SUMIFS('Daily Ops'!$N$2:$N$401,'Daily Ops'!$A$2:$A$401,A149))</f>
        <v/>
      </c>
      <c r="D149" s="20"/>
      <c r="E149" s="20"/>
      <c r="F149" s="20"/>
      <c r="G149" s="21" t="str">
        <f t="shared" si="1"/>
        <v/>
      </c>
      <c r="H149" s="21" t="str">
        <f t="shared" si="2"/>
        <v/>
      </c>
      <c r="I149" s="19"/>
    </row>
    <row r="150" ht="15.75" customHeight="1">
      <c r="A150" s="3"/>
      <c r="B150" s="20"/>
      <c r="C150" s="21" t="str">
        <f>IF(A150="","",SUMIFS('Daily Ops'!$N$2:$N$401,'Daily Ops'!$A$2:$A$401,A150))</f>
        <v/>
      </c>
      <c r="D150" s="20"/>
      <c r="E150" s="20"/>
      <c r="F150" s="20"/>
      <c r="G150" s="21" t="str">
        <f t="shared" si="1"/>
        <v/>
      </c>
      <c r="H150" s="21" t="str">
        <f t="shared" si="2"/>
        <v/>
      </c>
      <c r="I150" s="19"/>
    </row>
    <row r="151" ht="15.75" customHeight="1">
      <c r="A151" s="3"/>
      <c r="B151" s="20"/>
      <c r="C151" s="21" t="str">
        <f>IF(A151="","",SUMIFS('Daily Ops'!$N$2:$N$401,'Daily Ops'!$A$2:$A$401,A151))</f>
        <v/>
      </c>
      <c r="D151" s="20"/>
      <c r="E151" s="20"/>
      <c r="F151" s="20"/>
      <c r="G151" s="21" t="str">
        <f t="shared" si="1"/>
        <v/>
      </c>
      <c r="H151" s="21" t="str">
        <f t="shared" si="2"/>
        <v/>
      </c>
      <c r="I151" s="19"/>
    </row>
    <row r="152" ht="15.75" customHeight="1">
      <c r="A152" s="3"/>
      <c r="B152" s="20"/>
      <c r="C152" s="21" t="str">
        <f>IF(A152="","",SUMIFS('Daily Ops'!$N$2:$N$401,'Daily Ops'!$A$2:$A$401,A152))</f>
        <v/>
      </c>
      <c r="D152" s="20"/>
      <c r="E152" s="20"/>
      <c r="F152" s="20"/>
      <c r="G152" s="21" t="str">
        <f t="shared" si="1"/>
        <v/>
      </c>
      <c r="H152" s="21" t="str">
        <f t="shared" si="2"/>
        <v/>
      </c>
      <c r="I152" s="19"/>
    </row>
    <row r="153" ht="15.75" customHeight="1">
      <c r="A153" s="3"/>
      <c r="B153" s="20"/>
      <c r="C153" s="21" t="str">
        <f>IF(A153="","",SUMIFS('Daily Ops'!$N$2:$N$401,'Daily Ops'!$A$2:$A$401,A153))</f>
        <v/>
      </c>
      <c r="D153" s="20"/>
      <c r="E153" s="20"/>
      <c r="F153" s="20"/>
      <c r="G153" s="21" t="str">
        <f t="shared" si="1"/>
        <v/>
      </c>
      <c r="H153" s="21" t="str">
        <f t="shared" si="2"/>
        <v/>
      </c>
      <c r="I153" s="19"/>
    </row>
    <row r="154" ht="15.75" customHeight="1">
      <c r="A154" s="3"/>
      <c r="B154" s="20"/>
      <c r="C154" s="21" t="str">
        <f>IF(A154="","",SUMIFS('Daily Ops'!$N$2:$N$401,'Daily Ops'!$A$2:$A$401,A154))</f>
        <v/>
      </c>
      <c r="D154" s="20"/>
      <c r="E154" s="20"/>
      <c r="F154" s="20"/>
      <c r="G154" s="21" t="str">
        <f t="shared" si="1"/>
        <v/>
      </c>
      <c r="H154" s="21" t="str">
        <f t="shared" si="2"/>
        <v/>
      </c>
      <c r="I154" s="19"/>
    </row>
    <row r="155" ht="15.75" customHeight="1">
      <c r="A155" s="3"/>
      <c r="B155" s="20"/>
      <c r="C155" s="21" t="str">
        <f>IF(A155="","",SUMIFS('Daily Ops'!$N$2:$N$401,'Daily Ops'!$A$2:$A$401,A155))</f>
        <v/>
      </c>
      <c r="D155" s="20"/>
      <c r="E155" s="20"/>
      <c r="F155" s="20"/>
      <c r="G155" s="21" t="str">
        <f t="shared" si="1"/>
        <v/>
      </c>
      <c r="H155" s="21" t="str">
        <f t="shared" si="2"/>
        <v/>
      </c>
      <c r="I155" s="19"/>
    </row>
    <row r="156" ht="15.75" customHeight="1">
      <c r="A156" s="3"/>
      <c r="B156" s="20"/>
      <c r="C156" s="21" t="str">
        <f>IF(A156="","",SUMIFS('Daily Ops'!$N$2:$N$401,'Daily Ops'!$A$2:$A$401,A156))</f>
        <v/>
      </c>
      <c r="D156" s="20"/>
      <c r="E156" s="20"/>
      <c r="F156" s="20"/>
      <c r="G156" s="21" t="str">
        <f t="shared" si="1"/>
        <v/>
      </c>
      <c r="H156" s="21" t="str">
        <f t="shared" si="2"/>
        <v/>
      </c>
      <c r="I156" s="19"/>
    </row>
    <row r="157" ht="15.75" customHeight="1">
      <c r="A157" s="3"/>
      <c r="B157" s="20"/>
      <c r="C157" s="21" t="str">
        <f>IF(A157="","",SUMIFS('Daily Ops'!$N$2:$N$401,'Daily Ops'!$A$2:$A$401,A157))</f>
        <v/>
      </c>
      <c r="D157" s="20"/>
      <c r="E157" s="20"/>
      <c r="F157" s="20"/>
      <c r="G157" s="21" t="str">
        <f t="shared" si="1"/>
        <v/>
      </c>
      <c r="H157" s="21" t="str">
        <f t="shared" si="2"/>
        <v/>
      </c>
      <c r="I157" s="19"/>
    </row>
    <row r="158" ht="15.75" customHeight="1">
      <c r="A158" s="3"/>
      <c r="B158" s="20"/>
      <c r="C158" s="21" t="str">
        <f>IF(A158="","",SUMIFS('Daily Ops'!$N$2:$N$401,'Daily Ops'!$A$2:$A$401,A158))</f>
        <v/>
      </c>
      <c r="D158" s="20"/>
      <c r="E158" s="20"/>
      <c r="F158" s="20"/>
      <c r="G158" s="21" t="str">
        <f t="shared" si="1"/>
        <v/>
      </c>
      <c r="H158" s="21" t="str">
        <f t="shared" si="2"/>
        <v/>
      </c>
      <c r="I158" s="19"/>
    </row>
    <row r="159" ht="15.75" customHeight="1">
      <c r="A159" s="3"/>
      <c r="B159" s="20"/>
      <c r="C159" s="21" t="str">
        <f>IF(A159="","",SUMIFS('Daily Ops'!$N$2:$N$401,'Daily Ops'!$A$2:$A$401,A159))</f>
        <v/>
      </c>
      <c r="D159" s="20"/>
      <c r="E159" s="20"/>
      <c r="F159" s="20"/>
      <c r="G159" s="21" t="str">
        <f t="shared" si="1"/>
        <v/>
      </c>
      <c r="H159" s="21" t="str">
        <f t="shared" si="2"/>
        <v/>
      </c>
      <c r="I159" s="19"/>
    </row>
    <row r="160" ht="15.75" customHeight="1">
      <c r="A160" s="3"/>
      <c r="B160" s="20"/>
      <c r="C160" s="21" t="str">
        <f>IF(A160="","",SUMIFS('Daily Ops'!$N$2:$N$401,'Daily Ops'!$A$2:$A$401,A160))</f>
        <v/>
      </c>
      <c r="D160" s="20"/>
      <c r="E160" s="20"/>
      <c r="F160" s="20"/>
      <c r="G160" s="21" t="str">
        <f t="shared" si="1"/>
        <v/>
      </c>
      <c r="H160" s="21" t="str">
        <f t="shared" si="2"/>
        <v/>
      </c>
      <c r="I160" s="19"/>
    </row>
    <row r="161" ht="15.75" customHeight="1">
      <c r="A161" s="3"/>
      <c r="B161" s="20"/>
      <c r="C161" s="21" t="str">
        <f>IF(A161="","",SUMIFS('Daily Ops'!$N$2:$N$401,'Daily Ops'!$A$2:$A$401,A161))</f>
        <v/>
      </c>
      <c r="D161" s="20"/>
      <c r="E161" s="20"/>
      <c r="F161" s="20"/>
      <c r="G161" s="21" t="str">
        <f t="shared" si="1"/>
        <v/>
      </c>
      <c r="H161" s="21" t="str">
        <f t="shared" si="2"/>
        <v/>
      </c>
      <c r="I161" s="19"/>
    </row>
    <row r="162" ht="15.75" customHeight="1">
      <c r="A162" s="3"/>
      <c r="B162" s="20"/>
      <c r="C162" s="21" t="str">
        <f>IF(A162="","",SUMIFS('Daily Ops'!$N$2:$N$401,'Daily Ops'!$A$2:$A$401,A162))</f>
        <v/>
      </c>
      <c r="D162" s="20"/>
      <c r="E162" s="20"/>
      <c r="F162" s="20"/>
      <c r="G162" s="21" t="str">
        <f t="shared" si="1"/>
        <v/>
      </c>
      <c r="H162" s="21" t="str">
        <f t="shared" si="2"/>
        <v/>
      </c>
      <c r="I162" s="19"/>
    </row>
    <row r="163" ht="15.75" customHeight="1">
      <c r="A163" s="3"/>
      <c r="B163" s="20"/>
      <c r="C163" s="21" t="str">
        <f>IF(A163="","",SUMIFS('Daily Ops'!$N$2:$N$401,'Daily Ops'!$A$2:$A$401,A163))</f>
        <v/>
      </c>
      <c r="D163" s="20"/>
      <c r="E163" s="20"/>
      <c r="F163" s="20"/>
      <c r="G163" s="21" t="str">
        <f t="shared" si="1"/>
        <v/>
      </c>
      <c r="H163" s="21" t="str">
        <f t="shared" si="2"/>
        <v/>
      </c>
      <c r="I163" s="19"/>
    </row>
    <row r="164" ht="15.75" customHeight="1">
      <c r="A164" s="3"/>
      <c r="B164" s="20"/>
      <c r="C164" s="21" t="str">
        <f>IF(A164="","",SUMIFS('Daily Ops'!$N$2:$N$401,'Daily Ops'!$A$2:$A$401,A164))</f>
        <v/>
      </c>
      <c r="D164" s="20"/>
      <c r="E164" s="20"/>
      <c r="F164" s="20"/>
      <c r="G164" s="21" t="str">
        <f t="shared" si="1"/>
        <v/>
      </c>
      <c r="H164" s="21" t="str">
        <f t="shared" si="2"/>
        <v/>
      </c>
      <c r="I164" s="19"/>
    </row>
    <row r="165" ht="15.75" customHeight="1">
      <c r="A165" s="3"/>
      <c r="B165" s="20"/>
      <c r="C165" s="21" t="str">
        <f>IF(A165="","",SUMIFS('Daily Ops'!$N$2:$N$401,'Daily Ops'!$A$2:$A$401,A165))</f>
        <v/>
      </c>
      <c r="D165" s="20"/>
      <c r="E165" s="20"/>
      <c r="F165" s="20"/>
      <c r="G165" s="21" t="str">
        <f t="shared" si="1"/>
        <v/>
      </c>
      <c r="H165" s="21" t="str">
        <f t="shared" si="2"/>
        <v/>
      </c>
      <c r="I165" s="19"/>
    </row>
    <row r="166" ht="15.75" customHeight="1">
      <c r="A166" s="3"/>
      <c r="B166" s="20"/>
      <c r="C166" s="21" t="str">
        <f>IF(A166="","",SUMIFS('Daily Ops'!$N$2:$N$401,'Daily Ops'!$A$2:$A$401,A166))</f>
        <v/>
      </c>
      <c r="D166" s="20"/>
      <c r="E166" s="20"/>
      <c r="F166" s="20"/>
      <c r="G166" s="21" t="str">
        <f t="shared" si="1"/>
        <v/>
      </c>
      <c r="H166" s="21" t="str">
        <f t="shared" si="2"/>
        <v/>
      </c>
      <c r="I166" s="19"/>
    </row>
    <row r="167" ht="15.75" customHeight="1">
      <c r="A167" s="3"/>
      <c r="B167" s="20"/>
      <c r="C167" s="21" t="str">
        <f>IF(A167="","",SUMIFS('Daily Ops'!$N$2:$N$401,'Daily Ops'!$A$2:$A$401,A167))</f>
        <v/>
      </c>
      <c r="D167" s="20"/>
      <c r="E167" s="20"/>
      <c r="F167" s="20"/>
      <c r="G167" s="21" t="str">
        <f t="shared" si="1"/>
        <v/>
      </c>
      <c r="H167" s="21" t="str">
        <f t="shared" si="2"/>
        <v/>
      </c>
      <c r="I167" s="19"/>
    </row>
    <row r="168" ht="15.75" customHeight="1">
      <c r="A168" s="3"/>
      <c r="B168" s="20"/>
      <c r="C168" s="21" t="str">
        <f>IF(A168="","",SUMIFS('Daily Ops'!$N$2:$N$401,'Daily Ops'!$A$2:$A$401,A168))</f>
        <v/>
      </c>
      <c r="D168" s="20"/>
      <c r="E168" s="20"/>
      <c r="F168" s="20"/>
      <c r="G168" s="21" t="str">
        <f t="shared" si="1"/>
        <v/>
      </c>
      <c r="H168" s="21" t="str">
        <f t="shared" si="2"/>
        <v/>
      </c>
      <c r="I168" s="19"/>
    </row>
    <row r="169" ht="15.75" customHeight="1">
      <c r="A169" s="3"/>
      <c r="B169" s="20"/>
      <c r="C169" s="21" t="str">
        <f>IF(A169="","",SUMIFS('Daily Ops'!$N$2:$N$401,'Daily Ops'!$A$2:$A$401,A169))</f>
        <v/>
      </c>
      <c r="D169" s="20"/>
      <c r="E169" s="20"/>
      <c r="F169" s="20"/>
      <c r="G169" s="21" t="str">
        <f t="shared" si="1"/>
        <v/>
      </c>
      <c r="H169" s="21" t="str">
        <f t="shared" si="2"/>
        <v/>
      </c>
      <c r="I169" s="19"/>
    </row>
    <row r="170" ht="15.75" customHeight="1">
      <c r="A170" s="3"/>
      <c r="B170" s="20"/>
      <c r="C170" s="21" t="str">
        <f>IF(A170="","",SUMIFS('Daily Ops'!$N$2:$N$401,'Daily Ops'!$A$2:$A$401,A170))</f>
        <v/>
      </c>
      <c r="D170" s="20"/>
      <c r="E170" s="20"/>
      <c r="F170" s="20"/>
      <c r="G170" s="21" t="str">
        <f t="shared" si="1"/>
        <v/>
      </c>
      <c r="H170" s="21" t="str">
        <f t="shared" si="2"/>
        <v/>
      </c>
      <c r="I170" s="19"/>
    </row>
    <row r="171" ht="15.75" customHeight="1">
      <c r="A171" s="3"/>
      <c r="B171" s="20"/>
      <c r="C171" s="21" t="str">
        <f>IF(A171="","",SUMIFS('Daily Ops'!$N$2:$N$401,'Daily Ops'!$A$2:$A$401,A171))</f>
        <v/>
      </c>
      <c r="D171" s="20"/>
      <c r="E171" s="20"/>
      <c r="F171" s="20"/>
      <c r="G171" s="21" t="str">
        <f t="shared" si="1"/>
        <v/>
      </c>
      <c r="H171" s="21" t="str">
        <f t="shared" si="2"/>
        <v/>
      </c>
      <c r="I171" s="19"/>
    </row>
    <row r="172" ht="15.75" customHeight="1">
      <c r="A172" s="3"/>
      <c r="B172" s="20"/>
      <c r="C172" s="21" t="str">
        <f>IF(A172="","",SUMIFS('Daily Ops'!$N$2:$N$401,'Daily Ops'!$A$2:$A$401,A172))</f>
        <v/>
      </c>
      <c r="D172" s="20"/>
      <c r="E172" s="20"/>
      <c r="F172" s="20"/>
      <c r="G172" s="21" t="str">
        <f t="shared" si="1"/>
        <v/>
      </c>
      <c r="H172" s="21" t="str">
        <f t="shared" si="2"/>
        <v/>
      </c>
      <c r="I172" s="19"/>
    </row>
    <row r="173" ht="15.75" customHeight="1">
      <c r="A173" s="3"/>
      <c r="B173" s="20"/>
      <c r="C173" s="21" t="str">
        <f>IF(A173="","",SUMIFS('Daily Ops'!$N$2:$N$401,'Daily Ops'!$A$2:$A$401,A173))</f>
        <v/>
      </c>
      <c r="D173" s="20"/>
      <c r="E173" s="20"/>
      <c r="F173" s="20"/>
      <c r="G173" s="21" t="str">
        <f t="shared" si="1"/>
        <v/>
      </c>
      <c r="H173" s="21" t="str">
        <f t="shared" si="2"/>
        <v/>
      </c>
      <c r="I173" s="19"/>
    </row>
    <row r="174" ht="15.75" customHeight="1">
      <c r="A174" s="3"/>
      <c r="B174" s="20"/>
      <c r="C174" s="21" t="str">
        <f>IF(A174="","",SUMIFS('Daily Ops'!$N$2:$N$401,'Daily Ops'!$A$2:$A$401,A174))</f>
        <v/>
      </c>
      <c r="D174" s="20"/>
      <c r="E174" s="20"/>
      <c r="F174" s="20"/>
      <c r="G174" s="21" t="str">
        <f t="shared" si="1"/>
        <v/>
      </c>
      <c r="H174" s="21" t="str">
        <f t="shared" si="2"/>
        <v/>
      </c>
      <c r="I174" s="19"/>
    </row>
    <row r="175" ht="15.75" customHeight="1">
      <c r="A175" s="3"/>
      <c r="B175" s="20"/>
      <c r="C175" s="21" t="str">
        <f>IF(A175="","",SUMIFS('Daily Ops'!$N$2:$N$401,'Daily Ops'!$A$2:$A$401,A175))</f>
        <v/>
      </c>
      <c r="D175" s="20"/>
      <c r="E175" s="20"/>
      <c r="F175" s="20"/>
      <c r="G175" s="21" t="str">
        <f t="shared" si="1"/>
        <v/>
      </c>
      <c r="H175" s="21" t="str">
        <f t="shared" si="2"/>
        <v/>
      </c>
      <c r="I175" s="19"/>
    </row>
    <row r="176" ht="15.75" customHeight="1">
      <c r="A176" s="3"/>
      <c r="B176" s="20"/>
      <c r="C176" s="21" t="str">
        <f>IF(A176="","",SUMIFS('Daily Ops'!$N$2:$N$401,'Daily Ops'!$A$2:$A$401,A176))</f>
        <v/>
      </c>
      <c r="D176" s="20"/>
      <c r="E176" s="20"/>
      <c r="F176" s="20"/>
      <c r="G176" s="21" t="str">
        <f t="shared" si="1"/>
        <v/>
      </c>
      <c r="H176" s="21" t="str">
        <f t="shared" si="2"/>
        <v/>
      </c>
      <c r="I176" s="19"/>
    </row>
    <row r="177" ht="15.75" customHeight="1">
      <c r="A177" s="3"/>
      <c r="B177" s="20"/>
      <c r="C177" s="21" t="str">
        <f>IF(A177="","",SUMIFS('Daily Ops'!$N$2:$N$401,'Daily Ops'!$A$2:$A$401,A177))</f>
        <v/>
      </c>
      <c r="D177" s="20"/>
      <c r="E177" s="20"/>
      <c r="F177" s="20"/>
      <c r="G177" s="21" t="str">
        <f t="shared" si="1"/>
        <v/>
      </c>
      <c r="H177" s="21" t="str">
        <f t="shared" si="2"/>
        <v/>
      </c>
      <c r="I177" s="19"/>
    </row>
    <row r="178" ht="15.75" customHeight="1">
      <c r="A178" s="3"/>
      <c r="B178" s="20"/>
      <c r="C178" s="21" t="str">
        <f>IF(A178="","",SUMIFS('Daily Ops'!$N$2:$N$401,'Daily Ops'!$A$2:$A$401,A178))</f>
        <v/>
      </c>
      <c r="D178" s="20"/>
      <c r="E178" s="20"/>
      <c r="F178" s="20"/>
      <c r="G178" s="21" t="str">
        <f t="shared" si="1"/>
        <v/>
      </c>
      <c r="H178" s="21" t="str">
        <f t="shared" si="2"/>
        <v/>
      </c>
      <c r="I178" s="19"/>
    </row>
    <row r="179" ht="15.75" customHeight="1">
      <c r="A179" s="3"/>
      <c r="B179" s="20"/>
      <c r="C179" s="21" t="str">
        <f>IF(A179="","",SUMIFS('Daily Ops'!$N$2:$N$401,'Daily Ops'!$A$2:$A$401,A179))</f>
        <v/>
      </c>
      <c r="D179" s="20"/>
      <c r="E179" s="20"/>
      <c r="F179" s="20"/>
      <c r="G179" s="21" t="str">
        <f t="shared" si="1"/>
        <v/>
      </c>
      <c r="H179" s="21" t="str">
        <f t="shared" si="2"/>
        <v/>
      </c>
      <c r="I179" s="19"/>
    </row>
    <row r="180" ht="15.75" customHeight="1">
      <c r="A180" s="3"/>
      <c r="B180" s="20"/>
      <c r="C180" s="21" t="str">
        <f>IF(A180="","",SUMIFS('Daily Ops'!$N$2:$N$401,'Daily Ops'!$A$2:$A$401,A180))</f>
        <v/>
      </c>
      <c r="D180" s="20"/>
      <c r="E180" s="20"/>
      <c r="F180" s="20"/>
      <c r="G180" s="21" t="str">
        <f t="shared" si="1"/>
        <v/>
      </c>
      <c r="H180" s="21" t="str">
        <f t="shared" si="2"/>
        <v/>
      </c>
      <c r="I180" s="19"/>
    </row>
    <row r="181" ht="15.75" customHeight="1">
      <c r="A181" s="3"/>
      <c r="B181" s="20"/>
      <c r="C181" s="21" t="str">
        <f>IF(A181="","",SUMIFS('Daily Ops'!$N$2:$N$401,'Daily Ops'!$A$2:$A$401,A181))</f>
        <v/>
      </c>
      <c r="D181" s="20"/>
      <c r="E181" s="20"/>
      <c r="F181" s="20"/>
      <c r="G181" s="21" t="str">
        <f t="shared" si="1"/>
        <v/>
      </c>
      <c r="H181" s="21" t="str">
        <f t="shared" si="2"/>
        <v/>
      </c>
      <c r="I181" s="19"/>
    </row>
    <row r="182" ht="15.75" customHeight="1">
      <c r="A182" s="3"/>
      <c r="B182" s="20"/>
      <c r="C182" s="21" t="str">
        <f>IF(A182="","",SUMIFS('Daily Ops'!$N$2:$N$401,'Daily Ops'!$A$2:$A$401,A182))</f>
        <v/>
      </c>
      <c r="D182" s="20"/>
      <c r="E182" s="20"/>
      <c r="F182" s="20"/>
      <c r="G182" s="21" t="str">
        <f t="shared" si="1"/>
        <v/>
      </c>
      <c r="H182" s="21" t="str">
        <f t="shared" si="2"/>
        <v/>
      </c>
      <c r="I182" s="19"/>
    </row>
    <row r="183" ht="15.75" customHeight="1">
      <c r="A183" s="3"/>
      <c r="B183" s="20"/>
      <c r="C183" s="21" t="str">
        <f>IF(A183="","",SUMIFS('Daily Ops'!$N$2:$N$401,'Daily Ops'!$A$2:$A$401,A183))</f>
        <v/>
      </c>
      <c r="D183" s="20"/>
      <c r="E183" s="20"/>
      <c r="F183" s="20"/>
      <c r="G183" s="21" t="str">
        <f t="shared" si="1"/>
        <v/>
      </c>
      <c r="H183" s="21" t="str">
        <f t="shared" si="2"/>
        <v/>
      </c>
      <c r="I183" s="19"/>
    </row>
    <row r="184" ht="15.75" customHeight="1">
      <c r="A184" s="3"/>
      <c r="B184" s="20"/>
      <c r="C184" s="21" t="str">
        <f>IF(A184="","",SUMIFS('Daily Ops'!$N$2:$N$401,'Daily Ops'!$A$2:$A$401,A184))</f>
        <v/>
      </c>
      <c r="D184" s="20"/>
      <c r="E184" s="20"/>
      <c r="F184" s="20"/>
      <c r="G184" s="21" t="str">
        <f t="shared" si="1"/>
        <v/>
      </c>
      <c r="H184" s="21" t="str">
        <f t="shared" si="2"/>
        <v/>
      </c>
      <c r="I184" s="19"/>
    </row>
    <row r="185" ht="15.75" customHeight="1">
      <c r="A185" s="3"/>
      <c r="B185" s="20"/>
      <c r="C185" s="21" t="str">
        <f>IF(A185="","",SUMIFS('Daily Ops'!$N$2:$N$401,'Daily Ops'!$A$2:$A$401,A185))</f>
        <v/>
      </c>
      <c r="D185" s="20"/>
      <c r="E185" s="20"/>
      <c r="F185" s="20"/>
      <c r="G185" s="21" t="str">
        <f t="shared" si="1"/>
        <v/>
      </c>
      <c r="H185" s="21" t="str">
        <f t="shared" si="2"/>
        <v/>
      </c>
      <c r="I185" s="19"/>
    </row>
    <row r="186" ht="15.75" customHeight="1">
      <c r="A186" s="3"/>
      <c r="B186" s="20"/>
      <c r="C186" s="21" t="str">
        <f>IF(A186="","",SUMIFS('Daily Ops'!$N$2:$N$401,'Daily Ops'!$A$2:$A$401,A186))</f>
        <v/>
      </c>
      <c r="D186" s="20"/>
      <c r="E186" s="20"/>
      <c r="F186" s="20"/>
      <c r="G186" s="21" t="str">
        <f t="shared" si="1"/>
        <v/>
      </c>
      <c r="H186" s="21" t="str">
        <f t="shared" si="2"/>
        <v/>
      </c>
      <c r="I186" s="19"/>
    </row>
    <row r="187" ht="15.75" customHeight="1">
      <c r="A187" s="3"/>
      <c r="B187" s="20"/>
      <c r="C187" s="21" t="str">
        <f>IF(A187="","",SUMIFS('Daily Ops'!$N$2:$N$401,'Daily Ops'!$A$2:$A$401,A187))</f>
        <v/>
      </c>
      <c r="D187" s="20"/>
      <c r="E187" s="20"/>
      <c r="F187" s="20"/>
      <c r="G187" s="21" t="str">
        <f t="shared" si="1"/>
        <v/>
      </c>
      <c r="H187" s="21" t="str">
        <f t="shared" si="2"/>
        <v/>
      </c>
      <c r="I187" s="19"/>
    </row>
    <row r="188" ht="15.75" customHeight="1">
      <c r="A188" s="3"/>
      <c r="B188" s="20"/>
      <c r="C188" s="21" t="str">
        <f>IF(A188="","",SUMIFS('Daily Ops'!$N$2:$N$401,'Daily Ops'!$A$2:$A$401,A188))</f>
        <v/>
      </c>
      <c r="D188" s="20"/>
      <c r="E188" s="20"/>
      <c r="F188" s="20"/>
      <c r="G188" s="21" t="str">
        <f t="shared" si="1"/>
        <v/>
      </c>
      <c r="H188" s="21" t="str">
        <f t="shared" si="2"/>
        <v/>
      </c>
      <c r="I188" s="19"/>
    </row>
    <row r="189" ht="15.75" customHeight="1">
      <c r="A189" s="3"/>
      <c r="B189" s="20"/>
      <c r="C189" s="21" t="str">
        <f>IF(A189="","",SUMIFS('Daily Ops'!$N$2:$N$401,'Daily Ops'!$A$2:$A$401,A189))</f>
        <v/>
      </c>
      <c r="D189" s="20"/>
      <c r="E189" s="20"/>
      <c r="F189" s="20"/>
      <c r="G189" s="21" t="str">
        <f t="shared" si="1"/>
        <v/>
      </c>
      <c r="H189" s="21" t="str">
        <f t="shared" si="2"/>
        <v/>
      </c>
      <c r="I189" s="19"/>
    </row>
    <row r="190" ht="15.75" customHeight="1">
      <c r="A190" s="3"/>
      <c r="B190" s="20"/>
      <c r="C190" s="21" t="str">
        <f>IF(A190="","",SUMIFS('Daily Ops'!$N$2:$N$401,'Daily Ops'!$A$2:$A$401,A190))</f>
        <v/>
      </c>
      <c r="D190" s="20"/>
      <c r="E190" s="20"/>
      <c r="F190" s="20"/>
      <c r="G190" s="21" t="str">
        <f t="shared" si="1"/>
        <v/>
      </c>
      <c r="H190" s="21" t="str">
        <f t="shared" si="2"/>
        <v/>
      </c>
      <c r="I190" s="19"/>
    </row>
    <row r="191" ht="15.75" customHeight="1">
      <c r="A191" s="3"/>
      <c r="B191" s="20"/>
      <c r="C191" s="21" t="str">
        <f>IF(A191="","",SUMIFS('Daily Ops'!$N$2:$N$401,'Daily Ops'!$A$2:$A$401,A191))</f>
        <v/>
      </c>
      <c r="D191" s="20"/>
      <c r="E191" s="20"/>
      <c r="F191" s="20"/>
      <c r="G191" s="21" t="str">
        <f t="shared" si="1"/>
        <v/>
      </c>
      <c r="H191" s="21" t="str">
        <f t="shared" si="2"/>
        <v/>
      </c>
      <c r="I191" s="19"/>
    </row>
    <row r="192" ht="15.75" customHeight="1">
      <c r="A192" s="3"/>
      <c r="B192" s="20"/>
      <c r="C192" s="21" t="str">
        <f>IF(A192="","",SUMIFS('Daily Ops'!$N$2:$N$401,'Daily Ops'!$A$2:$A$401,A192))</f>
        <v/>
      </c>
      <c r="D192" s="20"/>
      <c r="E192" s="20"/>
      <c r="F192" s="20"/>
      <c r="G192" s="21" t="str">
        <f t="shared" si="1"/>
        <v/>
      </c>
      <c r="H192" s="21" t="str">
        <f t="shared" si="2"/>
        <v/>
      </c>
      <c r="I192" s="19"/>
    </row>
    <row r="193" ht="15.75" customHeight="1">
      <c r="A193" s="3"/>
      <c r="B193" s="20"/>
      <c r="C193" s="21" t="str">
        <f>IF(A193="","",SUMIFS('Daily Ops'!$N$2:$N$401,'Daily Ops'!$A$2:$A$401,A193))</f>
        <v/>
      </c>
      <c r="D193" s="20"/>
      <c r="E193" s="20"/>
      <c r="F193" s="20"/>
      <c r="G193" s="21" t="str">
        <f t="shared" si="1"/>
        <v/>
      </c>
      <c r="H193" s="21" t="str">
        <f t="shared" si="2"/>
        <v/>
      </c>
      <c r="I193" s="19"/>
    </row>
    <row r="194" ht="15.75" customHeight="1">
      <c r="A194" s="3"/>
      <c r="B194" s="20"/>
      <c r="C194" s="21" t="str">
        <f>IF(A194="","",SUMIFS('Daily Ops'!$N$2:$N$401,'Daily Ops'!$A$2:$A$401,A194))</f>
        <v/>
      </c>
      <c r="D194" s="20"/>
      <c r="E194" s="20"/>
      <c r="F194" s="20"/>
      <c r="G194" s="21" t="str">
        <f t="shared" si="1"/>
        <v/>
      </c>
      <c r="H194" s="21" t="str">
        <f t="shared" si="2"/>
        <v/>
      </c>
      <c r="I194" s="19"/>
    </row>
    <row r="195" ht="15.75" customHeight="1">
      <c r="A195" s="3"/>
      <c r="B195" s="20"/>
      <c r="C195" s="21" t="str">
        <f>IF(A195="","",SUMIFS('Daily Ops'!$N$2:$N$401,'Daily Ops'!$A$2:$A$401,A195))</f>
        <v/>
      </c>
      <c r="D195" s="20"/>
      <c r="E195" s="20"/>
      <c r="F195" s="20"/>
      <c r="G195" s="21" t="str">
        <f t="shared" si="1"/>
        <v/>
      </c>
      <c r="H195" s="21" t="str">
        <f t="shared" si="2"/>
        <v/>
      </c>
      <c r="I195" s="19"/>
    </row>
    <row r="196" ht="15.75" customHeight="1">
      <c r="A196" s="3"/>
      <c r="B196" s="20"/>
      <c r="C196" s="21" t="str">
        <f>IF(A196="","",SUMIFS('Daily Ops'!$N$2:$N$401,'Daily Ops'!$A$2:$A$401,A196))</f>
        <v/>
      </c>
      <c r="D196" s="20"/>
      <c r="E196" s="20"/>
      <c r="F196" s="20"/>
      <c r="G196" s="21" t="str">
        <f t="shared" si="1"/>
        <v/>
      </c>
      <c r="H196" s="21" t="str">
        <f t="shared" si="2"/>
        <v/>
      </c>
      <c r="I196" s="19"/>
    </row>
    <row r="197" ht="15.75" customHeight="1">
      <c r="A197" s="3"/>
      <c r="B197" s="20"/>
      <c r="C197" s="21" t="str">
        <f>IF(A197="","",SUMIFS('Daily Ops'!$N$2:$N$401,'Daily Ops'!$A$2:$A$401,A197))</f>
        <v/>
      </c>
      <c r="D197" s="20"/>
      <c r="E197" s="20"/>
      <c r="F197" s="20"/>
      <c r="G197" s="21" t="str">
        <f t="shared" si="1"/>
        <v/>
      </c>
      <c r="H197" s="21" t="str">
        <f t="shared" si="2"/>
        <v/>
      </c>
      <c r="I197" s="19"/>
    </row>
    <row r="198" ht="15.75" customHeight="1">
      <c r="A198" s="3"/>
      <c r="B198" s="20"/>
      <c r="C198" s="21" t="str">
        <f>IF(A198="","",SUMIFS('Daily Ops'!$N$2:$N$401,'Daily Ops'!$A$2:$A$401,A198))</f>
        <v/>
      </c>
      <c r="D198" s="20"/>
      <c r="E198" s="20"/>
      <c r="F198" s="20"/>
      <c r="G198" s="21" t="str">
        <f t="shared" si="1"/>
        <v/>
      </c>
      <c r="H198" s="21" t="str">
        <f t="shared" si="2"/>
        <v/>
      </c>
      <c r="I198" s="19"/>
    </row>
    <row r="199" ht="15.75" customHeight="1">
      <c r="A199" s="3"/>
      <c r="B199" s="20"/>
      <c r="C199" s="21" t="str">
        <f>IF(A199="","",SUMIFS('Daily Ops'!$N$2:$N$401,'Daily Ops'!$A$2:$A$401,A199))</f>
        <v/>
      </c>
      <c r="D199" s="20"/>
      <c r="E199" s="20"/>
      <c r="F199" s="20"/>
      <c r="G199" s="21" t="str">
        <f t="shared" si="1"/>
        <v/>
      </c>
      <c r="H199" s="21" t="str">
        <f t="shared" si="2"/>
        <v/>
      </c>
      <c r="I199" s="19"/>
    </row>
    <row r="200" ht="15.75" customHeight="1">
      <c r="A200" s="3"/>
      <c r="B200" s="20"/>
      <c r="C200" s="21" t="str">
        <f>IF(A200="","",SUMIFS('Daily Ops'!$N$2:$N$401,'Daily Ops'!$A$2:$A$401,A200))</f>
        <v/>
      </c>
      <c r="D200" s="20"/>
      <c r="E200" s="20"/>
      <c r="F200" s="20"/>
      <c r="G200" s="21" t="str">
        <f t="shared" si="1"/>
        <v/>
      </c>
      <c r="H200" s="21" t="str">
        <f t="shared" si="2"/>
        <v/>
      </c>
      <c r="I200" s="19"/>
    </row>
    <row r="201" ht="15.75" customHeight="1">
      <c r="A201" s="3"/>
      <c r="B201" s="20"/>
      <c r="C201" s="21" t="str">
        <f>IF(A201="","",SUMIFS('Daily Ops'!$N$2:$N$401,'Daily Ops'!$A$2:$A$401,A201))</f>
        <v/>
      </c>
      <c r="D201" s="20"/>
      <c r="E201" s="20"/>
      <c r="F201" s="20"/>
      <c r="G201" s="21" t="str">
        <f t="shared" si="1"/>
        <v/>
      </c>
      <c r="H201" s="21" t="str">
        <f t="shared" si="2"/>
        <v/>
      </c>
      <c r="I201" s="19"/>
    </row>
    <row r="202" ht="15.75" customHeight="1">
      <c r="A202" s="3"/>
      <c r="B202" s="20"/>
      <c r="C202" s="21" t="str">
        <f>IF(A202="","",SUMIFS('Daily Ops'!$N$2:$N$401,'Daily Ops'!$A$2:$A$401,A202))</f>
        <v/>
      </c>
      <c r="D202" s="20"/>
      <c r="E202" s="20"/>
      <c r="F202" s="20"/>
      <c r="G202" s="21" t="str">
        <f t="shared" si="1"/>
        <v/>
      </c>
      <c r="H202" s="21" t="str">
        <f t="shared" si="2"/>
        <v/>
      </c>
      <c r="I202" s="19"/>
    </row>
    <row r="203" ht="15.75" customHeight="1">
      <c r="A203" s="3"/>
      <c r="B203" s="20"/>
      <c r="C203" s="21" t="str">
        <f>IF(A203="","",SUMIFS('Daily Ops'!$N$2:$N$401,'Daily Ops'!$A$2:$A$401,A203))</f>
        <v/>
      </c>
      <c r="D203" s="20"/>
      <c r="E203" s="20"/>
      <c r="F203" s="20"/>
      <c r="G203" s="21" t="str">
        <f t="shared" si="1"/>
        <v/>
      </c>
      <c r="H203" s="21" t="str">
        <f t="shared" si="2"/>
        <v/>
      </c>
      <c r="I203" s="19"/>
    </row>
    <row r="204" ht="15.75" customHeight="1">
      <c r="A204" s="3"/>
      <c r="B204" s="20"/>
      <c r="C204" s="21" t="str">
        <f>IF(A204="","",SUMIFS('Daily Ops'!$N$2:$N$401,'Daily Ops'!$A$2:$A$401,A204))</f>
        <v/>
      </c>
      <c r="D204" s="20"/>
      <c r="E204" s="20"/>
      <c r="F204" s="20"/>
      <c r="G204" s="21" t="str">
        <f t="shared" si="1"/>
        <v/>
      </c>
      <c r="H204" s="21" t="str">
        <f t="shared" si="2"/>
        <v/>
      </c>
      <c r="I204" s="19"/>
    </row>
    <row r="205" ht="15.75" customHeight="1">
      <c r="A205" s="3"/>
      <c r="B205" s="20"/>
      <c r="C205" s="21" t="str">
        <f>IF(A205="","",SUMIFS('Daily Ops'!$N$2:$N$401,'Daily Ops'!$A$2:$A$401,A205))</f>
        <v/>
      </c>
      <c r="D205" s="20"/>
      <c r="E205" s="20"/>
      <c r="F205" s="20"/>
      <c r="G205" s="21" t="str">
        <f t="shared" si="1"/>
        <v/>
      </c>
      <c r="H205" s="21" t="str">
        <f t="shared" si="2"/>
        <v/>
      </c>
      <c r="I205" s="19"/>
    </row>
    <row r="206" ht="15.75" customHeight="1">
      <c r="A206" s="3"/>
      <c r="B206" s="20"/>
      <c r="C206" s="21" t="str">
        <f>IF(A206="","",SUMIFS('Daily Ops'!$N$2:$N$401,'Daily Ops'!$A$2:$A$401,A206))</f>
        <v/>
      </c>
      <c r="D206" s="20"/>
      <c r="E206" s="20"/>
      <c r="F206" s="20"/>
      <c r="G206" s="21" t="str">
        <f t="shared" si="1"/>
        <v/>
      </c>
      <c r="H206" s="21" t="str">
        <f t="shared" si="2"/>
        <v/>
      </c>
      <c r="I206" s="19"/>
    </row>
    <row r="207" ht="15.75" customHeight="1">
      <c r="A207" s="3"/>
      <c r="B207" s="20"/>
      <c r="C207" s="21" t="str">
        <f>IF(A207="","",SUMIFS('Daily Ops'!$N$2:$N$401,'Daily Ops'!$A$2:$A$401,A207))</f>
        <v/>
      </c>
      <c r="D207" s="20"/>
      <c r="E207" s="20"/>
      <c r="F207" s="20"/>
      <c r="G207" s="21" t="str">
        <f t="shared" si="1"/>
        <v/>
      </c>
      <c r="H207" s="21" t="str">
        <f t="shared" si="2"/>
        <v/>
      </c>
      <c r="I207" s="19"/>
    </row>
    <row r="208" ht="15.75" customHeight="1">
      <c r="A208" s="3"/>
      <c r="B208" s="20"/>
      <c r="C208" s="21" t="str">
        <f>IF(A208="","",SUMIFS('Daily Ops'!$N$2:$N$401,'Daily Ops'!$A$2:$A$401,A208))</f>
        <v/>
      </c>
      <c r="D208" s="20"/>
      <c r="E208" s="20"/>
      <c r="F208" s="20"/>
      <c r="G208" s="21" t="str">
        <f t="shared" si="1"/>
        <v/>
      </c>
      <c r="H208" s="21" t="str">
        <f t="shared" si="2"/>
        <v/>
      </c>
      <c r="I208" s="19"/>
    </row>
    <row r="209" ht="15.75" customHeight="1">
      <c r="A209" s="3"/>
      <c r="B209" s="20"/>
      <c r="C209" s="21" t="str">
        <f>IF(A209="","",SUMIFS('Daily Ops'!$N$2:$N$401,'Daily Ops'!$A$2:$A$401,A209))</f>
        <v/>
      </c>
      <c r="D209" s="20"/>
      <c r="E209" s="20"/>
      <c r="F209" s="20"/>
      <c r="G209" s="21" t="str">
        <f t="shared" si="1"/>
        <v/>
      </c>
      <c r="H209" s="21" t="str">
        <f t="shared" si="2"/>
        <v/>
      </c>
      <c r="I209" s="19"/>
    </row>
    <row r="210" ht="15.75" customHeight="1">
      <c r="A210" s="3"/>
      <c r="B210" s="20"/>
      <c r="C210" s="21" t="str">
        <f>IF(A210="","",SUMIFS('Daily Ops'!$N$2:$N$401,'Daily Ops'!$A$2:$A$401,A210))</f>
        <v/>
      </c>
      <c r="D210" s="20"/>
      <c r="E210" s="20"/>
      <c r="F210" s="20"/>
      <c r="G210" s="21" t="str">
        <f t="shared" si="1"/>
        <v/>
      </c>
      <c r="H210" s="21" t="str">
        <f t="shared" si="2"/>
        <v/>
      </c>
      <c r="I210" s="19"/>
    </row>
    <row r="211" ht="15.75" customHeight="1">
      <c r="A211" s="3"/>
      <c r="B211" s="20"/>
      <c r="C211" s="21" t="str">
        <f>IF(A211="","",SUMIFS('Daily Ops'!$N$2:$N$401,'Daily Ops'!$A$2:$A$401,A211))</f>
        <v/>
      </c>
      <c r="D211" s="20"/>
      <c r="E211" s="20"/>
      <c r="F211" s="20"/>
      <c r="G211" s="21" t="str">
        <f t="shared" si="1"/>
        <v/>
      </c>
      <c r="H211" s="21" t="str">
        <f t="shared" si="2"/>
        <v/>
      </c>
      <c r="I211" s="19"/>
    </row>
    <row r="212" ht="15.75" customHeight="1">
      <c r="A212" s="3"/>
      <c r="B212" s="20"/>
      <c r="C212" s="21" t="str">
        <f>IF(A212="","",SUMIFS('Daily Ops'!$N$2:$N$401,'Daily Ops'!$A$2:$A$401,A212))</f>
        <v/>
      </c>
      <c r="D212" s="20"/>
      <c r="E212" s="20"/>
      <c r="F212" s="20"/>
      <c r="G212" s="21" t="str">
        <f t="shared" si="1"/>
        <v/>
      </c>
      <c r="H212" s="21" t="str">
        <f t="shared" si="2"/>
        <v/>
      </c>
      <c r="I212" s="19"/>
    </row>
    <row r="213" ht="15.75" customHeight="1">
      <c r="A213" s="3"/>
      <c r="B213" s="20"/>
      <c r="C213" s="21" t="str">
        <f>IF(A213="","",SUMIFS('Daily Ops'!$N$2:$N$401,'Daily Ops'!$A$2:$A$401,A213))</f>
        <v/>
      </c>
      <c r="D213" s="20"/>
      <c r="E213" s="20"/>
      <c r="F213" s="20"/>
      <c r="G213" s="21" t="str">
        <f t="shared" si="1"/>
        <v/>
      </c>
      <c r="H213" s="21" t="str">
        <f t="shared" si="2"/>
        <v/>
      </c>
      <c r="I213" s="19"/>
    </row>
    <row r="214" ht="15.75" customHeight="1">
      <c r="A214" s="3"/>
      <c r="B214" s="20"/>
      <c r="C214" s="21" t="str">
        <f>IF(A214="","",SUMIFS('Daily Ops'!$N$2:$N$401,'Daily Ops'!$A$2:$A$401,A214))</f>
        <v/>
      </c>
      <c r="D214" s="20"/>
      <c r="E214" s="20"/>
      <c r="F214" s="20"/>
      <c r="G214" s="21" t="str">
        <f t="shared" si="1"/>
        <v/>
      </c>
      <c r="H214" s="21" t="str">
        <f t="shared" si="2"/>
        <v/>
      </c>
      <c r="I214" s="19"/>
    </row>
    <row r="215" ht="15.75" customHeight="1">
      <c r="A215" s="3"/>
      <c r="B215" s="20"/>
      <c r="C215" s="21" t="str">
        <f>IF(A215="","",SUMIFS('Daily Ops'!$N$2:$N$401,'Daily Ops'!$A$2:$A$401,A215))</f>
        <v/>
      </c>
      <c r="D215" s="20"/>
      <c r="E215" s="20"/>
      <c r="F215" s="20"/>
      <c r="G215" s="21" t="str">
        <f t="shared" si="1"/>
        <v/>
      </c>
      <c r="H215" s="21" t="str">
        <f t="shared" si="2"/>
        <v/>
      </c>
      <c r="I215" s="19"/>
    </row>
    <row r="216" ht="15.75" customHeight="1">
      <c r="A216" s="3"/>
      <c r="B216" s="20"/>
      <c r="C216" s="21" t="str">
        <f>IF(A216="","",SUMIFS('Daily Ops'!$N$2:$N$401,'Daily Ops'!$A$2:$A$401,A216))</f>
        <v/>
      </c>
      <c r="D216" s="20"/>
      <c r="E216" s="20"/>
      <c r="F216" s="20"/>
      <c r="G216" s="21" t="str">
        <f t="shared" si="1"/>
        <v/>
      </c>
      <c r="H216" s="21" t="str">
        <f t="shared" si="2"/>
        <v/>
      </c>
      <c r="I216" s="19"/>
    </row>
    <row r="217" ht="15.75" customHeight="1">
      <c r="A217" s="3"/>
      <c r="B217" s="20"/>
      <c r="C217" s="21" t="str">
        <f>IF(A217="","",SUMIFS('Daily Ops'!$N$2:$N$401,'Daily Ops'!$A$2:$A$401,A217))</f>
        <v/>
      </c>
      <c r="D217" s="20"/>
      <c r="E217" s="20"/>
      <c r="F217" s="20"/>
      <c r="G217" s="21" t="str">
        <f t="shared" si="1"/>
        <v/>
      </c>
      <c r="H217" s="21" t="str">
        <f t="shared" si="2"/>
        <v/>
      </c>
      <c r="I217" s="19"/>
    </row>
    <row r="218" ht="15.75" customHeight="1">
      <c r="A218" s="3"/>
      <c r="B218" s="20"/>
      <c r="C218" s="21" t="str">
        <f>IF(A218="","",SUMIFS('Daily Ops'!$N$2:$N$401,'Daily Ops'!$A$2:$A$401,A218))</f>
        <v/>
      </c>
      <c r="D218" s="20"/>
      <c r="E218" s="20"/>
      <c r="F218" s="20"/>
      <c r="G218" s="21" t="str">
        <f t="shared" si="1"/>
        <v/>
      </c>
      <c r="H218" s="21" t="str">
        <f t="shared" si="2"/>
        <v/>
      </c>
      <c r="I218" s="19"/>
    </row>
    <row r="219" ht="15.75" customHeight="1">
      <c r="A219" s="3"/>
      <c r="B219" s="20"/>
      <c r="C219" s="21" t="str">
        <f>IF(A219="","",SUMIFS('Daily Ops'!$N$2:$N$401,'Daily Ops'!$A$2:$A$401,A219))</f>
        <v/>
      </c>
      <c r="D219" s="20"/>
      <c r="E219" s="20"/>
      <c r="F219" s="20"/>
      <c r="G219" s="21" t="str">
        <f t="shared" si="1"/>
        <v/>
      </c>
      <c r="H219" s="21" t="str">
        <f t="shared" si="2"/>
        <v/>
      </c>
      <c r="I219" s="19"/>
    </row>
    <row r="220" ht="15.75" customHeight="1">
      <c r="A220" s="3"/>
      <c r="B220" s="20"/>
      <c r="C220" s="21" t="str">
        <f>IF(A220="","",SUMIFS('Daily Ops'!$N$2:$N$401,'Daily Ops'!$A$2:$A$401,A220))</f>
        <v/>
      </c>
      <c r="D220" s="20"/>
      <c r="E220" s="20"/>
      <c r="F220" s="20"/>
      <c r="G220" s="21" t="str">
        <f t="shared" si="1"/>
        <v/>
      </c>
      <c r="H220" s="21" t="str">
        <f t="shared" si="2"/>
        <v/>
      </c>
      <c r="I220" s="19"/>
    </row>
    <row r="221" ht="15.75" customHeight="1">
      <c r="A221" s="3"/>
      <c r="B221" s="20"/>
      <c r="C221" s="21" t="str">
        <f>IF(A221="","",SUMIFS('Daily Ops'!$N$2:$N$401,'Daily Ops'!$A$2:$A$401,A221))</f>
        <v/>
      </c>
      <c r="D221" s="20"/>
      <c r="E221" s="20"/>
      <c r="F221" s="20"/>
      <c r="G221" s="21" t="str">
        <f t="shared" si="1"/>
        <v/>
      </c>
      <c r="H221" s="21" t="str">
        <f t="shared" si="2"/>
        <v/>
      </c>
      <c r="I221" s="19"/>
    </row>
    <row r="222" ht="15.75" customHeight="1">
      <c r="A222" s="3"/>
      <c r="B222" s="20"/>
      <c r="C222" s="21" t="str">
        <f>IF(A222="","",SUMIFS('Daily Ops'!$N$2:$N$401,'Daily Ops'!$A$2:$A$401,A222))</f>
        <v/>
      </c>
      <c r="D222" s="20"/>
      <c r="E222" s="20"/>
      <c r="F222" s="20"/>
      <c r="G222" s="21" t="str">
        <f t="shared" si="1"/>
        <v/>
      </c>
      <c r="H222" s="21" t="str">
        <f t="shared" si="2"/>
        <v/>
      </c>
      <c r="I222" s="19"/>
    </row>
    <row r="223" ht="15.75" customHeight="1">
      <c r="A223" s="3"/>
      <c r="B223" s="20"/>
      <c r="C223" s="21" t="str">
        <f>IF(A223="","",SUMIFS('Daily Ops'!$N$2:$N$401,'Daily Ops'!$A$2:$A$401,A223))</f>
        <v/>
      </c>
      <c r="D223" s="20"/>
      <c r="E223" s="20"/>
      <c r="F223" s="20"/>
      <c r="G223" s="21" t="str">
        <f t="shared" si="1"/>
        <v/>
      </c>
      <c r="H223" s="21" t="str">
        <f t="shared" si="2"/>
        <v/>
      </c>
      <c r="I223" s="19"/>
    </row>
    <row r="224" ht="15.75" customHeight="1">
      <c r="A224" s="3"/>
      <c r="B224" s="20"/>
      <c r="C224" s="21" t="str">
        <f>IF(A224="","",SUMIFS('Daily Ops'!$N$2:$N$401,'Daily Ops'!$A$2:$A$401,A224))</f>
        <v/>
      </c>
      <c r="D224" s="20"/>
      <c r="E224" s="20"/>
      <c r="F224" s="20"/>
      <c r="G224" s="21" t="str">
        <f t="shared" si="1"/>
        <v/>
      </c>
      <c r="H224" s="21" t="str">
        <f t="shared" si="2"/>
        <v/>
      </c>
      <c r="I224" s="19"/>
    </row>
    <row r="225" ht="15.75" customHeight="1">
      <c r="A225" s="3"/>
      <c r="B225" s="20"/>
      <c r="C225" s="21" t="str">
        <f>IF(A225="","",SUMIFS('Daily Ops'!$N$2:$N$401,'Daily Ops'!$A$2:$A$401,A225))</f>
        <v/>
      </c>
      <c r="D225" s="20"/>
      <c r="E225" s="20"/>
      <c r="F225" s="20"/>
      <c r="G225" s="21" t="str">
        <f t="shared" si="1"/>
        <v/>
      </c>
      <c r="H225" s="21" t="str">
        <f t="shared" si="2"/>
        <v/>
      </c>
      <c r="I225" s="19"/>
    </row>
    <row r="226" ht="15.75" customHeight="1">
      <c r="A226" s="3"/>
      <c r="B226" s="20"/>
      <c r="C226" s="21" t="str">
        <f>IF(A226="","",SUMIFS('Daily Ops'!$N$2:$N$401,'Daily Ops'!$A$2:$A$401,A226))</f>
        <v/>
      </c>
      <c r="D226" s="20"/>
      <c r="E226" s="20"/>
      <c r="F226" s="20"/>
      <c r="G226" s="21" t="str">
        <f t="shared" si="1"/>
        <v/>
      </c>
      <c r="H226" s="21" t="str">
        <f t="shared" si="2"/>
        <v/>
      </c>
      <c r="I226" s="19"/>
    </row>
    <row r="227" ht="15.75" customHeight="1">
      <c r="A227" s="3"/>
      <c r="B227" s="20"/>
      <c r="C227" s="21" t="str">
        <f>IF(A227="","",SUMIFS('Daily Ops'!$N$2:$N$401,'Daily Ops'!$A$2:$A$401,A227))</f>
        <v/>
      </c>
      <c r="D227" s="20"/>
      <c r="E227" s="20"/>
      <c r="F227" s="20"/>
      <c r="G227" s="21" t="str">
        <f t="shared" si="1"/>
        <v/>
      </c>
      <c r="H227" s="21" t="str">
        <f t="shared" si="2"/>
        <v/>
      </c>
      <c r="I227" s="19"/>
    </row>
    <row r="228" ht="15.75" customHeight="1">
      <c r="A228" s="3"/>
      <c r="B228" s="20"/>
      <c r="C228" s="21" t="str">
        <f>IF(A228="","",SUMIFS('Daily Ops'!$N$2:$N$401,'Daily Ops'!$A$2:$A$401,A228))</f>
        <v/>
      </c>
      <c r="D228" s="20"/>
      <c r="E228" s="20"/>
      <c r="F228" s="20"/>
      <c r="G228" s="21" t="str">
        <f t="shared" si="1"/>
        <v/>
      </c>
      <c r="H228" s="21" t="str">
        <f t="shared" si="2"/>
        <v/>
      </c>
      <c r="I228" s="19"/>
    </row>
    <row r="229" ht="15.75" customHeight="1">
      <c r="A229" s="3"/>
      <c r="B229" s="20"/>
      <c r="C229" s="21" t="str">
        <f>IF(A229="","",SUMIFS('Daily Ops'!$N$2:$N$401,'Daily Ops'!$A$2:$A$401,A229))</f>
        <v/>
      </c>
      <c r="D229" s="20"/>
      <c r="E229" s="20"/>
      <c r="F229" s="20"/>
      <c r="G229" s="21" t="str">
        <f t="shared" si="1"/>
        <v/>
      </c>
      <c r="H229" s="21" t="str">
        <f t="shared" si="2"/>
        <v/>
      </c>
      <c r="I229" s="19"/>
    </row>
    <row r="230" ht="15.75" customHeight="1">
      <c r="A230" s="3"/>
      <c r="B230" s="20"/>
      <c r="C230" s="21" t="str">
        <f>IF(A230="","",SUMIFS('Daily Ops'!$N$2:$N$401,'Daily Ops'!$A$2:$A$401,A230))</f>
        <v/>
      </c>
      <c r="D230" s="20"/>
      <c r="E230" s="20"/>
      <c r="F230" s="20"/>
      <c r="G230" s="21" t="str">
        <f t="shared" si="1"/>
        <v/>
      </c>
      <c r="H230" s="21" t="str">
        <f t="shared" si="2"/>
        <v/>
      </c>
      <c r="I230" s="19"/>
    </row>
    <row r="231" ht="15.75" customHeight="1">
      <c r="A231" s="3"/>
      <c r="B231" s="20"/>
      <c r="C231" s="21" t="str">
        <f>IF(A231="","",SUMIFS('Daily Ops'!$N$2:$N$401,'Daily Ops'!$A$2:$A$401,A231))</f>
        <v/>
      </c>
      <c r="D231" s="20"/>
      <c r="E231" s="20"/>
      <c r="F231" s="20"/>
      <c r="G231" s="21" t="str">
        <f t="shared" si="1"/>
        <v/>
      </c>
      <c r="H231" s="21" t="str">
        <f t="shared" si="2"/>
        <v/>
      </c>
      <c r="I231" s="19"/>
    </row>
    <row r="232" ht="15.75" customHeight="1">
      <c r="A232" s="3"/>
      <c r="B232" s="20"/>
      <c r="C232" s="21" t="str">
        <f>IF(A232="","",SUMIFS('Daily Ops'!$N$2:$N$401,'Daily Ops'!$A$2:$A$401,A232))</f>
        <v/>
      </c>
      <c r="D232" s="20"/>
      <c r="E232" s="20"/>
      <c r="F232" s="20"/>
      <c r="G232" s="21" t="str">
        <f t="shared" si="1"/>
        <v/>
      </c>
      <c r="H232" s="21" t="str">
        <f t="shared" si="2"/>
        <v/>
      </c>
      <c r="I232" s="19"/>
    </row>
    <row r="233" ht="15.75" customHeight="1">
      <c r="A233" s="3"/>
      <c r="B233" s="20"/>
      <c r="C233" s="21" t="str">
        <f>IF(A233="","",SUMIFS('Daily Ops'!$N$2:$N$401,'Daily Ops'!$A$2:$A$401,A233))</f>
        <v/>
      </c>
      <c r="D233" s="20"/>
      <c r="E233" s="20"/>
      <c r="F233" s="20"/>
      <c r="G233" s="21" t="str">
        <f t="shared" si="1"/>
        <v/>
      </c>
      <c r="H233" s="21" t="str">
        <f t="shared" si="2"/>
        <v/>
      </c>
      <c r="I233" s="19"/>
    </row>
    <row r="234" ht="15.75" customHeight="1">
      <c r="A234" s="3"/>
      <c r="B234" s="20"/>
      <c r="C234" s="21" t="str">
        <f>IF(A234="","",SUMIFS('Daily Ops'!$N$2:$N$401,'Daily Ops'!$A$2:$A$401,A234))</f>
        <v/>
      </c>
      <c r="D234" s="20"/>
      <c r="E234" s="20"/>
      <c r="F234" s="20"/>
      <c r="G234" s="21" t="str">
        <f t="shared" si="1"/>
        <v/>
      </c>
      <c r="H234" s="21" t="str">
        <f t="shared" si="2"/>
        <v/>
      </c>
      <c r="I234" s="19"/>
    </row>
    <row r="235" ht="15.75" customHeight="1">
      <c r="A235" s="3"/>
      <c r="B235" s="20"/>
      <c r="C235" s="21" t="str">
        <f>IF(A235="","",SUMIFS('Daily Ops'!$N$2:$N$401,'Daily Ops'!$A$2:$A$401,A235))</f>
        <v/>
      </c>
      <c r="D235" s="20"/>
      <c r="E235" s="20"/>
      <c r="F235" s="20"/>
      <c r="G235" s="21" t="str">
        <f t="shared" si="1"/>
        <v/>
      </c>
      <c r="H235" s="21" t="str">
        <f t="shared" si="2"/>
        <v/>
      </c>
      <c r="I235" s="19"/>
    </row>
    <row r="236" ht="15.75" customHeight="1">
      <c r="A236" s="3"/>
      <c r="B236" s="20"/>
      <c r="C236" s="21" t="str">
        <f>IF(A236="","",SUMIFS('Daily Ops'!$N$2:$N$401,'Daily Ops'!$A$2:$A$401,A236))</f>
        <v/>
      </c>
      <c r="D236" s="20"/>
      <c r="E236" s="20"/>
      <c r="F236" s="20"/>
      <c r="G236" s="21" t="str">
        <f t="shared" si="1"/>
        <v/>
      </c>
      <c r="H236" s="21" t="str">
        <f t="shared" si="2"/>
        <v/>
      </c>
      <c r="I236" s="19"/>
    </row>
    <row r="237" ht="15.75" customHeight="1">
      <c r="A237" s="3"/>
      <c r="B237" s="20"/>
      <c r="C237" s="21" t="str">
        <f>IF(A237="","",SUMIFS('Daily Ops'!$N$2:$N$401,'Daily Ops'!$A$2:$A$401,A237))</f>
        <v/>
      </c>
      <c r="D237" s="20"/>
      <c r="E237" s="20"/>
      <c r="F237" s="20"/>
      <c r="G237" s="21" t="str">
        <f t="shared" si="1"/>
        <v/>
      </c>
      <c r="H237" s="21" t="str">
        <f t="shared" si="2"/>
        <v/>
      </c>
      <c r="I237" s="19"/>
    </row>
    <row r="238" ht="15.75" customHeight="1">
      <c r="A238" s="3"/>
      <c r="B238" s="20"/>
      <c r="C238" s="21" t="str">
        <f>IF(A238="","",SUMIFS('Daily Ops'!$N$2:$N$401,'Daily Ops'!$A$2:$A$401,A238))</f>
        <v/>
      </c>
      <c r="D238" s="20"/>
      <c r="E238" s="20"/>
      <c r="F238" s="20"/>
      <c r="G238" s="21" t="str">
        <f t="shared" si="1"/>
        <v/>
      </c>
      <c r="H238" s="21" t="str">
        <f t="shared" si="2"/>
        <v/>
      </c>
      <c r="I238" s="19"/>
    </row>
    <row r="239" ht="15.75" customHeight="1">
      <c r="A239" s="3"/>
      <c r="B239" s="20"/>
      <c r="C239" s="21" t="str">
        <f>IF(A239="","",SUMIFS('Daily Ops'!$N$2:$N$401,'Daily Ops'!$A$2:$A$401,A239))</f>
        <v/>
      </c>
      <c r="D239" s="20"/>
      <c r="E239" s="20"/>
      <c r="F239" s="20"/>
      <c r="G239" s="21" t="str">
        <f t="shared" si="1"/>
        <v/>
      </c>
      <c r="H239" s="21" t="str">
        <f t="shared" si="2"/>
        <v/>
      </c>
      <c r="I239" s="19"/>
    </row>
    <row r="240" ht="15.75" customHeight="1">
      <c r="A240" s="3"/>
      <c r="B240" s="20"/>
      <c r="C240" s="21" t="str">
        <f>IF(A240="","",SUMIFS('Daily Ops'!$N$2:$N$401,'Daily Ops'!$A$2:$A$401,A240))</f>
        <v/>
      </c>
      <c r="D240" s="20"/>
      <c r="E240" s="20"/>
      <c r="F240" s="20"/>
      <c r="G240" s="21" t="str">
        <f t="shared" si="1"/>
        <v/>
      </c>
      <c r="H240" s="21" t="str">
        <f t="shared" si="2"/>
        <v/>
      </c>
      <c r="I240" s="19"/>
    </row>
    <row r="241" ht="15.75" customHeight="1">
      <c r="A241" s="3"/>
      <c r="B241" s="20"/>
      <c r="C241" s="21" t="str">
        <f>IF(A241="","",SUMIFS('Daily Ops'!$N$2:$N$401,'Daily Ops'!$A$2:$A$401,A241))</f>
        <v/>
      </c>
      <c r="D241" s="20"/>
      <c r="E241" s="20"/>
      <c r="F241" s="20"/>
      <c r="G241" s="21" t="str">
        <f t="shared" si="1"/>
        <v/>
      </c>
      <c r="H241" s="21" t="str">
        <f t="shared" si="2"/>
        <v/>
      </c>
      <c r="I241" s="19"/>
    </row>
    <row r="242" ht="15.75" customHeight="1">
      <c r="A242" s="3"/>
      <c r="B242" s="20"/>
      <c r="C242" s="21" t="str">
        <f>IF(A242="","",SUMIFS('Daily Ops'!$N$2:$N$401,'Daily Ops'!$A$2:$A$401,A242))</f>
        <v/>
      </c>
      <c r="D242" s="20"/>
      <c r="E242" s="20"/>
      <c r="F242" s="20"/>
      <c r="G242" s="21" t="str">
        <f t="shared" si="1"/>
        <v/>
      </c>
      <c r="H242" s="21" t="str">
        <f t="shared" si="2"/>
        <v/>
      </c>
      <c r="I242" s="19"/>
    </row>
    <row r="243" ht="15.75" customHeight="1">
      <c r="A243" s="3"/>
      <c r="B243" s="20"/>
      <c r="C243" s="21" t="str">
        <f>IF(A243="","",SUMIFS('Daily Ops'!$N$2:$N$401,'Daily Ops'!$A$2:$A$401,A243))</f>
        <v/>
      </c>
      <c r="D243" s="20"/>
      <c r="E243" s="20"/>
      <c r="F243" s="20"/>
      <c r="G243" s="21" t="str">
        <f t="shared" si="1"/>
        <v/>
      </c>
      <c r="H243" s="21" t="str">
        <f t="shared" si="2"/>
        <v/>
      </c>
      <c r="I243" s="19"/>
    </row>
    <row r="244" ht="15.75" customHeight="1">
      <c r="A244" s="3"/>
      <c r="B244" s="20"/>
      <c r="C244" s="21" t="str">
        <f>IF(A244="","",SUMIFS('Daily Ops'!$N$2:$N$401,'Daily Ops'!$A$2:$A$401,A244))</f>
        <v/>
      </c>
      <c r="D244" s="20"/>
      <c r="E244" s="20"/>
      <c r="F244" s="20"/>
      <c r="G244" s="21" t="str">
        <f t="shared" si="1"/>
        <v/>
      </c>
      <c r="H244" s="21" t="str">
        <f t="shared" si="2"/>
        <v/>
      </c>
      <c r="I244" s="19"/>
    </row>
    <row r="245" ht="15.75" customHeight="1">
      <c r="A245" s="3"/>
      <c r="B245" s="20"/>
      <c r="C245" s="21" t="str">
        <f>IF(A245="","",SUMIFS('Daily Ops'!$N$2:$N$401,'Daily Ops'!$A$2:$A$401,A245))</f>
        <v/>
      </c>
      <c r="D245" s="20"/>
      <c r="E245" s="20"/>
      <c r="F245" s="20"/>
      <c r="G245" s="21" t="str">
        <f t="shared" si="1"/>
        <v/>
      </c>
      <c r="H245" s="21" t="str">
        <f t="shared" si="2"/>
        <v/>
      </c>
      <c r="I245" s="19"/>
    </row>
    <row r="246" ht="15.75" customHeight="1">
      <c r="A246" s="3"/>
      <c r="B246" s="20"/>
      <c r="C246" s="21" t="str">
        <f>IF(A246="","",SUMIFS('Daily Ops'!$N$2:$N$401,'Daily Ops'!$A$2:$A$401,A246))</f>
        <v/>
      </c>
      <c r="D246" s="20"/>
      <c r="E246" s="20"/>
      <c r="F246" s="20"/>
      <c r="G246" s="21" t="str">
        <f t="shared" si="1"/>
        <v/>
      </c>
      <c r="H246" s="21" t="str">
        <f t="shared" si="2"/>
        <v/>
      </c>
      <c r="I246" s="19"/>
    </row>
    <row r="247" ht="15.75" customHeight="1">
      <c r="A247" s="3"/>
      <c r="B247" s="20"/>
      <c r="C247" s="21" t="str">
        <f>IF(A247="","",SUMIFS('Daily Ops'!$N$2:$N$401,'Daily Ops'!$A$2:$A$401,A247))</f>
        <v/>
      </c>
      <c r="D247" s="20"/>
      <c r="E247" s="20"/>
      <c r="F247" s="20"/>
      <c r="G247" s="21" t="str">
        <f t="shared" si="1"/>
        <v/>
      </c>
      <c r="H247" s="21" t="str">
        <f t="shared" si="2"/>
        <v/>
      </c>
      <c r="I247" s="19"/>
    </row>
    <row r="248" ht="15.75" customHeight="1">
      <c r="A248" s="3"/>
      <c r="B248" s="20"/>
      <c r="C248" s="21" t="str">
        <f>IF(A248="","",SUMIFS('Daily Ops'!$N$2:$N$401,'Daily Ops'!$A$2:$A$401,A248))</f>
        <v/>
      </c>
      <c r="D248" s="20"/>
      <c r="E248" s="20"/>
      <c r="F248" s="20"/>
      <c r="G248" s="21" t="str">
        <f t="shared" si="1"/>
        <v/>
      </c>
      <c r="H248" s="21" t="str">
        <f t="shared" si="2"/>
        <v/>
      </c>
      <c r="I248" s="19"/>
    </row>
    <row r="249" ht="15.75" customHeight="1">
      <c r="A249" s="3"/>
      <c r="B249" s="20"/>
      <c r="C249" s="21" t="str">
        <f>IF(A249="","",SUMIFS('Daily Ops'!$N$2:$N$401,'Daily Ops'!$A$2:$A$401,A249))</f>
        <v/>
      </c>
      <c r="D249" s="20"/>
      <c r="E249" s="20"/>
      <c r="F249" s="20"/>
      <c r="G249" s="21" t="str">
        <f t="shared" si="1"/>
        <v/>
      </c>
      <c r="H249" s="21" t="str">
        <f t="shared" si="2"/>
        <v/>
      </c>
      <c r="I249" s="19"/>
    </row>
    <row r="250" ht="15.75" customHeight="1">
      <c r="A250" s="3"/>
      <c r="B250" s="20"/>
      <c r="C250" s="21" t="str">
        <f>IF(A250="","",SUMIFS('Daily Ops'!$N$2:$N$401,'Daily Ops'!$A$2:$A$401,A250))</f>
        <v/>
      </c>
      <c r="D250" s="20"/>
      <c r="E250" s="20"/>
      <c r="F250" s="20"/>
      <c r="G250" s="21" t="str">
        <f t="shared" si="1"/>
        <v/>
      </c>
      <c r="H250" s="21" t="str">
        <f t="shared" si="2"/>
        <v/>
      </c>
      <c r="I250" s="19"/>
    </row>
    <row r="251" ht="15.75" customHeight="1">
      <c r="A251" s="3"/>
      <c r="B251" s="20"/>
      <c r="C251" s="21" t="str">
        <f>IF(A251="","",SUMIFS('Daily Ops'!$N$2:$N$401,'Daily Ops'!$A$2:$A$401,A251))</f>
        <v/>
      </c>
      <c r="D251" s="20"/>
      <c r="E251" s="20"/>
      <c r="F251" s="20"/>
      <c r="G251" s="21" t="str">
        <f t="shared" si="1"/>
        <v/>
      </c>
      <c r="H251" s="21" t="str">
        <f t="shared" si="2"/>
        <v/>
      </c>
      <c r="I251" s="19"/>
    </row>
    <row r="252" ht="15.75" customHeight="1">
      <c r="A252" s="3"/>
      <c r="B252" s="20"/>
      <c r="C252" s="21" t="str">
        <f>IF(A252="","",SUMIFS('Daily Ops'!$N$2:$N$401,'Daily Ops'!$A$2:$A$401,A252))</f>
        <v/>
      </c>
      <c r="D252" s="20"/>
      <c r="E252" s="20"/>
      <c r="F252" s="20"/>
      <c r="G252" s="21" t="str">
        <f t="shared" si="1"/>
        <v/>
      </c>
      <c r="H252" s="21" t="str">
        <f t="shared" si="2"/>
        <v/>
      </c>
      <c r="I252" s="19"/>
    </row>
    <row r="253" ht="15.75" customHeight="1">
      <c r="A253" s="3"/>
      <c r="B253" s="20"/>
      <c r="C253" s="21" t="str">
        <f>IF(A253="","",SUMIFS('Daily Ops'!$N$2:$N$401,'Daily Ops'!$A$2:$A$401,A253))</f>
        <v/>
      </c>
      <c r="D253" s="20"/>
      <c r="E253" s="20"/>
      <c r="F253" s="20"/>
      <c r="G253" s="21" t="str">
        <f t="shared" si="1"/>
        <v/>
      </c>
      <c r="H253" s="21" t="str">
        <f t="shared" si="2"/>
        <v/>
      </c>
      <c r="I253" s="19"/>
    </row>
    <row r="254" ht="15.75" customHeight="1">
      <c r="A254" s="3"/>
      <c r="B254" s="20"/>
      <c r="C254" s="21" t="str">
        <f>IF(A254="","",SUMIFS('Daily Ops'!$N$2:$N$401,'Daily Ops'!$A$2:$A$401,A254))</f>
        <v/>
      </c>
      <c r="D254" s="20"/>
      <c r="E254" s="20"/>
      <c r="F254" s="20"/>
      <c r="G254" s="21" t="str">
        <f t="shared" si="1"/>
        <v/>
      </c>
      <c r="H254" s="21" t="str">
        <f t="shared" si="2"/>
        <v/>
      </c>
      <c r="I254" s="19"/>
    </row>
    <row r="255" ht="15.75" customHeight="1">
      <c r="A255" s="3"/>
      <c r="B255" s="20"/>
      <c r="C255" s="21" t="str">
        <f>IF(A255="","",SUMIFS('Daily Ops'!$N$2:$N$401,'Daily Ops'!$A$2:$A$401,A255))</f>
        <v/>
      </c>
      <c r="D255" s="20"/>
      <c r="E255" s="20"/>
      <c r="F255" s="20"/>
      <c r="G255" s="21" t="str">
        <f t="shared" si="1"/>
        <v/>
      </c>
      <c r="H255" s="21" t="str">
        <f t="shared" si="2"/>
        <v/>
      </c>
      <c r="I255" s="19"/>
    </row>
    <row r="256" ht="15.75" customHeight="1">
      <c r="A256" s="3"/>
      <c r="B256" s="20"/>
      <c r="C256" s="21" t="str">
        <f>IF(A256="","",SUMIFS('Daily Ops'!$N$2:$N$401,'Daily Ops'!$A$2:$A$401,A256))</f>
        <v/>
      </c>
      <c r="D256" s="20"/>
      <c r="E256" s="20"/>
      <c r="F256" s="20"/>
      <c r="G256" s="21" t="str">
        <f t="shared" si="1"/>
        <v/>
      </c>
      <c r="H256" s="21" t="str">
        <f t="shared" si="2"/>
        <v/>
      </c>
      <c r="I256" s="19"/>
    </row>
    <row r="257" ht="15.75" customHeight="1">
      <c r="A257" s="3"/>
      <c r="B257" s="20"/>
      <c r="C257" s="21" t="str">
        <f>IF(A257="","",SUMIFS('Daily Ops'!$N$2:$N$401,'Daily Ops'!$A$2:$A$401,A257))</f>
        <v/>
      </c>
      <c r="D257" s="20"/>
      <c r="E257" s="20"/>
      <c r="F257" s="20"/>
      <c r="G257" s="21" t="str">
        <f t="shared" si="1"/>
        <v/>
      </c>
      <c r="H257" s="21" t="str">
        <f t="shared" si="2"/>
        <v/>
      </c>
      <c r="I257" s="19"/>
    </row>
    <row r="258" ht="15.75" customHeight="1">
      <c r="A258" s="3"/>
      <c r="B258" s="20"/>
      <c r="C258" s="21" t="str">
        <f>IF(A258="","",SUMIFS('Daily Ops'!$N$2:$N$401,'Daily Ops'!$A$2:$A$401,A258))</f>
        <v/>
      </c>
      <c r="D258" s="20"/>
      <c r="E258" s="20"/>
      <c r="F258" s="20"/>
      <c r="G258" s="21" t="str">
        <f t="shared" si="1"/>
        <v/>
      </c>
      <c r="H258" s="21" t="str">
        <f t="shared" si="2"/>
        <v/>
      </c>
      <c r="I258" s="19"/>
    </row>
    <row r="259" ht="15.75" customHeight="1">
      <c r="A259" s="3"/>
      <c r="B259" s="20"/>
      <c r="C259" s="21" t="str">
        <f>IF(A259="","",SUMIFS('Daily Ops'!$N$2:$N$401,'Daily Ops'!$A$2:$A$401,A259))</f>
        <v/>
      </c>
      <c r="D259" s="20"/>
      <c r="E259" s="20"/>
      <c r="F259" s="20"/>
      <c r="G259" s="21" t="str">
        <f t="shared" si="1"/>
        <v/>
      </c>
      <c r="H259" s="21" t="str">
        <f t="shared" si="2"/>
        <v/>
      </c>
      <c r="I259" s="19"/>
    </row>
    <row r="260" ht="15.75" customHeight="1">
      <c r="A260" s="3"/>
      <c r="B260" s="20"/>
      <c r="C260" s="21" t="str">
        <f>IF(A260="","",SUMIFS('Daily Ops'!$N$2:$N$401,'Daily Ops'!$A$2:$A$401,A260))</f>
        <v/>
      </c>
      <c r="D260" s="20"/>
      <c r="E260" s="20"/>
      <c r="F260" s="20"/>
      <c r="G260" s="21" t="str">
        <f t="shared" si="1"/>
        <v/>
      </c>
      <c r="H260" s="21" t="str">
        <f t="shared" si="2"/>
        <v/>
      </c>
      <c r="I260" s="19"/>
    </row>
    <row r="261" ht="15.75" customHeight="1">
      <c r="A261" s="3"/>
      <c r="B261" s="20"/>
      <c r="C261" s="21" t="str">
        <f>IF(A261="","",SUMIFS('Daily Ops'!$N$2:$N$401,'Daily Ops'!$A$2:$A$401,A261))</f>
        <v/>
      </c>
      <c r="D261" s="20"/>
      <c r="E261" s="20"/>
      <c r="F261" s="20"/>
      <c r="G261" s="21" t="str">
        <f t="shared" si="1"/>
        <v/>
      </c>
      <c r="H261" s="21" t="str">
        <f t="shared" si="2"/>
        <v/>
      </c>
      <c r="I261" s="19"/>
    </row>
    <row r="262" ht="15.75" customHeight="1">
      <c r="A262" s="3"/>
      <c r="B262" s="20"/>
      <c r="C262" s="21" t="str">
        <f>IF(A262="","",SUMIFS('Daily Ops'!$N$2:$N$401,'Daily Ops'!$A$2:$A$401,A262))</f>
        <v/>
      </c>
      <c r="D262" s="20"/>
      <c r="E262" s="20"/>
      <c r="F262" s="20"/>
      <c r="G262" s="21" t="str">
        <f t="shared" si="1"/>
        <v/>
      </c>
      <c r="H262" s="21" t="str">
        <f t="shared" si="2"/>
        <v/>
      </c>
      <c r="I262" s="19"/>
    </row>
    <row r="263" ht="15.75" customHeight="1">
      <c r="A263" s="3"/>
      <c r="B263" s="20"/>
      <c r="C263" s="21" t="str">
        <f>IF(A263="","",SUMIFS('Daily Ops'!$N$2:$N$401,'Daily Ops'!$A$2:$A$401,A263))</f>
        <v/>
      </c>
      <c r="D263" s="20"/>
      <c r="E263" s="20"/>
      <c r="F263" s="20"/>
      <c r="G263" s="21" t="str">
        <f t="shared" si="1"/>
        <v/>
      </c>
      <c r="H263" s="21" t="str">
        <f t="shared" si="2"/>
        <v/>
      </c>
      <c r="I263" s="19"/>
    </row>
    <row r="264" ht="15.75" customHeight="1">
      <c r="A264" s="3"/>
      <c r="B264" s="20"/>
      <c r="C264" s="21" t="str">
        <f>IF(A264="","",SUMIFS('Daily Ops'!$N$2:$N$401,'Daily Ops'!$A$2:$A$401,A264))</f>
        <v/>
      </c>
      <c r="D264" s="20"/>
      <c r="E264" s="20"/>
      <c r="F264" s="20"/>
      <c r="G264" s="21" t="str">
        <f t="shared" si="1"/>
        <v/>
      </c>
      <c r="H264" s="21" t="str">
        <f t="shared" si="2"/>
        <v/>
      </c>
      <c r="I264" s="19"/>
    </row>
    <row r="265" ht="15.75" customHeight="1">
      <c r="A265" s="3"/>
      <c r="B265" s="20"/>
      <c r="C265" s="21" t="str">
        <f>IF(A265="","",SUMIFS('Daily Ops'!$N$2:$N$401,'Daily Ops'!$A$2:$A$401,A265))</f>
        <v/>
      </c>
      <c r="D265" s="20"/>
      <c r="E265" s="20"/>
      <c r="F265" s="20"/>
      <c r="G265" s="21" t="str">
        <f t="shared" si="1"/>
        <v/>
      </c>
      <c r="H265" s="21" t="str">
        <f t="shared" si="2"/>
        <v/>
      </c>
      <c r="I265" s="19"/>
    </row>
    <row r="266" ht="15.75" customHeight="1">
      <c r="A266" s="3"/>
      <c r="B266" s="20"/>
      <c r="C266" s="21" t="str">
        <f>IF(A266="","",SUMIFS('Daily Ops'!$N$2:$N$401,'Daily Ops'!$A$2:$A$401,A266))</f>
        <v/>
      </c>
      <c r="D266" s="20"/>
      <c r="E266" s="20"/>
      <c r="F266" s="20"/>
      <c r="G266" s="21" t="str">
        <f t="shared" si="1"/>
        <v/>
      </c>
      <c r="H266" s="21" t="str">
        <f t="shared" si="2"/>
        <v/>
      </c>
      <c r="I266" s="19"/>
    </row>
    <row r="267" ht="15.75" customHeight="1">
      <c r="A267" s="3"/>
      <c r="B267" s="20"/>
      <c r="C267" s="21" t="str">
        <f>IF(A267="","",SUMIFS('Daily Ops'!$N$2:$N$401,'Daily Ops'!$A$2:$A$401,A267))</f>
        <v/>
      </c>
      <c r="D267" s="20"/>
      <c r="E267" s="20"/>
      <c r="F267" s="20"/>
      <c r="G267" s="21" t="str">
        <f t="shared" si="1"/>
        <v/>
      </c>
      <c r="H267" s="21" t="str">
        <f t="shared" si="2"/>
        <v/>
      </c>
      <c r="I267" s="19"/>
    </row>
    <row r="268" ht="15.75" customHeight="1">
      <c r="A268" s="3"/>
      <c r="B268" s="20"/>
      <c r="C268" s="21" t="str">
        <f>IF(A268="","",SUMIFS('Daily Ops'!$N$2:$N$401,'Daily Ops'!$A$2:$A$401,A268))</f>
        <v/>
      </c>
      <c r="D268" s="20"/>
      <c r="E268" s="20"/>
      <c r="F268" s="20"/>
      <c r="G268" s="21" t="str">
        <f t="shared" si="1"/>
        <v/>
      </c>
      <c r="H268" s="21" t="str">
        <f t="shared" si="2"/>
        <v/>
      </c>
      <c r="I268" s="19"/>
    </row>
    <row r="269" ht="15.75" customHeight="1">
      <c r="A269" s="3"/>
      <c r="B269" s="20"/>
      <c r="C269" s="21" t="str">
        <f>IF(A269="","",SUMIFS('Daily Ops'!$N$2:$N$401,'Daily Ops'!$A$2:$A$401,A269))</f>
        <v/>
      </c>
      <c r="D269" s="20"/>
      <c r="E269" s="20"/>
      <c r="F269" s="20"/>
      <c r="G269" s="21" t="str">
        <f t="shared" si="1"/>
        <v/>
      </c>
      <c r="H269" s="21" t="str">
        <f t="shared" si="2"/>
        <v/>
      </c>
      <c r="I269" s="19"/>
    </row>
    <row r="270" ht="15.75" customHeight="1">
      <c r="A270" s="3"/>
      <c r="B270" s="20"/>
      <c r="C270" s="21" t="str">
        <f>IF(A270="","",SUMIFS('Daily Ops'!$N$2:$N$401,'Daily Ops'!$A$2:$A$401,A270))</f>
        <v/>
      </c>
      <c r="D270" s="20"/>
      <c r="E270" s="20"/>
      <c r="F270" s="20"/>
      <c r="G270" s="21" t="str">
        <f t="shared" si="1"/>
        <v/>
      </c>
      <c r="H270" s="21" t="str">
        <f t="shared" si="2"/>
        <v/>
      </c>
      <c r="I270" s="19"/>
    </row>
    <row r="271" ht="15.75" customHeight="1">
      <c r="A271" s="3"/>
      <c r="B271" s="20"/>
      <c r="C271" s="21" t="str">
        <f>IF(A271="","",SUMIFS('Daily Ops'!$N$2:$N$401,'Daily Ops'!$A$2:$A$401,A271))</f>
        <v/>
      </c>
      <c r="D271" s="20"/>
      <c r="E271" s="20"/>
      <c r="F271" s="20"/>
      <c r="G271" s="21" t="str">
        <f t="shared" si="1"/>
        <v/>
      </c>
      <c r="H271" s="21" t="str">
        <f t="shared" si="2"/>
        <v/>
      </c>
      <c r="I271" s="19"/>
    </row>
    <row r="272" ht="15.75" customHeight="1">
      <c r="A272" s="3"/>
      <c r="B272" s="20"/>
      <c r="C272" s="21" t="str">
        <f>IF(A272="","",SUMIFS('Daily Ops'!$N$2:$N$401,'Daily Ops'!$A$2:$A$401,A272))</f>
        <v/>
      </c>
      <c r="D272" s="20"/>
      <c r="E272" s="20"/>
      <c r="F272" s="20"/>
      <c r="G272" s="21" t="str">
        <f t="shared" si="1"/>
        <v/>
      </c>
      <c r="H272" s="21" t="str">
        <f t="shared" si="2"/>
        <v/>
      </c>
      <c r="I272" s="19"/>
    </row>
    <row r="273" ht="15.75" customHeight="1">
      <c r="A273" s="3"/>
      <c r="B273" s="20"/>
      <c r="C273" s="21" t="str">
        <f>IF(A273="","",SUMIFS('Daily Ops'!$N$2:$N$401,'Daily Ops'!$A$2:$A$401,A273))</f>
        <v/>
      </c>
      <c r="D273" s="20"/>
      <c r="E273" s="20"/>
      <c r="F273" s="20"/>
      <c r="G273" s="21" t="str">
        <f t="shared" si="1"/>
        <v/>
      </c>
      <c r="H273" s="21" t="str">
        <f t="shared" si="2"/>
        <v/>
      </c>
      <c r="I273" s="19"/>
    </row>
    <row r="274" ht="15.75" customHeight="1">
      <c r="A274" s="3"/>
      <c r="B274" s="20"/>
      <c r="C274" s="21" t="str">
        <f>IF(A274="","",SUMIFS('Daily Ops'!$N$2:$N$401,'Daily Ops'!$A$2:$A$401,A274))</f>
        <v/>
      </c>
      <c r="D274" s="20"/>
      <c r="E274" s="20"/>
      <c r="F274" s="20"/>
      <c r="G274" s="21" t="str">
        <f t="shared" si="1"/>
        <v/>
      </c>
      <c r="H274" s="21" t="str">
        <f t="shared" si="2"/>
        <v/>
      </c>
      <c r="I274" s="19"/>
    </row>
    <row r="275" ht="15.75" customHeight="1">
      <c r="A275" s="3"/>
      <c r="B275" s="20"/>
      <c r="C275" s="21" t="str">
        <f>IF(A275="","",SUMIFS('Daily Ops'!$N$2:$N$401,'Daily Ops'!$A$2:$A$401,A275))</f>
        <v/>
      </c>
      <c r="D275" s="20"/>
      <c r="E275" s="20"/>
      <c r="F275" s="20"/>
      <c r="G275" s="21" t="str">
        <f t="shared" si="1"/>
        <v/>
      </c>
      <c r="H275" s="21" t="str">
        <f t="shared" si="2"/>
        <v/>
      </c>
      <c r="I275" s="19"/>
    </row>
    <row r="276" ht="15.75" customHeight="1">
      <c r="A276" s="3"/>
      <c r="B276" s="20"/>
      <c r="C276" s="21" t="str">
        <f>IF(A276="","",SUMIFS('Daily Ops'!$N$2:$N$401,'Daily Ops'!$A$2:$A$401,A276))</f>
        <v/>
      </c>
      <c r="D276" s="20"/>
      <c r="E276" s="20"/>
      <c r="F276" s="20"/>
      <c r="G276" s="21" t="str">
        <f t="shared" si="1"/>
        <v/>
      </c>
      <c r="H276" s="21" t="str">
        <f t="shared" si="2"/>
        <v/>
      </c>
      <c r="I276" s="19"/>
    </row>
    <row r="277" ht="15.75" customHeight="1">
      <c r="A277" s="3"/>
      <c r="B277" s="20"/>
      <c r="C277" s="21" t="str">
        <f>IF(A277="","",SUMIFS('Daily Ops'!$N$2:$N$401,'Daily Ops'!$A$2:$A$401,A277))</f>
        <v/>
      </c>
      <c r="D277" s="20"/>
      <c r="E277" s="20"/>
      <c r="F277" s="20"/>
      <c r="G277" s="21" t="str">
        <f t="shared" si="1"/>
        <v/>
      </c>
      <c r="H277" s="21" t="str">
        <f t="shared" si="2"/>
        <v/>
      </c>
      <c r="I277" s="19"/>
    </row>
    <row r="278" ht="15.75" customHeight="1">
      <c r="A278" s="3"/>
      <c r="B278" s="20"/>
      <c r="C278" s="21" t="str">
        <f>IF(A278="","",SUMIFS('Daily Ops'!$N$2:$N$401,'Daily Ops'!$A$2:$A$401,A278))</f>
        <v/>
      </c>
      <c r="D278" s="20"/>
      <c r="E278" s="20"/>
      <c r="F278" s="20"/>
      <c r="G278" s="21" t="str">
        <f t="shared" si="1"/>
        <v/>
      </c>
      <c r="H278" s="21" t="str">
        <f t="shared" si="2"/>
        <v/>
      </c>
      <c r="I278" s="19"/>
    </row>
    <row r="279" ht="15.75" customHeight="1">
      <c r="A279" s="3"/>
      <c r="B279" s="20"/>
      <c r="C279" s="21" t="str">
        <f>IF(A279="","",SUMIFS('Daily Ops'!$N$2:$N$401,'Daily Ops'!$A$2:$A$401,A279))</f>
        <v/>
      </c>
      <c r="D279" s="20"/>
      <c r="E279" s="20"/>
      <c r="F279" s="20"/>
      <c r="G279" s="21" t="str">
        <f t="shared" si="1"/>
        <v/>
      </c>
      <c r="H279" s="21" t="str">
        <f t="shared" si="2"/>
        <v/>
      </c>
      <c r="I279" s="19"/>
    </row>
    <row r="280" ht="15.75" customHeight="1">
      <c r="A280" s="3"/>
      <c r="B280" s="20"/>
      <c r="C280" s="21" t="str">
        <f>IF(A280="","",SUMIFS('Daily Ops'!$N$2:$N$401,'Daily Ops'!$A$2:$A$401,A280))</f>
        <v/>
      </c>
      <c r="D280" s="20"/>
      <c r="E280" s="20"/>
      <c r="F280" s="20"/>
      <c r="G280" s="21" t="str">
        <f t="shared" si="1"/>
        <v/>
      </c>
      <c r="H280" s="21" t="str">
        <f t="shared" si="2"/>
        <v/>
      </c>
      <c r="I280" s="19"/>
    </row>
    <row r="281" ht="15.75" customHeight="1">
      <c r="A281" s="3"/>
      <c r="B281" s="20"/>
      <c r="C281" s="21" t="str">
        <f>IF(A281="","",SUMIFS('Daily Ops'!$N$2:$N$401,'Daily Ops'!$A$2:$A$401,A281))</f>
        <v/>
      </c>
      <c r="D281" s="20"/>
      <c r="E281" s="20"/>
      <c r="F281" s="20"/>
      <c r="G281" s="21" t="str">
        <f t="shared" si="1"/>
        <v/>
      </c>
      <c r="H281" s="21" t="str">
        <f t="shared" si="2"/>
        <v/>
      </c>
      <c r="I281" s="19"/>
    </row>
    <row r="282" ht="15.75" customHeight="1">
      <c r="A282" s="3"/>
      <c r="B282" s="20"/>
      <c r="C282" s="21" t="str">
        <f>IF(A282="","",SUMIFS('Daily Ops'!$N$2:$N$401,'Daily Ops'!$A$2:$A$401,A282))</f>
        <v/>
      </c>
      <c r="D282" s="20"/>
      <c r="E282" s="20"/>
      <c r="F282" s="20"/>
      <c r="G282" s="21" t="str">
        <f t="shared" si="1"/>
        <v/>
      </c>
      <c r="H282" s="21" t="str">
        <f t="shared" si="2"/>
        <v/>
      </c>
      <c r="I282" s="19"/>
    </row>
    <row r="283" ht="15.75" customHeight="1">
      <c r="A283" s="3"/>
      <c r="B283" s="20"/>
      <c r="C283" s="21" t="str">
        <f>IF(A283="","",SUMIFS('Daily Ops'!$N$2:$N$401,'Daily Ops'!$A$2:$A$401,A283))</f>
        <v/>
      </c>
      <c r="D283" s="20"/>
      <c r="E283" s="20"/>
      <c r="F283" s="20"/>
      <c r="G283" s="21" t="str">
        <f t="shared" si="1"/>
        <v/>
      </c>
      <c r="H283" s="21" t="str">
        <f t="shared" si="2"/>
        <v/>
      </c>
      <c r="I283" s="19"/>
    </row>
    <row r="284" ht="15.75" customHeight="1">
      <c r="A284" s="3"/>
      <c r="B284" s="20"/>
      <c r="C284" s="21" t="str">
        <f>IF(A284="","",SUMIFS('Daily Ops'!$N$2:$N$401,'Daily Ops'!$A$2:$A$401,A284))</f>
        <v/>
      </c>
      <c r="D284" s="20"/>
      <c r="E284" s="20"/>
      <c r="F284" s="20"/>
      <c r="G284" s="21" t="str">
        <f t="shared" si="1"/>
        <v/>
      </c>
      <c r="H284" s="21" t="str">
        <f t="shared" si="2"/>
        <v/>
      </c>
      <c r="I284" s="19"/>
    </row>
    <row r="285" ht="15.75" customHeight="1">
      <c r="A285" s="3"/>
      <c r="B285" s="20"/>
      <c r="C285" s="21" t="str">
        <f>IF(A285="","",SUMIFS('Daily Ops'!$N$2:$N$401,'Daily Ops'!$A$2:$A$401,A285))</f>
        <v/>
      </c>
      <c r="D285" s="20"/>
      <c r="E285" s="20"/>
      <c r="F285" s="20"/>
      <c r="G285" s="21" t="str">
        <f t="shared" si="1"/>
        <v/>
      </c>
      <c r="H285" s="21" t="str">
        <f t="shared" si="2"/>
        <v/>
      </c>
      <c r="I285" s="19"/>
    </row>
    <row r="286" ht="15.75" customHeight="1">
      <c r="A286" s="3"/>
      <c r="B286" s="20"/>
      <c r="C286" s="21" t="str">
        <f>IF(A286="","",SUMIFS('Daily Ops'!$N$2:$N$401,'Daily Ops'!$A$2:$A$401,A286))</f>
        <v/>
      </c>
      <c r="D286" s="20"/>
      <c r="E286" s="20"/>
      <c r="F286" s="20"/>
      <c r="G286" s="21" t="str">
        <f t="shared" si="1"/>
        <v/>
      </c>
      <c r="H286" s="21" t="str">
        <f t="shared" si="2"/>
        <v/>
      </c>
      <c r="I286" s="19"/>
    </row>
    <row r="287" ht="15.75" customHeight="1">
      <c r="A287" s="3"/>
      <c r="B287" s="20"/>
      <c r="C287" s="21" t="str">
        <f>IF(A287="","",SUMIFS('Daily Ops'!$N$2:$N$401,'Daily Ops'!$A$2:$A$401,A287))</f>
        <v/>
      </c>
      <c r="D287" s="20"/>
      <c r="E287" s="20"/>
      <c r="F287" s="20"/>
      <c r="G287" s="21" t="str">
        <f t="shared" si="1"/>
        <v/>
      </c>
      <c r="H287" s="21" t="str">
        <f t="shared" si="2"/>
        <v/>
      </c>
      <c r="I287" s="19"/>
    </row>
    <row r="288" ht="15.75" customHeight="1">
      <c r="A288" s="3"/>
      <c r="B288" s="20"/>
      <c r="C288" s="21" t="str">
        <f>IF(A288="","",SUMIFS('Daily Ops'!$N$2:$N$401,'Daily Ops'!$A$2:$A$401,A288))</f>
        <v/>
      </c>
      <c r="D288" s="20"/>
      <c r="E288" s="20"/>
      <c r="F288" s="20"/>
      <c r="G288" s="21" t="str">
        <f t="shared" si="1"/>
        <v/>
      </c>
      <c r="H288" s="21" t="str">
        <f t="shared" si="2"/>
        <v/>
      </c>
      <c r="I288" s="19"/>
    </row>
    <row r="289" ht="15.75" customHeight="1">
      <c r="A289" s="3"/>
      <c r="B289" s="20"/>
      <c r="C289" s="21" t="str">
        <f>IF(A289="","",SUMIFS('Daily Ops'!$N$2:$N$401,'Daily Ops'!$A$2:$A$401,A289))</f>
        <v/>
      </c>
      <c r="D289" s="20"/>
      <c r="E289" s="20"/>
      <c r="F289" s="20"/>
      <c r="G289" s="21" t="str">
        <f t="shared" si="1"/>
        <v/>
      </c>
      <c r="H289" s="21" t="str">
        <f t="shared" si="2"/>
        <v/>
      </c>
      <c r="I289" s="19"/>
    </row>
    <row r="290" ht="15.75" customHeight="1">
      <c r="A290" s="3"/>
      <c r="B290" s="20"/>
      <c r="C290" s="21" t="str">
        <f>IF(A290="","",SUMIFS('Daily Ops'!$N$2:$N$401,'Daily Ops'!$A$2:$A$401,A290))</f>
        <v/>
      </c>
      <c r="D290" s="20"/>
      <c r="E290" s="20"/>
      <c r="F290" s="20"/>
      <c r="G290" s="21" t="str">
        <f t="shared" si="1"/>
        <v/>
      </c>
      <c r="H290" s="21" t="str">
        <f t="shared" si="2"/>
        <v/>
      </c>
      <c r="I290" s="19"/>
    </row>
    <row r="291" ht="15.75" customHeight="1">
      <c r="A291" s="3"/>
      <c r="B291" s="20"/>
      <c r="C291" s="21" t="str">
        <f>IF(A291="","",SUMIFS('Daily Ops'!$N$2:$N$401,'Daily Ops'!$A$2:$A$401,A291))</f>
        <v/>
      </c>
      <c r="D291" s="20"/>
      <c r="E291" s="20"/>
      <c r="F291" s="20"/>
      <c r="G291" s="21" t="str">
        <f t="shared" si="1"/>
        <v/>
      </c>
      <c r="H291" s="21" t="str">
        <f t="shared" si="2"/>
        <v/>
      </c>
      <c r="I291" s="19"/>
    </row>
    <row r="292" ht="15.75" customHeight="1">
      <c r="A292" s="3"/>
      <c r="B292" s="20"/>
      <c r="C292" s="21" t="str">
        <f>IF(A292="","",SUMIFS('Daily Ops'!$N$2:$N$401,'Daily Ops'!$A$2:$A$401,A292))</f>
        <v/>
      </c>
      <c r="D292" s="20"/>
      <c r="E292" s="20"/>
      <c r="F292" s="20"/>
      <c r="G292" s="21" t="str">
        <f t="shared" si="1"/>
        <v/>
      </c>
      <c r="H292" s="21" t="str">
        <f t="shared" si="2"/>
        <v/>
      </c>
      <c r="I292" s="19"/>
    </row>
    <row r="293" ht="15.75" customHeight="1">
      <c r="A293" s="3"/>
      <c r="B293" s="20"/>
      <c r="C293" s="21" t="str">
        <f>IF(A293="","",SUMIFS('Daily Ops'!$N$2:$N$401,'Daily Ops'!$A$2:$A$401,A293))</f>
        <v/>
      </c>
      <c r="D293" s="20"/>
      <c r="E293" s="20"/>
      <c r="F293" s="20"/>
      <c r="G293" s="21" t="str">
        <f t="shared" si="1"/>
        <v/>
      </c>
      <c r="H293" s="21" t="str">
        <f t="shared" si="2"/>
        <v/>
      </c>
      <c r="I293" s="19"/>
    </row>
    <row r="294" ht="15.75" customHeight="1">
      <c r="A294" s="3"/>
      <c r="B294" s="20"/>
      <c r="C294" s="21" t="str">
        <f>IF(A294="","",SUMIFS('Daily Ops'!$N$2:$N$401,'Daily Ops'!$A$2:$A$401,A294))</f>
        <v/>
      </c>
      <c r="D294" s="20"/>
      <c r="E294" s="20"/>
      <c r="F294" s="20"/>
      <c r="G294" s="21" t="str">
        <f t="shared" si="1"/>
        <v/>
      </c>
      <c r="H294" s="21" t="str">
        <f t="shared" si="2"/>
        <v/>
      </c>
      <c r="I294" s="19"/>
    </row>
    <row r="295" ht="15.75" customHeight="1">
      <c r="A295" s="3"/>
      <c r="B295" s="20"/>
      <c r="C295" s="21" t="str">
        <f>IF(A295="","",SUMIFS('Daily Ops'!$N$2:$N$401,'Daily Ops'!$A$2:$A$401,A295))</f>
        <v/>
      </c>
      <c r="D295" s="20"/>
      <c r="E295" s="20"/>
      <c r="F295" s="20"/>
      <c r="G295" s="21" t="str">
        <f t="shared" si="1"/>
        <v/>
      </c>
      <c r="H295" s="21" t="str">
        <f t="shared" si="2"/>
        <v/>
      </c>
      <c r="I295" s="19"/>
    </row>
    <row r="296" ht="15.75" customHeight="1">
      <c r="A296" s="3"/>
      <c r="B296" s="20"/>
      <c r="C296" s="21" t="str">
        <f>IF(A296="","",SUMIFS('Daily Ops'!$N$2:$N$401,'Daily Ops'!$A$2:$A$401,A296))</f>
        <v/>
      </c>
      <c r="D296" s="20"/>
      <c r="E296" s="20"/>
      <c r="F296" s="20"/>
      <c r="G296" s="21" t="str">
        <f t="shared" si="1"/>
        <v/>
      </c>
      <c r="H296" s="21" t="str">
        <f t="shared" si="2"/>
        <v/>
      </c>
      <c r="I296" s="19"/>
    </row>
    <row r="297" ht="15.75" customHeight="1">
      <c r="A297" s="3"/>
      <c r="B297" s="20"/>
      <c r="C297" s="21" t="str">
        <f>IF(A297="","",SUMIFS('Daily Ops'!$N$2:$N$401,'Daily Ops'!$A$2:$A$401,A297))</f>
        <v/>
      </c>
      <c r="D297" s="20"/>
      <c r="E297" s="20"/>
      <c r="F297" s="20"/>
      <c r="G297" s="21" t="str">
        <f t="shared" si="1"/>
        <v/>
      </c>
      <c r="H297" s="21" t="str">
        <f t="shared" si="2"/>
        <v/>
      </c>
      <c r="I297" s="19"/>
    </row>
    <row r="298" ht="15.75" customHeight="1">
      <c r="A298" s="3"/>
      <c r="B298" s="20"/>
      <c r="C298" s="21" t="str">
        <f>IF(A298="","",SUMIFS('Daily Ops'!$N$2:$N$401,'Daily Ops'!$A$2:$A$401,A298))</f>
        <v/>
      </c>
      <c r="D298" s="20"/>
      <c r="E298" s="20"/>
      <c r="F298" s="20"/>
      <c r="G298" s="21" t="str">
        <f t="shared" si="1"/>
        <v/>
      </c>
      <c r="H298" s="21" t="str">
        <f t="shared" si="2"/>
        <v/>
      </c>
      <c r="I298" s="19"/>
    </row>
    <row r="299" ht="15.75" customHeight="1">
      <c r="A299" s="3"/>
      <c r="B299" s="20"/>
      <c r="C299" s="21" t="str">
        <f>IF(A299="","",SUMIFS('Daily Ops'!$N$2:$N$401,'Daily Ops'!$A$2:$A$401,A299))</f>
        <v/>
      </c>
      <c r="D299" s="20"/>
      <c r="E299" s="20"/>
      <c r="F299" s="20"/>
      <c r="G299" s="21" t="str">
        <f t="shared" si="1"/>
        <v/>
      </c>
      <c r="H299" s="21" t="str">
        <f t="shared" si="2"/>
        <v/>
      </c>
      <c r="I299" s="19"/>
    </row>
    <row r="300" ht="15.75" customHeight="1">
      <c r="A300" s="3"/>
      <c r="B300" s="20"/>
      <c r="C300" s="21" t="str">
        <f>IF(A300="","",SUMIFS('Daily Ops'!$N$2:$N$401,'Daily Ops'!$A$2:$A$401,A300))</f>
        <v/>
      </c>
      <c r="D300" s="20"/>
      <c r="E300" s="20"/>
      <c r="F300" s="20"/>
      <c r="G300" s="21" t="str">
        <f t="shared" si="1"/>
        <v/>
      </c>
      <c r="H300" s="21" t="str">
        <f t="shared" si="2"/>
        <v/>
      </c>
      <c r="I300" s="19"/>
    </row>
    <row r="301" ht="15.75" customHeight="1">
      <c r="A301" s="3"/>
      <c r="B301" s="20"/>
      <c r="C301" s="21" t="str">
        <f>IF(A301="","",SUMIFS('Daily Ops'!$N$2:$N$401,'Daily Ops'!$A$2:$A$401,A301))</f>
        <v/>
      </c>
      <c r="D301" s="20"/>
      <c r="E301" s="20"/>
      <c r="F301" s="20"/>
      <c r="G301" s="21" t="str">
        <f t="shared" si="1"/>
        <v/>
      </c>
      <c r="H301" s="21" t="str">
        <f t="shared" si="2"/>
        <v/>
      </c>
      <c r="I301" s="19"/>
    </row>
    <row r="302" ht="15.75" customHeight="1">
      <c r="A302" s="3"/>
      <c r="B302" s="20"/>
      <c r="C302" s="21" t="str">
        <f>IF(A302="","",SUMIFS('Daily Ops'!$N$2:$N$401,'Daily Ops'!$A$2:$A$401,A302))</f>
        <v/>
      </c>
      <c r="D302" s="20"/>
      <c r="E302" s="20"/>
      <c r="F302" s="20"/>
      <c r="G302" s="21" t="str">
        <f t="shared" si="1"/>
        <v/>
      </c>
      <c r="H302" s="21" t="str">
        <f t="shared" si="2"/>
        <v/>
      </c>
      <c r="I302" s="19"/>
    </row>
    <row r="303" ht="15.75" customHeight="1">
      <c r="A303" s="3"/>
      <c r="B303" s="20"/>
      <c r="C303" s="21" t="str">
        <f>IF(A303="","",SUMIFS('Daily Ops'!$N$2:$N$401,'Daily Ops'!$A$2:$A$401,A303))</f>
        <v/>
      </c>
      <c r="D303" s="20"/>
      <c r="E303" s="20"/>
      <c r="F303" s="20"/>
      <c r="G303" s="21" t="str">
        <f t="shared" si="1"/>
        <v/>
      </c>
      <c r="H303" s="21" t="str">
        <f t="shared" si="2"/>
        <v/>
      </c>
      <c r="I303" s="19"/>
    </row>
    <row r="304" ht="15.75" customHeight="1">
      <c r="A304" s="3"/>
      <c r="B304" s="20"/>
      <c r="C304" s="21" t="str">
        <f>IF(A304="","",SUMIFS('Daily Ops'!$N$2:$N$401,'Daily Ops'!$A$2:$A$401,A304))</f>
        <v/>
      </c>
      <c r="D304" s="20"/>
      <c r="E304" s="20"/>
      <c r="F304" s="20"/>
      <c r="G304" s="21" t="str">
        <f t="shared" si="1"/>
        <v/>
      </c>
      <c r="H304" s="21" t="str">
        <f t="shared" si="2"/>
        <v/>
      </c>
      <c r="I304" s="19"/>
    </row>
    <row r="305" ht="15.75" customHeight="1">
      <c r="A305" s="3"/>
      <c r="B305" s="20"/>
      <c r="C305" s="21" t="str">
        <f>IF(A305="","",SUMIFS('Daily Ops'!$N$2:$N$401,'Daily Ops'!$A$2:$A$401,A305))</f>
        <v/>
      </c>
      <c r="D305" s="20"/>
      <c r="E305" s="20"/>
      <c r="F305" s="20"/>
      <c r="G305" s="21" t="str">
        <f t="shared" si="1"/>
        <v/>
      </c>
      <c r="H305" s="21" t="str">
        <f t="shared" si="2"/>
        <v/>
      </c>
      <c r="I305" s="19"/>
    </row>
    <row r="306" ht="15.75" customHeight="1">
      <c r="A306" s="3"/>
      <c r="B306" s="20"/>
      <c r="C306" s="21" t="str">
        <f>IF(A306="","",SUMIFS('Daily Ops'!$N$2:$N$401,'Daily Ops'!$A$2:$A$401,A306))</f>
        <v/>
      </c>
      <c r="D306" s="20"/>
      <c r="E306" s="20"/>
      <c r="F306" s="20"/>
      <c r="G306" s="21" t="str">
        <f t="shared" si="1"/>
        <v/>
      </c>
      <c r="H306" s="21" t="str">
        <f t="shared" si="2"/>
        <v/>
      </c>
      <c r="I306" s="19"/>
    </row>
    <row r="307" ht="15.75" customHeight="1">
      <c r="A307" s="3"/>
      <c r="B307" s="20"/>
      <c r="C307" s="21" t="str">
        <f>IF(A307="","",SUMIFS('Daily Ops'!$N$2:$N$401,'Daily Ops'!$A$2:$A$401,A307))</f>
        <v/>
      </c>
      <c r="D307" s="20"/>
      <c r="E307" s="20"/>
      <c r="F307" s="20"/>
      <c r="G307" s="21" t="str">
        <f t="shared" si="1"/>
        <v/>
      </c>
      <c r="H307" s="21" t="str">
        <f t="shared" si="2"/>
        <v/>
      </c>
      <c r="I307" s="19"/>
    </row>
    <row r="308" ht="15.75" customHeight="1">
      <c r="A308" s="3"/>
      <c r="B308" s="20"/>
      <c r="C308" s="21" t="str">
        <f>IF(A308="","",SUMIFS('Daily Ops'!$N$2:$N$401,'Daily Ops'!$A$2:$A$401,A308))</f>
        <v/>
      </c>
      <c r="D308" s="20"/>
      <c r="E308" s="20"/>
      <c r="F308" s="20"/>
      <c r="G308" s="21" t="str">
        <f t="shared" si="1"/>
        <v/>
      </c>
      <c r="H308" s="21" t="str">
        <f t="shared" si="2"/>
        <v/>
      </c>
      <c r="I308" s="19"/>
    </row>
    <row r="309" ht="15.75" customHeight="1">
      <c r="A309" s="3"/>
      <c r="B309" s="20"/>
      <c r="C309" s="21" t="str">
        <f>IF(A309="","",SUMIFS('Daily Ops'!$N$2:$N$401,'Daily Ops'!$A$2:$A$401,A309))</f>
        <v/>
      </c>
      <c r="D309" s="20"/>
      <c r="E309" s="20"/>
      <c r="F309" s="20"/>
      <c r="G309" s="21" t="str">
        <f t="shared" si="1"/>
        <v/>
      </c>
      <c r="H309" s="21" t="str">
        <f t="shared" si="2"/>
        <v/>
      </c>
      <c r="I309" s="19"/>
    </row>
    <row r="310" ht="15.75" customHeight="1">
      <c r="A310" s="3"/>
      <c r="B310" s="20"/>
      <c r="C310" s="21" t="str">
        <f>IF(A310="","",SUMIFS('Daily Ops'!$N$2:$N$401,'Daily Ops'!$A$2:$A$401,A310))</f>
        <v/>
      </c>
      <c r="D310" s="20"/>
      <c r="E310" s="20"/>
      <c r="F310" s="20"/>
      <c r="G310" s="21" t="str">
        <f t="shared" si="1"/>
        <v/>
      </c>
      <c r="H310" s="21" t="str">
        <f t="shared" si="2"/>
        <v/>
      </c>
      <c r="I310" s="19"/>
    </row>
    <row r="311" ht="15.75" customHeight="1">
      <c r="A311" s="3"/>
      <c r="B311" s="20"/>
      <c r="C311" s="21" t="str">
        <f>IF(A311="","",SUMIFS('Daily Ops'!$N$2:$N$401,'Daily Ops'!$A$2:$A$401,A311))</f>
        <v/>
      </c>
      <c r="D311" s="20"/>
      <c r="E311" s="20"/>
      <c r="F311" s="20"/>
      <c r="G311" s="21" t="str">
        <f t="shared" si="1"/>
        <v/>
      </c>
      <c r="H311" s="21" t="str">
        <f t="shared" si="2"/>
        <v/>
      </c>
      <c r="I311" s="19"/>
    </row>
    <row r="312" ht="15.75" customHeight="1">
      <c r="A312" s="3"/>
      <c r="B312" s="20"/>
      <c r="C312" s="21" t="str">
        <f>IF(A312="","",SUMIFS('Daily Ops'!$N$2:$N$401,'Daily Ops'!$A$2:$A$401,A312))</f>
        <v/>
      </c>
      <c r="D312" s="20"/>
      <c r="E312" s="20"/>
      <c r="F312" s="20"/>
      <c r="G312" s="21" t="str">
        <f t="shared" si="1"/>
        <v/>
      </c>
      <c r="H312" s="21" t="str">
        <f t="shared" si="2"/>
        <v/>
      </c>
      <c r="I312" s="19"/>
    </row>
    <row r="313" ht="15.75" customHeight="1">
      <c r="A313" s="3"/>
      <c r="B313" s="20"/>
      <c r="C313" s="21" t="str">
        <f>IF(A313="","",SUMIFS('Daily Ops'!$N$2:$N$401,'Daily Ops'!$A$2:$A$401,A313))</f>
        <v/>
      </c>
      <c r="D313" s="20"/>
      <c r="E313" s="20"/>
      <c r="F313" s="20"/>
      <c r="G313" s="21" t="str">
        <f t="shared" si="1"/>
        <v/>
      </c>
      <c r="H313" s="21" t="str">
        <f t="shared" si="2"/>
        <v/>
      </c>
      <c r="I313" s="19"/>
    </row>
    <row r="314" ht="15.75" customHeight="1">
      <c r="A314" s="3"/>
      <c r="B314" s="20"/>
      <c r="C314" s="21" t="str">
        <f>IF(A314="","",SUMIFS('Daily Ops'!$N$2:$N$401,'Daily Ops'!$A$2:$A$401,A314))</f>
        <v/>
      </c>
      <c r="D314" s="20"/>
      <c r="E314" s="20"/>
      <c r="F314" s="20"/>
      <c r="G314" s="21" t="str">
        <f t="shared" si="1"/>
        <v/>
      </c>
      <c r="H314" s="21" t="str">
        <f t="shared" si="2"/>
        <v/>
      </c>
      <c r="I314" s="19"/>
    </row>
    <row r="315" ht="15.75" customHeight="1">
      <c r="A315" s="3"/>
      <c r="B315" s="20"/>
      <c r="C315" s="21" t="str">
        <f>IF(A315="","",SUMIFS('Daily Ops'!$N$2:$N$401,'Daily Ops'!$A$2:$A$401,A315))</f>
        <v/>
      </c>
      <c r="D315" s="20"/>
      <c r="E315" s="20"/>
      <c r="F315" s="20"/>
      <c r="G315" s="21" t="str">
        <f t="shared" si="1"/>
        <v/>
      </c>
      <c r="H315" s="21" t="str">
        <f t="shared" si="2"/>
        <v/>
      </c>
      <c r="I315" s="19"/>
    </row>
    <row r="316" ht="15.75" customHeight="1">
      <c r="A316" s="3"/>
      <c r="B316" s="20"/>
      <c r="C316" s="21" t="str">
        <f>IF(A316="","",SUMIFS('Daily Ops'!$N$2:$N$401,'Daily Ops'!$A$2:$A$401,A316))</f>
        <v/>
      </c>
      <c r="D316" s="20"/>
      <c r="E316" s="20"/>
      <c r="F316" s="20"/>
      <c r="G316" s="21" t="str">
        <f t="shared" si="1"/>
        <v/>
      </c>
      <c r="H316" s="21" t="str">
        <f t="shared" si="2"/>
        <v/>
      </c>
      <c r="I316" s="19"/>
    </row>
    <row r="317" ht="15.75" customHeight="1">
      <c r="A317" s="3"/>
      <c r="B317" s="20"/>
      <c r="C317" s="21" t="str">
        <f>IF(A317="","",SUMIFS('Daily Ops'!$N$2:$N$401,'Daily Ops'!$A$2:$A$401,A317))</f>
        <v/>
      </c>
      <c r="D317" s="20"/>
      <c r="E317" s="20"/>
      <c r="F317" s="20"/>
      <c r="G317" s="21" t="str">
        <f t="shared" si="1"/>
        <v/>
      </c>
      <c r="H317" s="21" t="str">
        <f t="shared" si="2"/>
        <v/>
      </c>
      <c r="I317" s="19"/>
    </row>
    <row r="318" ht="15.75" customHeight="1">
      <c r="A318" s="3"/>
      <c r="B318" s="20"/>
      <c r="C318" s="21" t="str">
        <f>IF(A318="","",SUMIFS('Daily Ops'!$N$2:$N$401,'Daily Ops'!$A$2:$A$401,A318))</f>
        <v/>
      </c>
      <c r="D318" s="20"/>
      <c r="E318" s="20"/>
      <c r="F318" s="20"/>
      <c r="G318" s="21" t="str">
        <f t="shared" si="1"/>
        <v/>
      </c>
      <c r="H318" s="21" t="str">
        <f t="shared" si="2"/>
        <v/>
      </c>
      <c r="I318" s="19"/>
    </row>
    <row r="319" ht="15.75" customHeight="1">
      <c r="A319" s="3"/>
      <c r="B319" s="20"/>
      <c r="C319" s="21" t="str">
        <f>IF(A319="","",SUMIFS('Daily Ops'!$N$2:$N$401,'Daily Ops'!$A$2:$A$401,A319))</f>
        <v/>
      </c>
      <c r="D319" s="20"/>
      <c r="E319" s="20"/>
      <c r="F319" s="20"/>
      <c r="G319" s="21" t="str">
        <f t="shared" si="1"/>
        <v/>
      </c>
      <c r="H319" s="21" t="str">
        <f t="shared" si="2"/>
        <v/>
      </c>
      <c r="I319" s="19"/>
    </row>
    <row r="320" ht="15.75" customHeight="1">
      <c r="A320" s="3"/>
      <c r="B320" s="20"/>
      <c r="C320" s="21" t="str">
        <f>IF(A320="","",SUMIFS('Daily Ops'!$N$2:$N$401,'Daily Ops'!$A$2:$A$401,A320))</f>
        <v/>
      </c>
      <c r="D320" s="20"/>
      <c r="E320" s="20"/>
      <c r="F320" s="20"/>
      <c r="G320" s="21" t="str">
        <f t="shared" si="1"/>
        <v/>
      </c>
      <c r="H320" s="21" t="str">
        <f t="shared" si="2"/>
        <v/>
      </c>
      <c r="I320" s="19"/>
    </row>
    <row r="321" ht="15.75" customHeight="1">
      <c r="A321" s="3"/>
      <c r="B321" s="20"/>
      <c r="C321" s="21" t="str">
        <f>IF(A321="","",SUMIFS('Daily Ops'!$N$2:$N$401,'Daily Ops'!$A$2:$A$401,A321))</f>
        <v/>
      </c>
      <c r="D321" s="20"/>
      <c r="E321" s="20"/>
      <c r="F321" s="20"/>
      <c r="G321" s="21" t="str">
        <f t="shared" si="1"/>
        <v/>
      </c>
      <c r="H321" s="21" t="str">
        <f t="shared" si="2"/>
        <v/>
      </c>
      <c r="I321" s="19"/>
    </row>
    <row r="322" ht="15.75" customHeight="1">
      <c r="A322" s="3"/>
      <c r="B322" s="20"/>
      <c r="C322" s="21" t="str">
        <f>IF(A322="","",SUMIFS('Daily Ops'!$N$2:$N$401,'Daily Ops'!$A$2:$A$401,A322))</f>
        <v/>
      </c>
      <c r="D322" s="20"/>
      <c r="E322" s="20"/>
      <c r="F322" s="20"/>
      <c r="G322" s="21" t="str">
        <f t="shared" si="1"/>
        <v/>
      </c>
      <c r="H322" s="21" t="str">
        <f t="shared" si="2"/>
        <v/>
      </c>
      <c r="I322" s="19"/>
    </row>
    <row r="323" ht="15.75" customHeight="1">
      <c r="A323" s="3"/>
      <c r="B323" s="20"/>
      <c r="C323" s="21" t="str">
        <f>IF(A323="","",SUMIFS('Daily Ops'!$N$2:$N$401,'Daily Ops'!$A$2:$A$401,A323))</f>
        <v/>
      </c>
      <c r="D323" s="20"/>
      <c r="E323" s="20"/>
      <c r="F323" s="20"/>
      <c r="G323" s="21" t="str">
        <f t="shared" si="1"/>
        <v/>
      </c>
      <c r="H323" s="21" t="str">
        <f t="shared" si="2"/>
        <v/>
      </c>
      <c r="I323" s="19"/>
    </row>
    <row r="324" ht="15.75" customHeight="1">
      <c r="A324" s="3"/>
      <c r="B324" s="20"/>
      <c r="C324" s="21" t="str">
        <f>IF(A324="","",SUMIFS('Daily Ops'!$N$2:$N$401,'Daily Ops'!$A$2:$A$401,A324))</f>
        <v/>
      </c>
      <c r="D324" s="20"/>
      <c r="E324" s="20"/>
      <c r="F324" s="20"/>
      <c r="G324" s="21" t="str">
        <f t="shared" si="1"/>
        <v/>
      </c>
      <c r="H324" s="21" t="str">
        <f t="shared" si="2"/>
        <v/>
      </c>
      <c r="I324" s="19"/>
    </row>
    <row r="325" ht="15.75" customHeight="1">
      <c r="A325" s="3"/>
      <c r="B325" s="20"/>
      <c r="C325" s="21" t="str">
        <f>IF(A325="","",SUMIFS('Daily Ops'!$N$2:$N$401,'Daily Ops'!$A$2:$A$401,A325))</f>
        <v/>
      </c>
      <c r="D325" s="20"/>
      <c r="E325" s="20"/>
      <c r="F325" s="20"/>
      <c r="G325" s="21" t="str">
        <f t="shared" si="1"/>
        <v/>
      </c>
      <c r="H325" s="21" t="str">
        <f t="shared" si="2"/>
        <v/>
      </c>
      <c r="I325" s="19"/>
    </row>
    <row r="326" ht="15.75" customHeight="1">
      <c r="A326" s="3"/>
      <c r="B326" s="20"/>
      <c r="C326" s="21" t="str">
        <f>IF(A326="","",SUMIFS('Daily Ops'!$N$2:$N$401,'Daily Ops'!$A$2:$A$401,A326))</f>
        <v/>
      </c>
      <c r="D326" s="20"/>
      <c r="E326" s="20"/>
      <c r="F326" s="20"/>
      <c r="G326" s="21" t="str">
        <f t="shared" si="1"/>
        <v/>
      </c>
      <c r="H326" s="21" t="str">
        <f t="shared" si="2"/>
        <v/>
      </c>
      <c r="I326" s="19"/>
    </row>
    <row r="327" ht="15.75" customHeight="1">
      <c r="A327" s="3"/>
      <c r="B327" s="20"/>
      <c r="C327" s="21" t="str">
        <f>IF(A327="","",SUMIFS('Daily Ops'!$N$2:$N$401,'Daily Ops'!$A$2:$A$401,A327))</f>
        <v/>
      </c>
      <c r="D327" s="20"/>
      <c r="E327" s="20"/>
      <c r="F327" s="20"/>
      <c r="G327" s="21" t="str">
        <f t="shared" si="1"/>
        <v/>
      </c>
      <c r="H327" s="21" t="str">
        <f t="shared" si="2"/>
        <v/>
      </c>
      <c r="I327" s="19"/>
    </row>
    <row r="328" ht="15.75" customHeight="1">
      <c r="A328" s="3"/>
      <c r="B328" s="20"/>
      <c r="C328" s="21" t="str">
        <f>IF(A328="","",SUMIFS('Daily Ops'!$N$2:$N$401,'Daily Ops'!$A$2:$A$401,A328))</f>
        <v/>
      </c>
      <c r="D328" s="20"/>
      <c r="E328" s="20"/>
      <c r="F328" s="20"/>
      <c r="G328" s="21" t="str">
        <f t="shared" si="1"/>
        <v/>
      </c>
      <c r="H328" s="21" t="str">
        <f t="shared" si="2"/>
        <v/>
      </c>
      <c r="I328" s="19"/>
    </row>
    <row r="329" ht="15.75" customHeight="1">
      <c r="A329" s="3"/>
      <c r="B329" s="20"/>
      <c r="C329" s="21" t="str">
        <f>IF(A329="","",SUMIFS('Daily Ops'!$N$2:$N$401,'Daily Ops'!$A$2:$A$401,A329))</f>
        <v/>
      </c>
      <c r="D329" s="20"/>
      <c r="E329" s="20"/>
      <c r="F329" s="20"/>
      <c r="G329" s="21" t="str">
        <f t="shared" si="1"/>
        <v/>
      </c>
      <c r="H329" s="21" t="str">
        <f t="shared" si="2"/>
        <v/>
      </c>
      <c r="I329" s="19"/>
    </row>
    <row r="330" ht="15.75" customHeight="1">
      <c r="A330" s="3"/>
      <c r="B330" s="20"/>
      <c r="C330" s="21" t="str">
        <f>IF(A330="","",SUMIFS('Daily Ops'!$N$2:$N$401,'Daily Ops'!$A$2:$A$401,A330))</f>
        <v/>
      </c>
      <c r="D330" s="20"/>
      <c r="E330" s="20"/>
      <c r="F330" s="20"/>
      <c r="G330" s="21" t="str">
        <f t="shared" si="1"/>
        <v/>
      </c>
      <c r="H330" s="21" t="str">
        <f t="shared" si="2"/>
        <v/>
      </c>
      <c r="I330" s="19"/>
    </row>
    <row r="331" ht="15.75" customHeight="1">
      <c r="A331" s="3"/>
      <c r="B331" s="20"/>
      <c r="C331" s="21" t="str">
        <f>IF(A331="","",SUMIFS('Daily Ops'!$N$2:$N$401,'Daily Ops'!$A$2:$A$401,A331))</f>
        <v/>
      </c>
      <c r="D331" s="20"/>
      <c r="E331" s="20"/>
      <c r="F331" s="20"/>
      <c r="G331" s="21" t="str">
        <f t="shared" si="1"/>
        <v/>
      </c>
      <c r="H331" s="21" t="str">
        <f t="shared" si="2"/>
        <v/>
      </c>
      <c r="I331" s="19"/>
    </row>
    <row r="332" ht="15.75" customHeight="1">
      <c r="A332" s="3"/>
      <c r="B332" s="20"/>
      <c r="C332" s="21" t="str">
        <f>IF(A332="","",SUMIFS('Daily Ops'!$N$2:$N$401,'Daily Ops'!$A$2:$A$401,A332))</f>
        <v/>
      </c>
      <c r="D332" s="20"/>
      <c r="E332" s="20"/>
      <c r="F332" s="20"/>
      <c r="G332" s="21" t="str">
        <f t="shared" si="1"/>
        <v/>
      </c>
      <c r="H332" s="21" t="str">
        <f t="shared" si="2"/>
        <v/>
      </c>
      <c r="I332" s="19"/>
    </row>
    <row r="333" ht="15.75" customHeight="1">
      <c r="A333" s="3"/>
      <c r="B333" s="20"/>
      <c r="C333" s="21" t="str">
        <f>IF(A333="","",SUMIFS('Daily Ops'!$N$2:$N$401,'Daily Ops'!$A$2:$A$401,A333))</f>
        <v/>
      </c>
      <c r="D333" s="20"/>
      <c r="E333" s="20"/>
      <c r="F333" s="20"/>
      <c r="G333" s="21" t="str">
        <f t="shared" si="1"/>
        <v/>
      </c>
      <c r="H333" s="21" t="str">
        <f t="shared" si="2"/>
        <v/>
      </c>
      <c r="I333" s="19"/>
    </row>
    <row r="334" ht="15.75" customHeight="1">
      <c r="A334" s="3"/>
      <c r="B334" s="20"/>
      <c r="C334" s="21" t="str">
        <f>IF(A334="","",SUMIFS('Daily Ops'!$N$2:$N$401,'Daily Ops'!$A$2:$A$401,A334))</f>
        <v/>
      </c>
      <c r="D334" s="20"/>
      <c r="E334" s="20"/>
      <c r="F334" s="20"/>
      <c r="G334" s="21" t="str">
        <f t="shared" si="1"/>
        <v/>
      </c>
      <c r="H334" s="21" t="str">
        <f t="shared" si="2"/>
        <v/>
      </c>
      <c r="I334" s="19"/>
    </row>
    <row r="335" ht="15.75" customHeight="1">
      <c r="A335" s="3"/>
      <c r="B335" s="20"/>
      <c r="C335" s="21" t="str">
        <f>IF(A335="","",SUMIFS('Daily Ops'!$N$2:$N$401,'Daily Ops'!$A$2:$A$401,A335))</f>
        <v/>
      </c>
      <c r="D335" s="20"/>
      <c r="E335" s="20"/>
      <c r="F335" s="20"/>
      <c r="G335" s="21" t="str">
        <f t="shared" si="1"/>
        <v/>
      </c>
      <c r="H335" s="21" t="str">
        <f t="shared" si="2"/>
        <v/>
      </c>
      <c r="I335" s="19"/>
    </row>
    <row r="336" ht="15.75" customHeight="1">
      <c r="A336" s="3"/>
      <c r="B336" s="20"/>
      <c r="C336" s="21" t="str">
        <f>IF(A336="","",SUMIFS('Daily Ops'!$N$2:$N$401,'Daily Ops'!$A$2:$A$401,A336))</f>
        <v/>
      </c>
      <c r="D336" s="20"/>
      <c r="E336" s="20"/>
      <c r="F336" s="20"/>
      <c r="G336" s="21" t="str">
        <f t="shared" si="1"/>
        <v/>
      </c>
      <c r="H336" s="21" t="str">
        <f t="shared" si="2"/>
        <v/>
      </c>
      <c r="I336" s="19"/>
    </row>
    <row r="337" ht="15.75" customHeight="1">
      <c r="A337" s="3"/>
      <c r="B337" s="20"/>
      <c r="C337" s="21" t="str">
        <f>IF(A337="","",SUMIFS('Daily Ops'!$N$2:$N$401,'Daily Ops'!$A$2:$A$401,A337))</f>
        <v/>
      </c>
      <c r="D337" s="20"/>
      <c r="E337" s="20"/>
      <c r="F337" s="20"/>
      <c r="G337" s="21" t="str">
        <f t="shared" si="1"/>
        <v/>
      </c>
      <c r="H337" s="21" t="str">
        <f t="shared" si="2"/>
        <v/>
      </c>
      <c r="I337" s="19"/>
    </row>
    <row r="338" ht="15.75" customHeight="1">
      <c r="A338" s="3"/>
      <c r="B338" s="20"/>
      <c r="C338" s="21" t="str">
        <f>IF(A338="","",SUMIFS('Daily Ops'!$N$2:$N$401,'Daily Ops'!$A$2:$A$401,A338))</f>
        <v/>
      </c>
      <c r="D338" s="20"/>
      <c r="E338" s="20"/>
      <c r="F338" s="20"/>
      <c r="G338" s="21" t="str">
        <f t="shared" si="1"/>
        <v/>
      </c>
      <c r="H338" s="21" t="str">
        <f t="shared" si="2"/>
        <v/>
      </c>
      <c r="I338" s="19"/>
    </row>
    <row r="339" ht="15.75" customHeight="1">
      <c r="A339" s="3"/>
      <c r="B339" s="20"/>
      <c r="C339" s="21" t="str">
        <f>IF(A339="","",SUMIFS('Daily Ops'!$N$2:$N$401,'Daily Ops'!$A$2:$A$401,A339))</f>
        <v/>
      </c>
      <c r="D339" s="20"/>
      <c r="E339" s="20"/>
      <c r="F339" s="20"/>
      <c r="G339" s="21" t="str">
        <f t="shared" si="1"/>
        <v/>
      </c>
      <c r="H339" s="21" t="str">
        <f t="shared" si="2"/>
        <v/>
      </c>
      <c r="I339" s="19"/>
    </row>
    <row r="340" ht="15.75" customHeight="1">
      <c r="A340" s="3"/>
      <c r="B340" s="20"/>
      <c r="C340" s="21" t="str">
        <f>IF(A340="","",SUMIFS('Daily Ops'!$N$2:$N$401,'Daily Ops'!$A$2:$A$401,A340))</f>
        <v/>
      </c>
      <c r="D340" s="20"/>
      <c r="E340" s="20"/>
      <c r="F340" s="20"/>
      <c r="G340" s="21" t="str">
        <f t="shared" si="1"/>
        <v/>
      </c>
      <c r="H340" s="21" t="str">
        <f t="shared" si="2"/>
        <v/>
      </c>
      <c r="I340" s="19"/>
    </row>
    <row r="341" ht="15.75" customHeight="1">
      <c r="A341" s="3"/>
      <c r="B341" s="20"/>
      <c r="C341" s="21" t="str">
        <f>IF(A341="","",SUMIFS('Daily Ops'!$N$2:$N$401,'Daily Ops'!$A$2:$A$401,A341))</f>
        <v/>
      </c>
      <c r="D341" s="20"/>
      <c r="E341" s="20"/>
      <c r="F341" s="20"/>
      <c r="G341" s="21" t="str">
        <f t="shared" si="1"/>
        <v/>
      </c>
      <c r="H341" s="21" t="str">
        <f t="shared" si="2"/>
        <v/>
      </c>
      <c r="I341" s="19"/>
    </row>
    <row r="342" ht="15.75" customHeight="1">
      <c r="A342" s="3"/>
      <c r="B342" s="20"/>
      <c r="C342" s="21" t="str">
        <f>IF(A342="","",SUMIFS('Daily Ops'!$N$2:$N$401,'Daily Ops'!$A$2:$A$401,A342))</f>
        <v/>
      </c>
      <c r="D342" s="20"/>
      <c r="E342" s="20"/>
      <c r="F342" s="20"/>
      <c r="G342" s="21" t="str">
        <f t="shared" si="1"/>
        <v/>
      </c>
      <c r="H342" s="21" t="str">
        <f t="shared" si="2"/>
        <v/>
      </c>
      <c r="I342" s="19"/>
    </row>
    <row r="343" ht="15.75" customHeight="1">
      <c r="A343" s="3"/>
      <c r="B343" s="20"/>
      <c r="C343" s="21" t="str">
        <f>IF(A343="","",SUMIFS('Daily Ops'!$N$2:$N$401,'Daily Ops'!$A$2:$A$401,A343))</f>
        <v/>
      </c>
      <c r="D343" s="20"/>
      <c r="E343" s="20"/>
      <c r="F343" s="20"/>
      <c r="G343" s="21" t="str">
        <f t="shared" si="1"/>
        <v/>
      </c>
      <c r="H343" s="21" t="str">
        <f t="shared" si="2"/>
        <v/>
      </c>
      <c r="I343" s="19"/>
    </row>
    <row r="344" ht="15.75" customHeight="1">
      <c r="A344" s="3"/>
      <c r="B344" s="20"/>
      <c r="C344" s="21" t="str">
        <f>IF(A344="","",SUMIFS('Daily Ops'!$N$2:$N$401,'Daily Ops'!$A$2:$A$401,A344))</f>
        <v/>
      </c>
      <c r="D344" s="20"/>
      <c r="E344" s="20"/>
      <c r="F344" s="20"/>
      <c r="G344" s="21" t="str">
        <f t="shared" si="1"/>
        <v/>
      </c>
      <c r="H344" s="21" t="str">
        <f t="shared" si="2"/>
        <v/>
      </c>
      <c r="I344" s="19"/>
    </row>
    <row r="345" ht="15.75" customHeight="1">
      <c r="A345" s="3"/>
      <c r="B345" s="20"/>
      <c r="C345" s="21" t="str">
        <f>IF(A345="","",SUMIFS('Daily Ops'!$N$2:$N$401,'Daily Ops'!$A$2:$A$401,A345))</f>
        <v/>
      </c>
      <c r="D345" s="20"/>
      <c r="E345" s="20"/>
      <c r="F345" s="20"/>
      <c r="G345" s="21" t="str">
        <f t="shared" si="1"/>
        <v/>
      </c>
      <c r="H345" s="21" t="str">
        <f t="shared" si="2"/>
        <v/>
      </c>
      <c r="I345" s="19"/>
    </row>
    <row r="346" ht="15.75" customHeight="1">
      <c r="A346" s="3"/>
      <c r="B346" s="20"/>
      <c r="C346" s="21" t="str">
        <f>IF(A346="","",SUMIFS('Daily Ops'!$N$2:$N$401,'Daily Ops'!$A$2:$A$401,A346))</f>
        <v/>
      </c>
      <c r="D346" s="20"/>
      <c r="E346" s="20"/>
      <c r="F346" s="20"/>
      <c r="G346" s="21" t="str">
        <f t="shared" si="1"/>
        <v/>
      </c>
      <c r="H346" s="21" t="str">
        <f t="shared" si="2"/>
        <v/>
      </c>
      <c r="I346" s="19"/>
    </row>
    <row r="347" ht="15.75" customHeight="1">
      <c r="A347" s="3"/>
      <c r="B347" s="20"/>
      <c r="C347" s="21" t="str">
        <f>IF(A347="","",SUMIFS('Daily Ops'!$N$2:$N$401,'Daily Ops'!$A$2:$A$401,A347))</f>
        <v/>
      </c>
      <c r="D347" s="20"/>
      <c r="E347" s="20"/>
      <c r="F347" s="20"/>
      <c r="G347" s="21" t="str">
        <f t="shared" si="1"/>
        <v/>
      </c>
      <c r="H347" s="21" t="str">
        <f t="shared" si="2"/>
        <v/>
      </c>
      <c r="I347" s="19"/>
    </row>
    <row r="348" ht="15.75" customHeight="1">
      <c r="A348" s="3"/>
      <c r="B348" s="20"/>
      <c r="C348" s="21" t="str">
        <f>IF(A348="","",SUMIFS('Daily Ops'!$N$2:$N$401,'Daily Ops'!$A$2:$A$401,A348))</f>
        <v/>
      </c>
      <c r="D348" s="20"/>
      <c r="E348" s="20"/>
      <c r="F348" s="20"/>
      <c r="G348" s="21" t="str">
        <f t="shared" si="1"/>
        <v/>
      </c>
      <c r="H348" s="21" t="str">
        <f t="shared" si="2"/>
        <v/>
      </c>
      <c r="I348" s="19"/>
    </row>
    <row r="349" ht="15.75" customHeight="1">
      <c r="A349" s="3"/>
      <c r="B349" s="20"/>
      <c r="C349" s="21" t="str">
        <f>IF(A349="","",SUMIFS('Daily Ops'!$N$2:$N$401,'Daily Ops'!$A$2:$A$401,A349))</f>
        <v/>
      </c>
      <c r="D349" s="20"/>
      <c r="E349" s="20"/>
      <c r="F349" s="20"/>
      <c r="G349" s="21" t="str">
        <f t="shared" si="1"/>
        <v/>
      </c>
      <c r="H349" s="21" t="str">
        <f t="shared" si="2"/>
        <v/>
      </c>
      <c r="I349" s="19"/>
    </row>
    <row r="350" ht="15.75" customHeight="1">
      <c r="A350" s="3"/>
      <c r="B350" s="20"/>
      <c r="C350" s="21" t="str">
        <f>IF(A350="","",SUMIFS('Daily Ops'!$N$2:$N$401,'Daily Ops'!$A$2:$A$401,A350))</f>
        <v/>
      </c>
      <c r="D350" s="20"/>
      <c r="E350" s="20"/>
      <c r="F350" s="20"/>
      <c r="G350" s="21" t="str">
        <f t="shared" si="1"/>
        <v/>
      </c>
      <c r="H350" s="21" t="str">
        <f t="shared" si="2"/>
        <v/>
      </c>
      <c r="I350" s="19"/>
    </row>
    <row r="351" ht="15.75" customHeight="1">
      <c r="A351" s="3"/>
      <c r="B351" s="20"/>
      <c r="C351" s="21" t="str">
        <f>IF(A351="","",SUMIFS('Daily Ops'!$N$2:$N$401,'Daily Ops'!$A$2:$A$401,A351))</f>
        <v/>
      </c>
      <c r="D351" s="20"/>
      <c r="E351" s="20"/>
      <c r="F351" s="20"/>
      <c r="G351" s="21" t="str">
        <f t="shared" si="1"/>
        <v/>
      </c>
      <c r="H351" s="21" t="str">
        <f t="shared" si="2"/>
        <v/>
      </c>
      <c r="I351" s="19"/>
    </row>
    <row r="352" ht="15.75" customHeight="1">
      <c r="A352" s="3"/>
      <c r="B352" s="20"/>
      <c r="C352" s="21" t="str">
        <f>IF(A352="","",SUMIFS('Daily Ops'!$N$2:$N$401,'Daily Ops'!$A$2:$A$401,A352))</f>
        <v/>
      </c>
      <c r="D352" s="20"/>
      <c r="E352" s="20"/>
      <c r="F352" s="20"/>
      <c r="G352" s="21" t="str">
        <f t="shared" si="1"/>
        <v/>
      </c>
      <c r="H352" s="21" t="str">
        <f t="shared" si="2"/>
        <v/>
      </c>
      <c r="I352" s="19"/>
    </row>
    <row r="353" ht="15.75" customHeight="1">
      <c r="A353" s="3"/>
      <c r="B353" s="20"/>
      <c r="C353" s="21" t="str">
        <f>IF(A353="","",SUMIFS('Daily Ops'!$N$2:$N$401,'Daily Ops'!$A$2:$A$401,A353))</f>
        <v/>
      </c>
      <c r="D353" s="20"/>
      <c r="E353" s="20"/>
      <c r="F353" s="20"/>
      <c r="G353" s="21" t="str">
        <f t="shared" si="1"/>
        <v/>
      </c>
      <c r="H353" s="21" t="str">
        <f t="shared" si="2"/>
        <v/>
      </c>
      <c r="I353" s="19"/>
    </row>
    <row r="354" ht="15.75" customHeight="1">
      <c r="A354" s="3"/>
      <c r="B354" s="20"/>
      <c r="C354" s="21" t="str">
        <f>IF(A354="","",SUMIFS('Daily Ops'!$N$2:$N$401,'Daily Ops'!$A$2:$A$401,A354))</f>
        <v/>
      </c>
      <c r="D354" s="20"/>
      <c r="E354" s="20"/>
      <c r="F354" s="20"/>
      <c r="G354" s="21" t="str">
        <f t="shared" si="1"/>
        <v/>
      </c>
      <c r="H354" s="21" t="str">
        <f t="shared" si="2"/>
        <v/>
      </c>
      <c r="I354" s="19"/>
    </row>
    <row r="355" ht="15.75" customHeight="1">
      <c r="A355" s="3"/>
      <c r="B355" s="20"/>
      <c r="C355" s="21" t="str">
        <f>IF(A355="","",SUMIFS('Daily Ops'!$N$2:$N$401,'Daily Ops'!$A$2:$A$401,A355))</f>
        <v/>
      </c>
      <c r="D355" s="20"/>
      <c r="E355" s="20"/>
      <c r="F355" s="20"/>
      <c r="G355" s="21" t="str">
        <f t="shared" si="1"/>
        <v/>
      </c>
      <c r="H355" s="21" t="str">
        <f t="shared" si="2"/>
        <v/>
      </c>
      <c r="I355" s="19"/>
    </row>
    <row r="356" ht="15.75" customHeight="1">
      <c r="A356" s="3"/>
      <c r="B356" s="20"/>
      <c r="C356" s="21" t="str">
        <f>IF(A356="","",SUMIFS('Daily Ops'!$N$2:$N$401,'Daily Ops'!$A$2:$A$401,A356))</f>
        <v/>
      </c>
      <c r="D356" s="20"/>
      <c r="E356" s="20"/>
      <c r="F356" s="20"/>
      <c r="G356" s="21" t="str">
        <f t="shared" si="1"/>
        <v/>
      </c>
      <c r="H356" s="21" t="str">
        <f t="shared" si="2"/>
        <v/>
      </c>
      <c r="I356" s="19"/>
    </row>
    <row r="357" ht="15.75" customHeight="1">
      <c r="A357" s="3"/>
      <c r="B357" s="20"/>
      <c r="C357" s="21" t="str">
        <f>IF(A357="","",SUMIFS('Daily Ops'!$N$2:$N$401,'Daily Ops'!$A$2:$A$401,A357))</f>
        <v/>
      </c>
      <c r="D357" s="20"/>
      <c r="E357" s="20"/>
      <c r="F357" s="20"/>
      <c r="G357" s="21" t="str">
        <f t="shared" si="1"/>
        <v/>
      </c>
      <c r="H357" s="21" t="str">
        <f t="shared" si="2"/>
        <v/>
      </c>
      <c r="I357" s="19"/>
    </row>
    <row r="358" ht="15.75" customHeight="1">
      <c r="A358" s="3"/>
      <c r="B358" s="20"/>
      <c r="C358" s="21" t="str">
        <f>IF(A358="","",SUMIFS('Daily Ops'!$N$2:$N$401,'Daily Ops'!$A$2:$A$401,A358))</f>
        <v/>
      </c>
      <c r="D358" s="20"/>
      <c r="E358" s="20"/>
      <c r="F358" s="20"/>
      <c r="G358" s="21" t="str">
        <f t="shared" si="1"/>
        <v/>
      </c>
      <c r="H358" s="21" t="str">
        <f t="shared" si="2"/>
        <v/>
      </c>
      <c r="I358" s="19"/>
    </row>
    <row r="359" ht="15.75" customHeight="1">
      <c r="A359" s="3"/>
      <c r="B359" s="20"/>
      <c r="C359" s="21" t="str">
        <f>IF(A359="","",SUMIFS('Daily Ops'!$N$2:$N$401,'Daily Ops'!$A$2:$A$401,A359))</f>
        <v/>
      </c>
      <c r="D359" s="20"/>
      <c r="E359" s="20"/>
      <c r="F359" s="20"/>
      <c r="G359" s="21" t="str">
        <f t="shared" si="1"/>
        <v/>
      </c>
      <c r="H359" s="21" t="str">
        <f t="shared" si="2"/>
        <v/>
      </c>
      <c r="I359" s="19"/>
    </row>
    <row r="360" ht="15.75" customHeight="1">
      <c r="A360" s="3"/>
      <c r="B360" s="20"/>
      <c r="C360" s="21" t="str">
        <f>IF(A360="","",SUMIFS('Daily Ops'!$N$2:$N$401,'Daily Ops'!$A$2:$A$401,A360))</f>
        <v/>
      </c>
      <c r="D360" s="20"/>
      <c r="E360" s="20"/>
      <c r="F360" s="20"/>
      <c r="G360" s="21" t="str">
        <f t="shared" si="1"/>
        <v/>
      </c>
      <c r="H360" s="21" t="str">
        <f t="shared" si="2"/>
        <v/>
      </c>
      <c r="I360" s="19"/>
    </row>
    <row r="361" ht="15.75" customHeight="1">
      <c r="A361" s="3"/>
      <c r="B361" s="20"/>
      <c r="C361" s="21" t="str">
        <f>IF(A361="","",SUMIFS('Daily Ops'!$N$2:$N$401,'Daily Ops'!$A$2:$A$401,A361))</f>
        <v/>
      </c>
      <c r="D361" s="20"/>
      <c r="E361" s="20"/>
      <c r="F361" s="20"/>
      <c r="G361" s="21" t="str">
        <f t="shared" si="1"/>
        <v/>
      </c>
      <c r="H361" s="21" t="str">
        <f t="shared" si="2"/>
        <v/>
      </c>
      <c r="I361" s="19"/>
    </row>
    <row r="362" ht="15.75" customHeight="1">
      <c r="A362" s="3"/>
      <c r="B362" s="20"/>
      <c r="C362" s="21" t="str">
        <f>IF(A362="","",SUMIFS('Daily Ops'!$N$2:$N$401,'Daily Ops'!$A$2:$A$401,A362))</f>
        <v/>
      </c>
      <c r="D362" s="20"/>
      <c r="E362" s="20"/>
      <c r="F362" s="20"/>
      <c r="G362" s="21" t="str">
        <f t="shared" si="1"/>
        <v/>
      </c>
      <c r="H362" s="21" t="str">
        <f t="shared" si="2"/>
        <v/>
      </c>
      <c r="I362" s="19"/>
    </row>
    <row r="363" ht="15.75" customHeight="1">
      <c r="A363" s="3"/>
      <c r="B363" s="20"/>
      <c r="C363" s="21" t="str">
        <f>IF(A363="","",SUMIFS('Daily Ops'!$N$2:$N$401,'Daily Ops'!$A$2:$A$401,A363))</f>
        <v/>
      </c>
      <c r="D363" s="20"/>
      <c r="E363" s="20"/>
      <c r="F363" s="20"/>
      <c r="G363" s="21" t="str">
        <f t="shared" si="1"/>
        <v/>
      </c>
      <c r="H363" s="21" t="str">
        <f t="shared" si="2"/>
        <v/>
      </c>
      <c r="I363" s="19"/>
    </row>
    <row r="364" ht="15.75" customHeight="1">
      <c r="A364" s="3"/>
      <c r="B364" s="20"/>
      <c r="C364" s="21" t="str">
        <f>IF(A364="","",SUMIFS('Daily Ops'!$N$2:$N$401,'Daily Ops'!$A$2:$A$401,A364))</f>
        <v/>
      </c>
      <c r="D364" s="20"/>
      <c r="E364" s="20"/>
      <c r="F364" s="20"/>
      <c r="G364" s="21" t="str">
        <f t="shared" si="1"/>
        <v/>
      </c>
      <c r="H364" s="21" t="str">
        <f t="shared" si="2"/>
        <v/>
      </c>
      <c r="I364" s="19"/>
    </row>
    <row r="365" ht="15.75" customHeight="1">
      <c r="A365" s="3"/>
      <c r="B365" s="20"/>
      <c r="C365" s="21" t="str">
        <f>IF(A365="","",SUMIFS('Daily Ops'!$N$2:$N$401,'Daily Ops'!$A$2:$A$401,A365))</f>
        <v/>
      </c>
      <c r="D365" s="20"/>
      <c r="E365" s="20"/>
      <c r="F365" s="20"/>
      <c r="G365" s="21" t="str">
        <f t="shared" si="1"/>
        <v/>
      </c>
      <c r="H365" s="21" t="str">
        <f t="shared" si="2"/>
        <v/>
      </c>
      <c r="I365" s="19"/>
    </row>
    <row r="366" ht="15.75" customHeight="1">
      <c r="A366" s="3"/>
      <c r="B366" s="20"/>
      <c r="C366" s="21" t="str">
        <f>IF(A366="","",SUMIFS('Daily Ops'!$N$2:$N$401,'Daily Ops'!$A$2:$A$401,A366))</f>
        <v/>
      </c>
      <c r="D366" s="20"/>
      <c r="E366" s="20"/>
      <c r="F366" s="20"/>
      <c r="G366" s="21" t="str">
        <f t="shared" si="1"/>
        <v/>
      </c>
      <c r="H366" s="21" t="str">
        <f t="shared" si="2"/>
        <v/>
      </c>
      <c r="I366" s="19"/>
    </row>
    <row r="367" ht="15.75" customHeight="1">
      <c r="A367" s="3"/>
      <c r="B367" s="20"/>
      <c r="C367" s="21" t="str">
        <f>IF(A367="","",SUMIFS('Daily Ops'!$N$2:$N$401,'Daily Ops'!$A$2:$A$401,A367))</f>
        <v/>
      </c>
      <c r="D367" s="20"/>
      <c r="E367" s="20"/>
      <c r="F367" s="20"/>
      <c r="G367" s="21" t="str">
        <f t="shared" si="1"/>
        <v/>
      </c>
      <c r="H367" s="21" t="str">
        <f t="shared" si="2"/>
        <v/>
      </c>
      <c r="I367" s="19"/>
    </row>
    <row r="368" ht="15.75" customHeight="1">
      <c r="A368" s="3"/>
      <c r="B368" s="20"/>
      <c r="C368" s="21" t="str">
        <f>IF(A368="","",SUMIFS('Daily Ops'!$N$2:$N$401,'Daily Ops'!$A$2:$A$401,A368))</f>
        <v/>
      </c>
      <c r="D368" s="20"/>
      <c r="E368" s="20"/>
      <c r="F368" s="20"/>
      <c r="G368" s="21" t="str">
        <f t="shared" si="1"/>
        <v/>
      </c>
      <c r="H368" s="21" t="str">
        <f t="shared" si="2"/>
        <v/>
      </c>
      <c r="I368" s="19"/>
    </row>
    <row r="369" ht="15.75" customHeight="1">
      <c r="A369" s="3"/>
      <c r="B369" s="20"/>
      <c r="C369" s="21" t="str">
        <f>IF(A369="","",SUMIFS('Daily Ops'!$N$2:$N$401,'Daily Ops'!$A$2:$A$401,A369))</f>
        <v/>
      </c>
      <c r="D369" s="20"/>
      <c r="E369" s="20"/>
      <c r="F369" s="20"/>
      <c r="G369" s="21" t="str">
        <f t="shared" si="1"/>
        <v/>
      </c>
      <c r="H369" s="21" t="str">
        <f t="shared" si="2"/>
        <v/>
      </c>
      <c r="I369" s="19"/>
    </row>
    <row r="370" ht="15.75" customHeight="1">
      <c r="A370" s="3"/>
      <c r="B370" s="20"/>
      <c r="C370" s="21" t="str">
        <f>IF(A370="","",SUMIFS('Daily Ops'!$N$2:$N$401,'Daily Ops'!$A$2:$A$401,A370))</f>
        <v/>
      </c>
      <c r="D370" s="20"/>
      <c r="E370" s="20"/>
      <c r="F370" s="20"/>
      <c r="G370" s="21" t="str">
        <f t="shared" si="1"/>
        <v/>
      </c>
      <c r="H370" s="21" t="str">
        <f t="shared" si="2"/>
        <v/>
      </c>
      <c r="I370" s="19"/>
    </row>
    <row r="371" ht="15.75" customHeight="1">
      <c r="A371" s="3"/>
      <c r="B371" s="20"/>
      <c r="C371" s="21" t="str">
        <f>IF(A371="","",SUMIFS('Daily Ops'!$N$2:$N$401,'Daily Ops'!$A$2:$A$401,A371))</f>
        <v/>
      </c>
      <c r="D371" s="20"/>
      <c r="E371" s="20"/>
      <c r="F371" s="20"/>
      <c r="G371" s="21" t="str">
        <f t="shared" si="1"/>
        <v/>
      </c>
      <c r="H371" s="21" t="str">
        <f t="shared" si="2"/>
        <v/>
      </c>
      <c r="I371" s="19"/>
    </row>
    <row r="372" ht="15.75" customHeight="1">
      <c r="A372" s="3"/>
      <c r="B372" s="20"/>
      <c r="C372" s="21" t="str">
        <f>IF(A372="","",SUMIFS('Daily Ops'!$N$2:$N$401,'Daily Ops'!$A$2:$A$401,A372))</f>
        <v/>
      </c>
      <c r="D372" s="20"/>
      <c r="E372" s="20"/>
      <c r="F372" s="20"/>
      <c r="G372" s="21" t="str">
        <f t="shared" si="1"/>
        <v/>
      </c>
      <c r="H372" s="21" t="str">
        <f t="shared" si="2"/>
        <v/>
      </c>
      <c r="I372" s="19"/>
    </row>
    <row r="373" ht="15.75" customHeight="1">
      <c r="A373" s="3"/>
      <c r="B373" s="20"/>
      <c r="C373" s="21" t="str">
        <f>IF(A373="","",SUMIFS('Daily Ops'!$N$2:$N$401,'Daily Ops'!$A$2:$A$401,A373))</f>
        <v/>
      </c>
      <c r="D373" s="20"/>
      <c r="E373" s="20"/>
      <c r="F373" s="20"/>
      <c r="G373" s="21" t="str">
        <f t="shared" si="1"/>
        <v/>
      </c>
      <c r="H373" s="21" t="str">
        <f t="shared" si="2"/>
        <v/>
      </c>
      <c r="I373" s="19"/>
    </row>
    <row r="374" ht="15.75" customHeight="1">
      <c r="A374" s="3"/>
      <c r="B374" s="20"/>
      <c r="C374" s="21" t="str">
        <f>IF(A374="","",SUMIFS('Daily Ops'!$N$2:$N$401,'Daily Ops'!$A$2:$A$401,A374))</f>
        <v/>
      </c>
      <c r="D374" s="20"/>
      <c r="E374" s="20"/>
      <c r="F374" s="20"/>
      <c r="G374" s="21" t="str">
        <f t="shared" si="1"/>
        <v/>
      </c>
      <c r="H374" s="21" t="str">
        <f t="shared" si="2"/>
        <v/>
      </c>
      <c r="I374" s="19"/>
    </row>
    <row r="375" ht="15.75" customHeight="1">
      <c r="A375" s="3"/>
      <c r="B375" s="20"/>
      <c r="C375" s="21" t="str">
        <f>IF(A375="","",SUMIFS('Daily Ops'!$N$2:$N$401,'Daily Ops'!$A$2:$A$401,A375))</f>
        <v/>
      </c>
      <c r="D375" s="20"/>
      <c r="E375" s="20"/>
      <c r="F375" s="20"/>
      <c r="G375" s="21" t="str">
        <f t="shared" si="1"/>
        <v/>
      </c>
      <c r="H375" s="21" t="str">
        <f t="shared" si="2"/>
        <v/>
      </c>
      <c r="I375" s="19"/>
    </row>
    <row r="376" ht="15.75" customHeight="1">
      <c r="A376" s="3"/>
      <c r="B376" s="20"/>
      <c r="C376" s="21" t="str">
        <f>IF(A376="","",SUMIFS('Daily Ops'!$N$2:$N$401,'Daily Ops'!$A$2:$A$401,A376))</f>
        <v/>
      </c>
      <c r="D376" s="20"/>
      <c r="E376" s="20"/>
      <c r="F376" s="20"/>
      <c r="G376" s="21" t="str">
        <f t="shared" si="1"/>
        <v/>
      </c>
      <c r="H376" s="21" t="str">
        <f t="shared" si="2"/>
        <v/>
      </c>
      <c r="I376" s="19"/>
    </row>
    <row r="377" ht="15.75" customHeight="1">
      <c r="A377" s="3"/>
      <c r="B377" s="20"/>
      <c r="C377" s="21" t="str">
        <f>IF(A377="","",SUMIFS('Daily Ops'!$N$2:$N$401,'Daily Ops'!$A$2:$A$401,A377))</f>
        <v/>
      </c>
      <c r="D377" s="20"/>
      <c r="E377" s="20"/>
      <c r="F377" s="20"/>
      <c r="G377" s="21" t="str">
        <f t="shared" si="1"/>
        <v/>
      </c>
      <c r="H377" s="21" t="str">
        <f t="shared" si="2"/>
        <v/>
      </c>
      <c r="I377" s="19"/>
    </row>
    <row r="378" ht="15.75" customHeight="1">
      <c r="A378" s="3"/>
      <c r="B378" s="20"/>
      <c r="C378" s="21" t="str">
        <f>IF(A378="","",SUMIFS('Daily Ops'!$N$2:$N$401,'Daily Ops'!$A$2:$A$401,A378))</f>
        <v/>
      </c>
      <c r="D378" s="20"/>
      <c r="E378" s="20"/>
      <c r="F378" s="20"/>
      <c r="G378" s="21" t="str">
        <f t="shared" si="1"/>
        <v/>
      </c>
      <c r="H378" s="21" t="str">
        <f t="shared" si="2"/>
        <v/>
      </c>
      <c r="I378" s="19"/>
    </row>
    <row r="379" ht="15.75" customHeight="1">
      <c r="A379" s="3"/>
      <c r="B379" s="20"/>
      <c r="C379" s="21" t="str">
        <f>IF(A379="","",SUMIFS('Daily Ops'!$N$2:$N$401,'Daily Ops'!$A$2:$A$401,A379))</f>
        <v/>
      </c>
      <c r="D379" s="20"/>
      <c r="E379" s="20"/>
      <c r="F379" s="20"/>
      <c r="G379" s="21" t="str">
        <f t="shared" si="1"/>
        <v/>
      </c>
      <c r="H379" s="21" t="str">
        <f t="shared" si="2"/>
        <v/>
      </c>
      <c r="I379" s="19"/>
    </row>
    <row r="380" ht="15.75" customHeight="1">
      <c r="A380" s="3"/>
      <c r="B380" s="20"/>
      <c r="C380" s="21" t="str">
        <f>IF(A380="","",SUMIFS('Daily Ops'!$N$2:$N$401,'Daily Ops'!$A$2:$A$401,A380))</f>
        <v/>
      </c>
      <c r="D380" s="20"/>
      <c r="E380" s="20"/>
      <c r="F380" s="20"/>
      <c r="G380" s="21" t="str">
        <f t="shared" si="1"/>
        <v/>
      </c>
      <c r="H380" s="21" t="str">
        <f t="shared" si="2"/>
        <v/>
      </c>
      <c r="I380" s="19"/>
    </row>
    <row r="381" ht="15.75" customHeight="1">
      <c r="A381" s="3"/>
      <c r="B381" s="20"/>
      <c r="C381" s="21" t="str">
        <f>IF(A381="","",SUMIFS('Daily Ops'!$N$2:$N$401,'Daily Ops'!$A$2:$A$401,A381))</f>
        <v/>
      </c>
      <c r="D381" s="20"/>
      <c r="E381" s="20"/>
      <c r="F381" s="20"/>
      <c r="G381" s="21" t="str">
        <f t="shared" si="1"/>
        <v/>
      </c>
      <c r="H381" s="21" t="str">
        <f t="shared" si="2"/>
        <v/>
      </c>
      <c r="I381" s="19"/>
    </row>
    <row r="382" ht="15.75" customHeight="1">
      <c r="A382" s="3"/>
      <c r="B382" s="20"/>
      <c r="C382" s="21" t="str">
        <f>IF(A382="","",SUMIFS('Daily Ops'!$N$2:$N$401,'Daily Ops'!$A$2:$A$401,A382))</f>
        <v/>
      </c>
      <c r="D382" s="20"/>
      <c r="E382" s="20"/>
      <c r="F382" s="20"/>
      <c r="G382" s="21" t="str">
        <f t="shared" si="1"/>
        <v/>
      </c>
      <c r="H382" s="21" t="str">
        <f t="shared" si="2"/>
        <v/>
      </c>
      <c r="I382" s="19"/>
    </row>
    <row r="383" ht="15.75" customHeight="1">
      <c r="A383" s="3"/>
      <c r="B383" s="20"/>
      <c r="C383" s="21" t="str">
        <f>IF(A383="","",SUMIFS('Daily Ops'!$N$2:$N$401,'Daily Ops'!$A$2:$A$401,A383))</f>
        <v/>
      </c>
      <c r="D383" s="20"/>
      <c r="E383" s="20"/>
      <c r="F383" s="20"/>
      <c r="G383" s="21" t="str">
        <f t="shared" si="1"/>
        <v/>
      </c>
      <c r="H383" s="21" t="str">
        <f t="shared" si="2"/>
        <v/>
      </c>
      <c r="I383" s="19"/>
    </row>
    <row r="384" ht="15.75" customHeight="1">
      <c r="A384" s="3"/>
      <c r="B384" s="20"/>
      <c r="C384" s="21" t="str">
        <f>IF(A384="","",SUMIFS('Daily Ops'!$N$2:$N$401,'Daily Ops'!$A$2:$A$401,A384))</f>
        <v/>
      </c>
      <c r="D384" s="20"/>
      <c r="E384" s="20"/>
      <c r="F384" s="20"/>
      <c r="G384" s="21" t="str">
        <f t="shared" si="1"/>
        <v/>
      </c>
      <c r="H384" s="21" t="str">
        <f t="shared" si="2"/>
        <v/>
      </c>
      <c r="I384" s="19"/>
    </row>
    <row r="385" ht="15.75" customHeight="1">
      <c r="A385" s="3"/>
      <c r="B385" s="20"/>
      <c r="C385" s="21" t="str">
        <f>IF(A385="","",SUMIFS('Daily Ops'!$N$2:$N$401,'Daily Ops'!$A$2:$A$401,A385))</f>
        <v/>
      </c>
      <c r="D385" s="20"/>
      <c r="E385" s="20"/>
      <c r="F385" s="20"/>
      <c r="G385" s="21" t="str">
        <f t="shared" si="1"/>
        <v/>
      </c>
      <c r="H385" s="21" t="str">
        <f t="shared" si="2"/>
        <v/>
      </c>
      <c r="I385" s="19"/>
    </row>
    <row r="386" ht="15.75" customHeight="1">
      <c r="A386" s="3"/>
      <c r="B386" s="20"/>
      <c r="C386" s="21" t="str">
        <f>IF(A386="","",SUMIFS('Daily Ops'!$N$2:$N$401,'Daily Ops'!$A$2:$A$401,A386))</f>
        <v/>
      </c>
      <c r="D386" s="20"/>
      <c r="E386" s="20"/>
      <c r="F386" s="20"/>
      <c r="G386" s="21" t="str">
        <f t="shared" si="1"/>
        <v/>
      </c>
      <c r="H386" s="21" t="str">
        <f t="shared" si="2"/>
        <v/>
      </c>
      <c r="I386" s="19"/>
    </row>
    <row r="387" ht="15.75" customHeight="1">
      <c r="A387" s="3"/>
      <c r="B387" s="20"/>
      <c r="C387" s="21" t="str">
        <f>IF(A387="","",SUMIFS('Daily Ops'!$N$2:$N$401,'Daily Ops'!$A$2:$A$401,A387))</f>
        <v/>
      </c>
      <c r="D387" s="20"/>
      <c r="E387" s="20"/>
      <c r="F387" s="20"/>
      <c r="G387" s="21" t="str">
        <f t="shared" si="1"/>
        <v/>
      </c>
      <c r="H387" s="21" t="str">
        <f t="shared" si="2"/>
        <v/>
      </c>
      <c r="I387" s="19"/>
    </row>
    <row r="388" ht="15.75" customHeight="1">
      <c r="A388" s="3"/>
      <c r="B388" s="20"/>
      <c r="C388" s="21" t="str">
        <f>IF(A388="","",SUMIFS('Daily Ops'!$N$2:$N$401,'Daily Ops'!$A$2:$A$401,A388))</f>
        <v/>
      </c>
      <c r="D388" s="20"/>
      <c r="E388" s="20"/>
      <c r="F388" s="20"/>
      <c r="G388" s="21" t="str">
        <f t="shared" si="1"/>
        <v/>
      </c>
      <c r="H388" s="21" t="str">
        <f t="shared" si="2"/>
        <v/>
      </c>
      <c r="I388" s="19"/>
    </row>
    <row r="389" ht="15.75" customHeight="1">
      <c r="A389" s="3"/>
      <c r="B389" s="20"/>
      <c r="C389" s="21" t="str">
        <f>IF(A389="","",SUMIFS('Daily Ops'!$N$2:$N$401,'Daily Ops'!$A$2:$A$401,A389))</f>
        <v/>
      </c>
      <c r="D389" s="20"/>
      <c r="E389" s="20"/>
      <c r="F389" s="20"/>
      <c r="G389" s="21" t="str">
        <f t="shared" si="1"/>
        <v/>
      </c>
      <c r="H389" s="21" t="str">
        <f t="shared" si="2"/>
        <v/>
      </c>
      <c r="I389" s="19"/>
    </row>
    <row r="390" ht="15.75" customHeight="1">
      <c r="A390" s="3"/>
      <c r="B390" s="20"/>
      <c r="C390" s="21" t="str">
        <f>IF(A390="","",SUMIFS('Daily Ops'!$N$2:$N$401,'Daily Ops'!$A$2:$A$401,A390))</f>
        <v/>
      </c>
      <c r="D390" s="20"/>
      <c r="E390" s="20"/>
      <c r="F390" s="20"/>
      <c r="G390" s="21" t="str">
        <f t="shared" si="1"/>
        <v/>
      </c>
      <c r="H390" s="21" t="str">
        <f t="shared" si="2"/>
        <v/>
      </c>
      <c r="I390" s="19"/>
    </row>
    <row r="391" ht="15.75" customHeight="1">
      <c r="A391" s="3"/>
      <c r="B391" s="20"/>
      <c r="C391" s="21" t="str">
        <f>IF(A391="","",SUMIFS('Daily Ops'!$N$2:$N$401,'Daily Ops'!$A$2:$A$401,A391))</f>
        <v/>
      </c>
      <c r="D391" s="20"/>
      <c r="E391" s="20"/>
      <c r="F391" s="20"/>
      <c r="G391" s="21" t="str">
        <f t="shared" si="1"/>
        <v/>
      </c>
      <c r="H391" s="21" t="str">
        <f t="shared" si="2"/>
        <v/>
      </c>
      <c r="I391" s="19"/>
    </row>
    <row r="392" ht="15.75" customHeight="1">
      <c r="A392" s="3"/>
      <c r="B392" s="20"/>
      <c r="C392" s="21" t="str">
        <f>IF(A392="","",SUMIFS('Daily Ops'!$N$2:$N$401,'Daily Ops'!$A$2:$A$401,A392))</f>
        <v/>
      </c>
      <c r="D392" s="20"/>
      <c r="E392" s="20"/>
      <c r="F392" s="20"/>
      <c r="G392" s="21" t="str">
        <f t="shared" si="1"/>
        <v/>
      </c>
      <c r="H392" s="21" t="str">
        <f t="shared" si="2"/>
        <v/>
      </c>
      <c r="I392" s="19"/>
    </row>
    <row r="393" ht="15.75" customHeight="1">
      <c r="A393" s="3"/>
      <c r="B393" s="20"/>
      <c r="C393" s="21" t="str">
        <f>IF(A393="","",SUMIFS('Daily Ops'!$N$2:$N$401,'Daily Ops'!$A$2:$A$401,A393))</f>
        <v/>
      </c>
      <c r="D393" s="20"/>
      <c r="E393" s="20"/>
      <c r="F393" s="20"/>
      <c r="G393" s="21" t="str">
        <f t="shared" si="1"/>
        <v/>
      </c>
      <c r="H393" s="21" t="str">
        <f t="shared" si="2"/>
        <v/>
      </c>
      <c r="I393" s="19"/>
    </row>
    <row r="394" ht="15.75" customHeight="1">
      <c r="A394" s="3"/>
      <c r="B394" s="20"/>
      <c r="C394" s="21" t="str">
        <f>IF(A394="","",SUMIFS('Daily Ops'!$N$2:$N$401,'Daily Ops'!$A$2:$A$401,A394))</f>
        <v/>
      </c>
      <c r="D394" s="20"/>
      <c r="E394" s="20"/>
      <c r="F394" s="20"/>
      <c r="G394" s="21" t="str">
        <f t="shared" si="1"/>
        <v/>
      </c>
      <c r="H394" s="21" t="str">
        <f t="shared" si="2"/>
        <v/>
      </c>
      <c r="I394" s="19"/>
    </row>
    <row r="395" ht="15.75" customHeight="1">
      <c r="A395" s="3"/>
      <c r="B395" s="20"/>
      <c r="C395" s="21" t="str">
        <f>IF(A395="","",SUMIFS('Daily Ops'!$N$2:$N$401,'Daily Ops'!$A$2:$A$401,A395))</f>
        <v/>
      </c>
      <c r="D395" s="20"/>
      <c r="E395" s="20"/>
      <c r="F395" s="20"/>
      <c r="G395" s="21" t="str">
        <f t="shared" si="1"/>
        <v/>
      </c>
      <c r="H395" s="21" t="str">
        <f t="shared" si="2"/>
        <v/>
      </c>
      <c r="I395" s="19"/>
    </row>
    <row r="396" ht="15.75" customHeight="1">
      <c r="A396" s="3"/>
      <c r="B396" s="20"/>
      <c r="C396" s="21" t="str">
        <f>IF(A396="","",SUMIFS('Daily Ops'!$N$2:$N$401,'Daily Ops'!$A$2:$A$401,A396))</f>
        <v/>
      </c>
      <c r="D396" s="20"/>
      <c r="E396" s="20"/>
      <c r="F396" s="20"/>
      <c r="G396" s="21" t="str">
        <f t="shared" si="1"/>
        <v/>
      </c>
      <c r="H396" s="21" t="str">
        <f t="shared" si="2"/>
        <v/>
      </c>
      <c r="I396" s="19"/>
    </row>
    <row r="397" ht="15.75" customHeight="1">
      <c r="A397" s="3"/>
      <c r="B397" s="20"/>
      <c r="C397" s="21" t="str">
        <f>IF(A397="","",SUMIFS('Daily Ops'!$N$2:$N$401,'Daily Ops'!$A$2:$A$401,A397))</f>
        <v/>
      </c>
      <c r="D397" s="20"/>
      <c r="E397" s="20"/>
      <c r="F397" s="20"/>
      <c r="G397" s="21" t="str">
        <f t="shared" si="1"/>
        <v/>
      </c>
      <c r="H397" s="21" t="str">
        <f t="shared" si="2"/>
        <v/>
      </c>
      <c r="I397" s="19"/>
    </row>
    <row r="398" ht="15.75" customHeight="1">
      <c r="A398" s="3"/>
      <c r="B398" s="20"/>
      <c r="C398" s="21" t="str">
        <f>IF(A398="","",SUMIFS('Daily Ops'!$N$2:$N$401,'Daily Ops'!$A$2:$A$401,A398))</f>
        <v/>
      </c>
      <c r="D398" s="20"/>
      <c r="E398" s="20"/>
      <c r="F398" s="20"/>
      <c r="G398" s="21" t="str">
        <f t="shared" si="1"/>
        <v/>
      </c>
      <c r="H398" s="21" t="str">
        <f t="shared" si="2"/>
        <v/>
      </c>
      <c r="I398" s="19"/>
    </row>
    <row r="399" ht="15.75" customHeight="1">
      <c r="A399" s="3"/>
      <c r="B399" s="20"/>
      <c r="C399" s="21" t="str">
        <f>IF(A399="","",SUMIFS('Daily Ops'!$N$2:$N$401,'Daily Ops'!$A$2:$A$401,A399))</f>
        <v/>
      </c>
      <c r="D399" s="20"/>
      <c r="E399" s="20"/>
      <c r="F399" s="20"/>
      <c r="G399" s="21" t="str">
        <f t="shared" si="1"/>
        <v/>
      </c>
      <c r="H399" s="21" t="str">
        <f t="shared" si="2"/>
        <v/>
      </c>
      <c r="I399" s="19"/>
    </row>
    <row r="400" ht="15.75" customHeight="1">
      <c r="A400" s="3"/>
      <c r="B400" s="20"/>
      <c r="C400" s="21" t="str">
        <f>IF(A400="","",SUMIFS('Daily Ops'!$N$2:$N$401,'Daily Ops'!$A$2:$A$401,A400))</f>
        <v/>
      </c>
      <c r="D400" s="20"/>
      <c r="E400" s="20"/>
      <c r="F400" s="20"/>
      <c r="G400" s="21" t="str">
        <f t="shared" si="1"/>
        <v/>
      </c>
      <c r="H400" s="21" t="str">
        <f t="shared" si="2"/>
        <v/>
      </c>
      <c r="I400" s="19"/>
    </row>
    <row r="401" ht="15.75" customHeight="1">
      <c r="A401" s="3"/>
      <c r="B401" s="20"/>
      <c r="C401" s="21" t="str">
        <f>IF(A401="","",SUMIFS('Daily Ops'!$N$2:$N$401,'Daily Ops'!$A$2:$A$401,A401))</f>
        <v/>
      </c>
      <c r="D401" s="20"/>
      <c r="E401" s="20"/>
      <c r="F401" s="20"/>
      <c r="G401" s="21" t="str">
        <f t="shared" si="1"/>
        <v/>
      </c>
      <c r="H401" s="21" t="str">
        <f t="shared" si="2"/>
        <v/>
      </c>
      <c r="I401" s="19"/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36.0"/>
    <col customWidth="1" min="4" max="4" width="32.0"/>
    <col customWidth="1" min="5" max="5" width="18.0"/>
    <col customWidth="1" min="6" max="6" width="14.0"/>
    <col customWidth="1" min="7" max="26" width="8.71"/>
  </cols>
  <sheetData>
    <row r="1">
      <c r="A1" s="17" t="s">
        <v>29</v>
      </c>
      <c r="B1" s="17" t="s">
        <v>74</v>
      </c>
      <c r="C1" s="17" t="s">
        <v>75</v>
      </c>
      <c r="D1" s="17" t="s">
        <v>76</v>
      </c>
      <c r="E1" s="17" t="s">
        <v>77</v>
      </c>
      <c r="F1" s="17" t="s">
        <v>78</v>
      </c>
    </row>
    <row r="2">
      <c r="A2" s="3"/>
      <c r="B2" s="19"/>
      <c r="C2" s="19"/>
      <c r="D2" s="19"/>
      <c r="E2" s="19"/>
      <c r="F2" s="19"/>
    </row>
    <row r="3">
      <c r="A3" s="3"/>
      <c r="B3" s="19"/>
      <c r="C3" s="19"/>
      <c r="D3" s="19"/>
      <c r="E3" s="19"/>
      <c r="F3" s="19"/>
    </row>
    <row r="4">
      <c r="A4" s="3"/>
      <c r="B4" s="19"/>
      <c r="C4" s="19"/>
      <c r="D4" s="19"/>
      <c r="E4" s="19"/>
      <c r="F4" s="19"/>
    </row>
    <row r="5">
      <c r="A5" s="3"/>
      <c r="B5" s="19"/>
      <c r="C5" s="19"/>
      <c r="D5" s="19"/>
      <c r="E5" s="19"/>
      <c r="F5" s="19"/>
    </row>
    <row r="6">
      <c r="A6" s="3"/>
      <c r="B6" s="19"/>
      <c r="C6" s="19"/>
      <c r="D6" s="19"/>
      <c r="E6" s="19"/>
      <c r="F6" s="19"/>
    </row>
    <row r="7">
      <c r="A7" s="3"/>
      <c r="B7" s="19"/>
      <c r="C7" s="19"/>
      <c r="D7" s="19"/>
      <c r="E7" s="19"/>
      <c r="F7" s="19"/>
    </row>
    <row r="8">
      <c r="A8" s="3"/>
      <c r="B8" s="19"/>
      <c r="C8" s="19"/>
      <c r="D8" s="19"/>
      <c r="E8" s="19"/>
      <c r="F8" s="19"/>
    </row>
    <row r="9">
      <c r="A9" s="3"/>
      <c r="B9" s="19"/>
      <c r="C9" s="19"/>
      <c r="D9" s="19"/>
      <c r="E9" s="19"/>
      <c r="F9" s="19"/>
    </row>
    <row r="10">
      <c r="A10" s="3"/>
      <c r="B10" s="19"/>
      <c r="C10" s="19"/>
      <c r="D10" s="19"/>
      <c r="E10" s="19"/>
      <c r="F10" s="19"/>
    </row>
    <row r="11">
      <c r="A11" s="3"/>
      <c r="B11" s="19"/>
      <c r="C11" s="19"/>
      <c r="D11" s="19"/>
      <c r="E11" s="19"/>
      <c r="F11" s="19"/>
    </row>
    <row r="12">
      <c r="A12" s="3"/>
      <c r="B12" s="19"/>
      <c r="C12" s="19"/>
      <c r="D12" s="19"/>
      <c r="E12" s="19"/>
      <c r="F12" s="19"/>
    </row>
    <row r="13">
      <c r="A13" s="3"/>
      <c r="B13" s="19"/>
      <c r="C13" s="19"/>
      <c r="D13" s="19"/>
      <c r="E13" s="19"/>
      <c r="F13" s="19"/>
    </row>
    <row r="14">
      <c r="A14" s="3"/>
      <c r="B14" s="19"/>
      <c r="C14" s="19"/>
      <c r="D14" s="19"/>
      <c r="E14" s="19"/>
      <c r="F14" s="19"/>
    </row>
    <row r="15">
      <c r="A15" s="3"/>
      <c r="B15" s="19"/>
      <c r="C15" s="19"/>
      <c r="D15" s="19"/>
      <c r="E15" s="19"/>
      <c r="F15" s="19"/>
    </row>
    <row r="16">
      <c r="A16" s="3"/>
      <c r="B16" s="19"/>
      <c r="C16" s="19"/>
      <c r="D16" s="19"/>
      <c r="E16" s="19"/>
      <c r="F16" s="19"/>
    </row>
    <row r="17">
      <c r="A17" s="3"/>
      <c r="B17" s="19"/>
      <c r="C17" s="19"/>
      <c r="D17" s="19"/>
      <c r="E17" s="19"/>
      <c r="F17" s="19"/>
    </row>
    <row r="18">
      <c r="A18" s="3"/>
      <c r="B18" s="19"/>
      <c r="C18" s="19"/>
      <c r="D18" s="19"/>
      <c r="E18" s="19"/>
      <c r="F18" s="19"/>
    </row>
    <row r="19">
      <c r="A19" s="3"/>
      <c r="B19" s="19"/>
      <c r="C19" s="19"/>
      <c r="D19" s="19"/>
      <c r="E19" s="19"/>
      <c r="F19" s="19"/>
    </row>
    <row r="20">
      <c r="A20" s="3"/>
      <c r="B20" s="19"/>
      <c r="C20" s="19"/>
      <c r="D20" s="19"/>
      <c r="E20" s="19"/>
      <c r="F20" s="19"/>
    </row>
    <row r="21" ht="15.75" customHeight="1">
      <c r="A21" s="3"/>
      <c r="B21" s="19"/>
      <c r="C21" s="19"/>
      <c r="D21" s="19"/>
      <c r="E21" s="19"/>
      <c r="F21" s="19"/>
    </row>
    <row r="22" ht="15.75" customHeight="1">
      <c r="A22" s="3"/>
      <c r="B22" s="19"/>
      <c r="C22" s="19"/>
      <c r="D22" s="19"/>
      <c r="E22" s="19"/>
      <c r="F22" s="19"/>
    </row>
    <row r="23" ht="15.75" customHeight="1">
      <c r="A23" s="3"/>
      <c r="B23" s="19"/>
      <c r="C23" s="19"/>
      <c r="D23" s="19"/>
      <c r="E23" s="19"/>
      <c r="F23" s="19"/>
    </row>
    <row r="24" ht="15.75" customHeight="1">
      <c r="A24" s="3"/>
      <c r="B24" s="19"/>
      <c r="C24" s="19"/>
      <c r="D24" s="19"/>
      <c r="E24" s="19"/>
      <c r="F24" s="19"/>
    </row>
    <row r="25" ht="15.75" customHeight="1">
      <c r="A25" s="3"/>
      <c r="B25" s="19"/>
      <c r="C25" s="19"/>
      <c r="D25" s="19"/>
      <c r="E25" s="19"/>
      <c r="F25" s="19"/>
    </row>
    <row r="26" ht="15.75" customHeight="1">
      <c r="A26" s="3"/>
      <c r="B26" s="19"/>
      <c r="C26" s="19"/>
      <c r="D26" s="19"/>
      <c r="E26" s="19"/>
      <c r="F26" s="19"/>
    </row>
    <row r="27" ht="15.75" customHeight="1">
      <c r="A27" s="3"/>
      <c r="B27" s="19"/>
      <c r="C27" s="19"/>
      <c r="D27" s="19"/>
      <c r="E27" s="19"/>
      <c r="F27" s="19"/>
    </row>
    <row r="28" ht="15.75" customHeight="1">
      <c r="A28" s="3"/>
      <c r="B28" s="19"/>
      <c r="C28" s="19"/>
      <c r="D28" s="19"/>
      <c r="E28" s="19"/>
      <c r="F28" s="19"/>
    </row>
    <row r="29" ht="15.75" customHeight="1">
      <c r="A29" s="3"/>
      <c r="B29" s="19"/>
      <c r="C29" s="19"/>
      <c r="D29" s="19"/>
      <c r="E29" s="19"/>
      <c r="F29" s="19"/>
    </row>
    <row r="30" ht="15.75" customHeight="1">
      <c r="A30" s="3"/>
      <c r="B30" s="19"/>
      <c r="C30" s="19"/>
      <c r="D30" s="19"/>
      <c r="E30" s="19"/>
      <c r="F30" s="19"/>
    </row>
    <row r="31" ht="15.75" customHeight="1">
      <c r="A31" s="3"/>
      <c r="B31" s="19"/>
      <c r="C31" s="19"/>
      <c r="D31" s="19"/>
      <c r="E31" s="19"/>
      <c r="F31" s="19"/>
    </row>
    <row r="32" ht="15.75" customHeight="1">
      <c r="A32" s="3"/>
      <c r="B32" s="19"/>
      <c r="C32" s="19"/>
      <c r="D32" s="19"/>
      <c r="E32" s="19"/>
      <c r="F32" s="19"/>
    </row>
    <row r="33" ht="15.75" customHeight="1">
      <c r="A33" s="3"/>
      <c r="B33" s="19"/>
      <c r="C33" s="19"/>
      <c r="D33" s="19"/>
      <c r="E33" s="19"/>
      <c r="F33" s="19"/>
    </row>
    <row r="34" ht="15.75" customHeight="1">
      <c r="A34" s="3"/>
      <c r="B34" s="19"/>
      <c r="C34" s="19"/>
      <c r="D34" s="19"/>
      <c r="E34" s="19"/>
      <c r="F34" s="19"/>
    </row>
    <row r="35" ht="15.75" customHeight="1">
      <c r="A35" s="3"/>
      <c r="B35" s="19"/>
      <c r="C35" s="19"/>
      <c r="D35" s="19"/>
      <c r="E35" s="19"/>
      <c r="F35" s="19"/>
    </row>
    <row r="36" ht="15.75" customHeight="1">
      <c r="A36" s="3"/>
      <c r="B36" s="19"/>
      <c r="C36" s="19"/>
      <c r="D36" s="19"/>
      <c r="E36" s="19"/>
      <c r="F36" s="19"/>
    </row>
    <row r="37" ht="15.75" customHeight="1">
      <c r="A37" s="3"/>
      <c r="B37" s="19"/>
      <c r="C37" s="19"/>
      <c r="D37" s="19"/>
      <c r="E37" s="19"/>
      <c r="F37" s="19"/>
    </row>
    <row r="38" ht="15.75" customHeight="1">
      <c r="A38" s="3"/>
      <c r="B38" s="19"/>
      <c r="C38" s="19"/>
      <c r="D38" s="19"/>
      <c r="E38" s="19"/>
      <c r="F38" s="19"/>
    </row>
    <row r="39" ht="15.75" customHeight="1">
      <c r="A39" s="3"/>
      <c r="B39" s="19"/>
      <c r="C39" s="19"/>
      <c r="D39" s="19"/>
      <c r="E39" s="19"/>
      <c r="F39" s="19"/>
    </row>
    <row r="40" ht="15.75" customHeight="1">
      <c r="A40" s="3"/>
      <c r="B40" s="19"/>
      <c r="C40" s="19"/>
      <c r="D40" s="19"/>
      <c r="E40" s="19"/>
      <c r="F40" s="19"/>
    </row>
    <row r="41" ht="15.75" customHeight="1">
      <c r="A41" s="3"/>
      <c r="B41" s="19"/>
      <c r="C41" s="19"/>
      <c r="D41" s="19"/>
      <c r="E41" s="19"/>
      <c r="F41" s="19"/>
    </row>
    <row r="42" ht="15.75" customHeight="1">
      <c r="A42" s="3"/>
      <c r="B42" s="19"/>
      <c r="C42" s="19"/>
      <c r="D42" s="19"/>
      <c r="E42" s="19"/>
      <c r="F42" s="19"/>
    </row>
    <row r="43" ht="15.75" customHeight="1">
      <c r="A43" s="3"/>
      <c r="B43" s="19"/>
      <c r="C43" s="19"/>
      <c r="D43" s="19"/>
      <c r="E43" s="19"/>
      <c r="F43" s="19"/>
    </row>
    <row r="44" ht="15.75" customHeight="1">
      <c r="A44" s="3"/>
      <c r="B44" s="19"/>
      <c r="C44" s="19"/>
      <c r="D44" s="19"/>
      <c r="E44" s="19"/>
      <c r="F44" s="19"/>
    </row>
    <row r="45" ht="15.75" customHeight="1">
      <c r="A45" s="3"/>
      <c r="B45" s="19"/>
      <c r="C45" s="19"/>
      <c r="D45" s="19"/>
      <c r="E45" s="19"/>
      <c r="F45" s="19"/>
    </row>
    <row r="46" ht="15.75" customHeight="1">
      <c r="A46" s="3"/>
      <c r="B46" s="19"/>
      <c r="C46" s="19"/>
      <c r="D46" s="19"/>
      <c r="E46" s="19"/>
      <c r="F46" s="19"/>
    </row>
    <row r="47" ht="15.75" customHeight="1">
      <c r="A47" s="3"/>
      <c r="B47" s="19"/>
      <c r="C47" s="19"/>
      <c r="D47" s="19"/>
      <c r="E47" s="19"/>
      <c r="F47" s="19"/>
    </row>
    <row r="48" ht="15.75" customHeight="1">
      <c r="A48" s="3"/>
      <c r="B48" s="19"/>
      <c r="C48" s="19"/>
      <c r="D48" s="19"/>
      <c r="E48" s="19"/>
      <c r="F48" s="19"/>
    </row>
    <row r="49" ht="15.75" customHeight="1">
      <c r="A49" s="3"/>
      <c r="B49" s="19"/>
      <c r="C49" s="19"/>
      <c r="D49" s="19"/>
      <c r="E49" s="19"/>
      <c r="F49" s="19"/>
    </row>
    <row r="50" ht="15.75" customHeight="1">
      <c r="A50" s="3"/>
      <c r="B50" s="19"/>
      <c r="C50" s="19"/>
      <c r="D50" s="19"/>
      <c r="E50" s="19"/>
      <c r="F50" s="19"/>
    </row>
    <row r="51" ht="15.75" customHeight="1">
      <c r="A51" s="3"/>
      <c r="B51" s="19"/>
      <c r="C51" s="19"/>
      <c r="D51" s="19"/>
      <c r="E51" s="19"/>
      <c r="F51" s="19"/>
    </row>
    <row r="52" ht="15.75" customHeight="1">
      <c r="A52" s="3"/>
      <c r="B52" s="19"/>
      <c r="C52" s="19"/>
      <c r="D52" s="19"/>
      <c r="E52" s="19"/>
      <c r="F52" s="19"/>
    </row>
    <row r="53" ht="15.75" customHeight="1">
      <c r="A53" s="3"/>
      <c r="B53" s="19"/>
      <c r="C53" s="19"/>
      <c r="D53" s="19"/>
      <c r="E53" s="19"/>
      <c r="F53" s="19"/>
    </row>
    <row r="54" ht="15.75" customHeight="1">
      <c r="A54" s="3"/>
      <c r="B54" s="19"/>
      <c r="C54" s="19"/>
      <c r="D54" s="19"/>
      <c r="E54" s="19"/>
      <c r="F54" s="19"/>
    </row>
    <row r="55" ht="15.75" customHeight="1">
      <c r="A55" s="3"/>
      <c r="B55" s="19"/>
      <c r="C55" s="19"/>
      <c r="D55" s="19"/>
      <c r="E55" s="19"/>
      <c r="F55" s="19"/>
    </row>
    <row r="56" ht="15.75" customHeight="1">
      <c r="A56" s="3"/>
      <c r="B56" s="19"/>
      <c r="C56" s="19"/>
      <c r="D56" s="19"/>
      <c r="E56" s="19"/>
      <c r="F56" s="19"/>
    </row>
    <row r="57" ht="15.75" customHeight="1">
      <c r="A57" s="3"/>
      <c r="B57" s="19"/>
      <c r="C57" s="19"/>
      <c r="D57" s="19"/>
      <c r="E57" s="19"/>
      <c r="F57" s="19"/>
    </row>
    <row r="58" ht="15.75" customHeight="1">
      <c r="A58" s="3"/>
      <c r="B58" s="19"/>
      <c r="C58" s="19"/>
      <c r="D58" s="19"/>
      <c r="E58" s="19"/>
      <c r="F58" s="19"/>
    </row>
    <row r="59" ht="15.75" customHeight="1">
      <c r="A59" s="3"/>
      <c r="B59" s="19"/>
      <c r="C59" s="19"/>
      <c r="D59" s="19"/>
      <c r="E59" s="19"/>
      <c r="F59" s="19"/>
    </row>
    <row r="60" ht="15.75" customHeight="1">
      <c r="A60" s="3"/>
      <c r="B60" s="19"/>
      <c r="C60" s="19"/>
      <c r="D60" s="19"/>
      <c r="E60" s="19"/>
      <c r="F60" s="19"/>
    </row>
    <row r="61" ht="15.75" customHeight="1">
      <c r="A61" s="3"/>
      <c r="B61" s="19"/>
      <c r="C61" s="19"/>
      <c r="D61" s="19"/>
      <c r="E61" s="19"/>
      <c r="F61" s="19"/>
    </row>
    <row r="62" ht="15.75" customHeight="1">
      <c r="A62" s="3"/>
      <c r="B62" s="19"/>
      <c r="C62" s="19"/>
      <c r="D62" s="19"/>
      <c r="E62" s="19"/>
      <c r="F62" s="19"/>
    </row>
    <row r="63" ht="15.75" customHeight="1">
      <c r="A63" s="3"/>
      <c r="B63" s="19"/>
      <c r="C63" s="19"/>
      <c r="D63" s="19"/>
      <c r="E63" s="19"/>
      <c r="F63" s="19"/>
    </row>
    <row r="64" ht="15.75" customHeight="1">
      <c r="A64" s="3"/>
      <c r="B64" s="19"/>
      <c r="C64" s="19"/>
      <c r="D64" s="19"/>
      <c r="E64" s="19"/>
      <c r="F64" s="19"/>
    </row>
    <row r="65" ht="15.75" customHeight="1">
      <c r="A65" s="3"/>
      <c r="B65" s="19"/>
      <c r="C65" s="19"/>
      <c r="D65" s="19"/>
      <c r="E65" s="19"/>
      <c r="F65" s="19"/>
    </row>
    <row r="66" ht="15.75" customHeight="1">
      <c r="A66" s="3"/>
      <c r="B66" s="19"/>
      <c r="C66" s="19"/>
      <c r="D66" s="19"/>
      <c r="E66" s="19"/>
      <c r="F66" s="19"/>
    </row>
    <row r="67" ht="15.75" customHeight="1">
      <c r="A67" s="3"/>
      <c r="B67" s="19"/>
      <c r="C67" s="19"/>
      <c r="D67" s="19"/>
      <c r="E67" s="19"/>
      <c r="F67" s="19"/>
    </row>
    <row r="68" ht="15.75" customHeight="1">
      <c r="A68" s="3"/>
      <c r="B68" s="19"/>
      <c r="C68" s="19"/>
      <c r="D68" s="19"/>
      <c r="E68" s="19"/>
      <c r="F68" s="19"/>
    </row>
    <row r="69" ht="15.75" customHeight="1">
      <c r="A69" s="3"/>
      <c r="B69" s="19"/>
      <c r="C69" s="19"/>
      <c r="D69" s="19"/>
      <c r="E69" s="19"/>
      <c r="F69" s="19"/>
    </row>
    <row r="70" ht="15.75" customHeight="1">
      <c r="A70" s="3"/>
      <c r="B70" s="19"/>
      <c r="C70" s="19"/>
      <c r="D70" s="19"/>
      <c r="E70" s="19"/>
      <c r="F70" s="19"/>
    </row>
    <row r="71" ht="15.75" customHeight="1">
      <c r="A71" s="3"/>
      <c r="B71" s="19"/>
      <c r="C71" s="19"/>
      <c r="D71" s="19"/>
      <c r="E71" s="19"/>
      <c r="F71" s="19"/>
    </row>
    <row r="72" ht="15.75" customHeight="1">
      <c r="A72" s="3"/>
      <c r="B72" s="19"/>
      <c r="C72" s="19"/>
      <c r="D72" s="19"/>
      <c r="E72" s="19"/>
      <c r="F72" s="19"/>
    </row>
    <row r="73" ht="15.75" customHeight="1">
      <c r="A73" s="3"/>
      <c r="B73" s="19"/>
      <c r="C73" s="19"/>
      <c r="D73" s="19"/>
      <c r="E73" s="19"/>
      <c r="F73" s="19"/>
    </row>
    <row r="74" ht="15.75" customHeight="1">
      <c r="A74" s="3"/>
      <c r="B74" s="19"/>
      <c r="C74" s="19"/>
      <c r="D74" s="19"/>
      <c r="E74" s="19"/>
      <c r="F74" s="19"/>
    </row>
    <row r="75" ht="15.75" customHeight="1">
      <c r="A75" s="3"/>
      <c r="B75" s="19"/>
      <c r="C75" s="19"/>
      <c r="D75" s="19"/>
      <c r="E75" s="19"/>
      <c r="F75" s="19"/>
    </row>
    <row r="76" ht="15.75" customHeight="1">
      <c r="A76" s="3"/>
      <c r="B76" s="19"/>
      <c r="C76" s="19"/>
      <c r="D76" s="19"/>
      <c r="E76" s="19"/>
      <c r="F76" s="19"/>
    </row>
    <row r="77" ht="15.75" customHeight="1">
      <c r="A77" s="3"/>
      <c r="B77" s="19"/>
      <c r="C77" s="19"/>
      <c r="D77" s="19"/>
      <c r="E77" s="19"/>
      <c r="F77" s="19"/>
    </row>
    <row r="78" ht="15.75" customHeight="1">
      <c r="A78" s="3"/>
      <c r="B78" s="19"/>
      <c r="C78" s="19"/>
      <c r="D78" s="19"/>
      <c r="E78" s="19"/>
      <c r="F78" s="19"/>
    </row>
    <row r="79" ht="15.75" customHeight="1">
      <c r="A79" s="3"/>
      <c r="B79" s="19"/>
      <c r="C79" s="19"/>
      <c r="D79" s="19"/>
      <c r="E79" s="19"/>
      <c r="F79" s="19"/>
    </row>
    <row r="80" ht="15.75" customHeight="1">
      <c r="A80" s="3"/>
      <c r="B80" s="19"/>
      <c r="C80" s="19"/>
      <c r="D80" s="19"/>
      <c r="E80" s="19"/>
      <c r="F80" s="19"/>
    </row>
    <row r="81" ht="15.75" customHeight="1">
      <c r="A81" s="3"/>
      <c r="B81" s="19"/>
      <c r="C81" s="19"/>
      <c r="D81" s="19"/>
      <c r="E81" s="19"/>
      <c r="F81" s="19"/>
    </row>
    <row r="82" ht="15.75" customHeight="1">
      <c r="A82" s="3"/>
      <c r="B82" s="19"/>
      <c r="C82" s="19"/>
      <c r="D82" s="19"/>
      <c r="E82" s="19"/>
      <c r="F82" s="19"/>
    </row>
    <row r="83" ht="15.75" customHeight="1">
      <c r="A83" s="3"/>
      <c r="B83" s="19"/>
      <c r="C83" s="19"/>
      <c r="D83" s="19"/>
      <c r="E83" s="19"/>
      <c r="F83" s="19"/>
    </row>
    <row r="84" ht="15.75" customHeight="1">
      <c r="A84" s="3"/>
      <c r="B84" s="19"/>
      <c r="C84" s="19"/>
      <c r="D84" s="19"/>
      <c r="E84" s="19"/>
      <c r="F84" s="19"/>
    </row>
    <row r="85" ht="15.75" customHeight="1">
      <c r="A85" s="3"/>
      <c r="B85" s="19"/>
      <c r="C85" s="19"/>
      <c r="D85" s="19"/>
      <c r="E85" s="19"/>
      <c r="F85" s="19"/>
    </row>
    <row r="86" ht="15.75" customHeight="1">
      <c r="A86" s="3"/>
      <c r="B86" s="19"/>
      <c r="C86" s="19"/>
      <c r="D86" s="19"/>
      <c r="E86" s="19"/>
      <c r="F86" s="19"/>
    </row>
    <row r="87" ht="15.75" customHeight="1">
      <c r="A87" s="3"/>
      <c r="B87" s="19"/>
      <c r="C87" s="19"/>
      <c r="D87" s="19"/>
      <c r="E87" s="19"/>
      <c r="F87" s="19"/>
    </row>
    <row r="88" ht="15.75" customHeight="1">
      <c r="A88" s="3"/>
      <c r="B88" s="19"/>
      <c r="C88" s="19"/>
      <c r="D88" s="19"/>
      <c r="E88" s="19"/>
      <c r="F88" s="19"/>
    </row>
    <row r="89" ht="15.75" customHeight="1">
      <c r="A89" s="3"/>
      <c r="B89" s="19"/>
      <c r="C89" s="19"/>
      <c r="D89" s="19"/>
      <c r="E89" s="19"/>
      <c r="F89" s="19"/>
    </row>
    <row r="90" ht="15.75" customHeight="1">
      <c r="A90" s="3"/>
      <c r="B90" s="19"/>
      <c r="C90" s="19"/>
      <c r="D90" s="19"/>
      <c r="E90" s="19"/>
      <c r="F90" s="19"/>
    </row>
    <row r="91" ht="15.75" customHeight="1">
      <c r="A91" s="3"/>
      <c r="B91" s="19"/>
      <c r="C91" s="19"/>
      <c r="D91" s="19"/>
      <c r="E91" s="19"/>
      <c r="F91" s="19"/>
    </row>
    <row r="92" ht="15.75" customHeight="1">
      <c r="A92" s="3"/>
      <c r="B92" s="19"/>
      <c r="C92" s="19"/>
      <c r="D92" s="19"/>
      <c r="E92" s="19"/>
      <c r="F92" s="19"/>
    </row>
    <row r="93" ht="15.75" customHeight="1">
      <c r="A93" s="3"/>
      <c r="B93" s="19"/>
      <c r="C93" s="19"/>
      <c r="D93" s="19"/>
      <c r="E93" s="19"/>
      <c r="F93" s="19"/>
    </row>
    <row r="94" ht="15.75" customHeight="1">
      <c r="A94" s="3"/>
      <c r="B94" s="19"/>
      <c r="C94" s="19"/>
      <c r="D94" s="19"/>
      <c r="E94" s="19"/>
      <c r="F94" s="19"/>
    </row>
    <row r="95" ht="15.75" customHeight="1">
      <c r="A95" s="3"/>
      <c r="B95" s="19"/>
      <c r="C95" s="19"/>
      <c r="D95" s="19"/>
      <c r="E95" s="19"/>
      <c r="F95" s="19"/>
    </row>
    <row r="96" ht="15.75" customHeight="1">
      <c r="A96" s="3"/>
      <c r="B96" s="19"/>
      <c r="C96" s="19"/>
      <c r="D96" s="19"/>
      <c r="E96" s="19"/>
      <c r="F96" s="19"/>
    </row>
    <row r="97" ht="15.75" customHeight="1">
      <c r="A97" s="3"/>
      <c r="B97" s="19"/>
      <c r="C97" s="19"/>
      <c r="D97" s="19"/>
      <c r="E97" s="19"/>
      <c r="F97" s="19"/>
    </row>
    <row r="98" ht="15.75" customHeight="1">
      <c r="A98" s="3"/>
      <c r="B98" s="19"/>
      <c r="C98" s="19"/>
      <c r="D98" s="19"/>
      <c r="E98" s="19"/>
      <c r="F98" s="19"/>
    </row>
    <row r="99" ht="15.75" customHeight="1">
      <c r="A99" s="3"/>
      <c r="B99" s="19"/>
      <c r="C99" s="19"/>
      <c r="D99" s="19"/>
      <c r="E99" s="19"/>
      <c r="F99" s="19"/>
    </row>
    <row r="100" ht="15.75" customHeight="1">
      <c r="A100" s="3"/>
      <c r="B100" s="19"/>
      <c r="C100" s="19"/>
      <c r="D100" s="19"/>
      <c r="E100" s="19"/>
      <c r="F100" s="19"/>
    </row>
    <row r="101" ht="15.75" customHeight="1">
      <c r="A101" s="3"/>
      <c r="B101" s="19"/>
      <c r="C101" s="19"/>
      <c r="D101" s="19"/>
      <c r="E101" s="19"/>
      <c r="F101" s="19"/>
    </row>
    <row r="102" ht="15.75" customHeight="1">
      <c r="A102" s="3"/>
      <c r="B102" s="19"/>
      <c r="C102" s="19"/>
      <c r="D102" s="19"/>
      <c r="E102" s="19"/>
      <c r="F102" s="19"/>
    </row>
    <row r="103" ht="15.75" customHeight="1">
      <c r="A103" s="3"/>
      <c r="B103" s="19"/>
      <c r="C103" s="19"/>
      <c r="D103" s="19"/>
      <c r="E103" s="19"/>
      <c r="F103" s="19"/>
    </row>
    <row r="104" ht="15.75" customHeight="1">
      <c r="A104" s="3"/>
      <c r="B104" s="19"/>
      <c r="C104" s="19"/>
      <c r="D104" s="19"/>
      <c r="E104" s="19"/>
      <c r="F104" s="19"/>
    </row>
    <row r="105" ht="15.75" customHeight="1">
      <c r="A105" s="3"/>
      <c r="B105" s="19"/>
      <c r="C105" s="19"/>
      <c r="D105" s="19"/>
      <c r="E105" s="19"/>
      <c r="F105" s="19"/>
    </row>
    <row r="106" ht="15.75" customHeight="1">
      <c r="A106" s="3"/>
      <c r="B106" s="19"/>
      <c r="C106" s="19"/>
      <c r="D106" s="19"/>
      <c r="E106" s="19"/>
      <c r="F106" s="19"/>
    </row>
    <row r="107" ht="15.75" customHeight="1">
      <c r="A107" s="3"/>
      <c r="B107" s="19"/>
      <c r="C107" s="19"/>
      <c r="D107" s="19"/>
      <c r="E107" s="19"/>
      <c r="F107" s="19"/>
    </row>
    <row r="108" ht="15.75" customHeight="1">
      <c r="A108" s="3"/>
      <c r="B108" s="19"/>
      <c r="C108" s="19"/>
      <c r="D108" s="19"/>
      <c r="E108" s="19"/>
      <c r="F108" s="19"/>
    </row>
    <row r="109" ht="15.75" customHeight="1">
      <c r="A109" s="3"/>
      <c r="B109" s="19"/>
      <c r="C109" s="19"/>
      <c r="D109" s="19"/>
      <c r="E109" s="19"/>
      <c r="F109" s="19"/>
    </row>
    <row r="110" ht="15.75" customHeight="1">
      <c r="A110" s="3"/>
      <c r="B110" s="19"/>
      <c r="C110" s="19"/>
      <c r="D110" s="19"/>
      <c r="E110" s="19"/>
      <c r="F110" s="19"/>
    </row>
    <row r="111" ht="15.75" customHeight="1">
      <c r="A111" s="3"/>
      <c r="B111" s="19"/>
      <c r="C111" s="19"/>
      <c r="D111" s="19"/>
      <c r="E111" s="19"/>
      <c r="F111" s="19"/>
    </row>
    <row r="112" ht="15.75" customHeight="1">
      <c r="A112" s="3"/>
      <c r="B112" s="19"/>
      <c r="C112" s="19"/>
      <c r="D112" s="19"/>
      <c r="E112" s="19"/>
      <c r="F112" s="19"/>
    </row>
    <row r="113" ht="15.75" customHeight="1">
      <c r="A113" s="3"/>
      <c r="B113" s="19"/>
      <c r="C113" s="19"/>
      <c r="D113" s="19"/>
      <c r="E113" s="19"/>
      <c r="F113" s="19"/>
    </row>
    <row r="114" ht="15.75" customHeight="1">
      <c r="A114" s="3"/>
      <c r="B114" s="19"/>
      <c r="C114" s="19"/>
      <c r="D114" s="19"/>
      <c r="E114" s="19"/>
      <c r="F114" s="19"/>
    </row>
    <row r="115" ht="15.75" customHeight="1">
      <c r="A115" s="3"/>
      <c r="B115" s="19"/>
      <c r="C115" s="19"/>
      <c r="D115" s="19"/>
      <c r="E115" s="19"/>
      <c r="F115" s="19"/>
    </row>
    <row r="116" ht="15.75" customHeight="1">
      <c r="A116" s="3"/>
      <c r="B116" s="19"/>
      <c r="C116" s="19"/>
      <c r="D116" s="19"/>
      <c r="E116" s="19"/>
      <c r="F116" s="19"/>
    </row>
    <row r="117" ht="15.75" customHeight="1">
      <c r="A117" s="3"/>
      <c r="B117" s="19"/>
      <c r="C117" s="19"/>
      <c r="D117" s="19"/>
      <c r="E117" s="19"/>
      <c r="F117" s="19"/>
    </row>
    <row r="118" ht="15.75" customHeight="1">
      <c r="A118" s="3"/>
      <c r="B118" s="19"/>
      <c r="C118" s="19"/>
      <c r="D118" s="19"/>
      <c r="E118" s="19"/>
      <c r="F118" s="19"/>
    </row>
    <row r="119" ht="15.75" customHeight="1">
      <c r="A119" s="3"/>
      <c r="B119" s="19"/>
      <c r="C119" s="19"/>
      <c r="D119" s="19"/>
      <c r="E119" s="19"/>
      <c r="F119" s="19"/>
    </row>
    <row r="120" ht="15.75" customHeight="1">
      <c r="A120" s="3"/>
      <c r="B120" s="19"/>
      <c r="C120" s="19"/>
      <c r="D120" s="19"/>
      <c r="E120" s="19"/>
      <c r="F120" s="19"/>
    </row>
    <row r="121" ht="15.75" customHeight="1">
      <c r="A121" s="3"/>
      <c r="B121" s="19"/>
      <c r="C121" s="19"/>
      <c r="D121" s="19"/>
      <c r="E121" s="19"/>
      <c r="F121" s="19"/>
    </row>
    <row r="122" ht="15.75" customHeight="1">
      <c r="A122" s="3"/>
      <c r="B122" s="19"/>
      <c r="C122" s="19"/>
      <c r="D122" s="19"/>
      <c r="E122" s="19"/>
      <c r="F122" s="19"/>
    </row>
    <row r="123" ht="15.75" customHeight="1">
      <c r="A123" s="3"/>
      <c r="B123" s="19"/>
      <c r="C123" s="19"/>
      <c r="D123" s="19"/>
      <c r="E123" s="19"/>
      <c r="F123" s="19"/>
    </row>
    <row r="124" ht="15.75" customHeight="1">
      <c r="A124" s="3"/>
      <c r="B124" s="19"/>
      <c r="C124" s="19"/>
      <c r="D124" s="19"/>
      <c r="E124" s="19"/>
      <c r="F124" s="19"/>
    </row>
    <row r="125" ht="15.75" customHeight="1">
      <c r="A125" s="3"/>
      <c r="B125" s="19"/>
      <c r="C125" s="19"/>
      <c r="D125" s="19"/>
      <c r="E125" s="19"/>
      <c r="F125" s="19"/>
    </row>
    <row r="126" ht="15.75" customHeight="1">
      <c r="A126" s="3"/>
      <c r="B126" s="19"/>
      <c r="C126" s="19"/>
      <c r="D126" s="19"/>
      <c r="E126" s="19"/>
      <c r="F126" s="19"/>
    </row>
    <row r="127" ht="15.75" customHeight="1">
      <c r="A127" s="3"/>
      <c r="B127" s="19"/>
      <c r="C127" s="19"/>
      <c r="D127" s="19"/>
      <c r="E127" s="19"/>
      <c r="F127" s="19"/>
    </row>
    <row r="128" ht="15.75" customHeight="1">
      <c r="A128" s="3"/>
      <c r="B128" s="19"/>
      <c r="C128" s="19"/>
      <c r="D128" s="19"/>
      <c r="E128" s="19"/>
      <c r="F128" s="19"/>
    </row>
    <row r="129" ht="15.75" customHeight="1">
      <c r="A129" s="3"/>
      <c r="B129" s="19"/>
      <c r="C129" s="19"/>
      <c r="D129" s="19"/>
      <c r="E129" s="19"/>
      <c r="F129" s="19"/>
    </row>
    <row r="130" ht="15.75" customHeight="1">
      <c r="A130" s="3"/>
      <c r="B130" s="19"/>
      <c r="C130" s="19"/>
      <c r="D130" s="19"/>
      <c r="E130" s="19"/>
      <c r="F130" s="19"/>
    </row>
    <row r="131" ht="15.75" customHeight="1">
      <c r="A131" s="3"/>
      <c r="B131" s="19"/>
      <c r="C131" s="19"/>
      <c r="D131" s="19"/>
      <c r="E131" s="19"/>
      <c r="F131" s="19"/>
    </row>
    <row r="132" ht="15.75" customHeight="1">
      <c r="A132" s="3"/>
      <c r="B132" s="19"/>
      <c r="C132" s="19"/>
      <c r="D132" s="19"/>
      <c r="E132" s="19"/>
      <c r="F132" s="19"/>
    </row>
    <row r="133" ht="15.75" customHeight="1">
      <c r="A133" s="3"/>
      <c r="B133" s="19"/>
      <c r="C133" s="19"/>
      <c r="D133" s="19"/>
      <c r="E133" s="19"/>
      <c r="F133" s="19"/>
    </row>
    <row r="134" ht="15.75" customHeight="1">
      <c r="A134" s="3"/>
      <c r="B134" s="19"/>
      <c r="C134" s="19"/>
      <c r="D134" s="19"/>
      <c r="E134" s="19"/>
      <c r="F134" s="19"/>
    </row>
    <row r="135" ht="15.75" customHeight="1">
      <c r="A135" s="3"/>
      <c r="B135" s="19"/>
      <c r="C135" s="19"/>
      <c r="D135" s="19"/>
      <c r="E135" s="19"/>
      <c r="F135" s="19"/>
    </row>
    <row r="136" ht="15.75" customHeight="1">
      <c r="A136" s="3"/>
      <c r="B136" s="19"/>
      <c r="C136" s="19"/>
      <c r="D136" s="19"/>
      <c r="E136" s="19"/>
      <c r="F136" s="19"/>
    </row>
    <row r="137" ht="15.75" customHeight="1">
      <c r="A137" s="3"/>
      <c r="B137" s="19"/>
      <c r="C137" s="19"/>
      <c r="D137" s="19"/>
      <c r="E137" s="19"/>
      <c r="F137" s="19"/>
    </row>
    <row r="138" ht="15.75" customHeight="1">
      <c r="A138" s="3"/>
      <c r="B138" s="19"/>
      <c r="C138" s="19"/>
      <c r="D138" s="19"/>
      <c r="E138" s="19"/>
      <c r="F138" s="19"/>
    </row>
    <row r="139" ht="15.75" customHeight="1">
      <c r="A139" s="3"/>
      <c r="B139" s="19"/>
      <c r="C139" s="19"/>
      <c r="D139" s="19"/>
      <c r="E139" s="19"/>
      <c r="F139" s="19"/>
    </row>
    <row r="140" ht="15.75" customHeight="1">
      <c r="A140" s="3"/>
      <c r="B140" s="19"/>
      <c r="C140" s="19"/>
      <c r="D140" s="19"/>
      <c r="E140" s="19"/>
      <c r="F140" s="19"/>
    </row>
    <row r="141" ht="15.75" customHeight="1">
      <c r="A141" s="3"/>
      <c r="B141" s="19"/>
      <c r="C141" s="19"/>
      <c r="D141" s="19"/>
      <c r="E141" s="19"/>
      <c r="F141" s="19"/>
    </row>
    <row r="142" ht="15.75" customHeight="1">
      <c r="A142" s="3"/>
      <c r="B142" s="19"/>
      <c r="C142" s="19"/>
      <c r="D142" s="19"/>
      <c r="E142" s="19"/>
      <c r="F142" s="19"/>
    </row>
    <row r="143" ht="15.75" customHeight="1">
      <c r="A143" s="3"/>
      <c r="B143" s="19"/>
      <c r="C143" s="19"/>
      <c r="D143" s="19"/>
      <c r="E143" s="19"/>
      <c r="F143" s="19"/>
    </row>
    <row r="144" ht="15.75" customHeight="1">
      <c r="A144" s="3"/>
      <c r="B144" s="19"/>
      <c r="C144" s="19"/>
      <c r="D144" s="19"/>
      <c r="E144" s="19"/>
      <c r="F144" s="19"/>
    </row>
    <row r="145" ht="15.75" customHeight="1">
      <c r="A145" s="3"/>
      <c r="B145" s="19"/>
      <c r="C145" s="19"/>
      <c r="D145" s="19"/>
      <c r="E145" s="19"/>
      <c r="F145" s="19"/>
    </row>
    <row r="146" ht="15.75" customHeight="1">
      <c r="A146" s="3"/>
      <c r="B146" s="19"/>
      <c r="C146" s="19"/>
      <c r="D146" s="19"/>
      <c r="E146" s="19"/>
      <c r="F146" s="19"/>
    </row>
    <row r="147" ht="15.75" customHeight="1">
      <c r="A147" s="3"/>
      <c r="B147" s="19"/>
      <c r="C147" s="19"/>
      <c r="D147" s="19"/>
      <c r="E147" s="19"/>
      <c r="F147" s="19"/>
    </row>
    <row r="148" ht="15.75" customHeight="1">
      <c r="A148" s="3"/>
      <c r="B148" s="19"/>
      <c r="C148" s="19"/>
      <c r="D148" s="19"/>
      <c r="E148" s="19"/>
      <c r="F148" s="19"/>
    </row>
    <row r="149" ht="15.75" customHeight="1">
      <c r="A149" s="3"/>
      <c r="B149" s="19"/>
      <c r="C149" s="19"/>
      <c r="D149" s="19"/>
      <c r="E149" s="19"/>
      <c r="F149" s="19"/>
    </row>
    <row r="150" ht="15.75" customHeight="1">
      <c r="A150" s="3"/>
      <c r="B150" s="19"/>
      <c r="C150" s="19"/>
      <c r="D150" s="19"/>
      <c r="E150" s="19"/>
      <c r="F150" s="19"/>
    </row>
    <row r="151" ht="15.75" customHeight="1">
      <c r="A151" s="3"/>
      <c r="B151" s="19"/>
      <c r="C151" s="19"/>
      <c r="D151" s="19"/>
      <c r="E151" s="19"/>
      <c r="F151" s="19"/>
    </row>
    <row r="152" ht="15.75" customHeight="1">
      <c r="A152" s="3"/>
      <c r="B152" s="19"/>
      <c r="C152" s="19"/>
      <c r="D152" s="19"/>
      <c r="E152" s="19"/>
      <c r="F152" s="19"/>
    </row>
    <row r="153" ht="15.75" customHeight="1">
      <c r="A153" s="3"/>
      <c r="B153" s="19"/>
      <c r="C153" s="19"/>
      <c r="D153" s="19"/>
      <c r="E153" s="19"/>
      <c r="F153" s="19"/>
    </row>
    <row r="154" ht="15.75" customHeight="1">
      <c r="A154" s="3"/>
      <c r="B154" s="19"/>
      <c r="C154" s="19"/>
      <c r="D154" s="19"/>
      <c r="E154" s="19"/>
      <c r="F154" s="19"/>
    </row>
    <row r="155" ht="15.75" customHeight="1">
      <c r="A155" s="3"/>
      <c r="B155" s="19"/>
      <c r="C155" s="19"/>
      <c r="D155" s="19"/>
      <c r="E155" s="19"/>
      <c r="F155" s="19"/>
    </row>
    <row r="156" ht="15.75" customHeight="1">
      <c r="A156" s="3"/>
      <c r="B156" s="19"/>
      <c r="C156" s="19"/>
      <c r="D156" s="19"/>
      <c r="E156" s="19"/>
      <c r="F156" s="19"/>
    </row>
    <row r="157" ht="15.75" customHeight="1">
      <c r="A157" s="3"/>
      <c r="B157" s="19"/>
      <c r="C157" s="19"/>
      <c r="D157" s="19"/>
      <c r="E157" s="19"/>
      <c r="F157" s="19"/>
    </row>
    <row r="158" ht="15.75" customHeight="1">
      <c r="A158" s="3"/>
      <c r="B158" s="19"/>
      <c r="C158" s="19"/>
      <c r="D158" s="19"/>
      <c r="E158" s="19"/>
      <c r="F158" s="19"/>
    </row>
    <row r="159" ht="15.75" customHeight="1">
      <c r="A159" s="3"/>
      <c r="B159" s="19"/>
      <c r="C159" s="19"/>
      <c r="D159" s="19"/>
      <c r="E159" s="19"/>
      <c r="F159" s="19"/>
    </row>
    <row r="160" ht="15.75" customHeight="1">
      <c r="A160" s="3"/>
      <c r="B160" s="19"/>
      <c r="C160" s="19"/>
      <c r="D160" s="19"/>
      <c r="E160" s="19"/>
      <c r="F160" s="19"/>
    </row>
    <row r="161" ht="15.75" customHeight="1">
      <c r="A161" s="3"/>
      <c r="B161" s="19"/>
      <c r="C161" s="19"/>
      <c r="D161" s="19"/>
      <c r="E161" s="19"/>
      <c r="F161" s="19"/>
    </row>
    <row r="162" ht="15.75" customHeight="1">
      <c r="A162" s="3"/>
      <c r="B162" s="19"/>
      <c r="C162" s="19"/>
      <c r="D162" s="19"/>
      <c r="E162" s="19"/>
      <c r="F162" s="19"/>
    </row>
    <row r="163" ht="15.75" customHeight="1">
      <c r="A163" s="3"/>
      <c r="B163" s="19"/>
      <c r="C163" s="19"/>
      <c r="D163" s="19"/>
      <c r="E163" s="19"/>
      <c r="F163" s="19"/>
    </row>
    <row r="164" ht="15.75" customHeight="1">
      <c r="A164" s="3"/>
      <c r="B164" s="19"/>
      <c r="C164" s="19"/>
      <c r="D164" s="19"/>
      <c r="E164" s="19"/>
      <c r="F164" s="19"/>
    </row>
    <row r="165" ht="15.75" customHeight="1">
      <c r="A165" s="3"/>
      <c r="B165" s="19"/>
      <c r="C165" s="19"/>
      <c r="D165" s="19"/>
      <c r="E165" s="19"/>
      <c r="F165" s="19"/>
    </row>
    <row r="166" ht="15.75" customHeight="1">
      <c r="A166" s="3"/>
      <c r="B166" s="19"/>
      <c r="C166" s="19"/>
      <c r="D166" s="19"/>
      <c r="E166" s="19"/>
      <c r="F166" s="19"/>
    </row>
    <row r="167" ht="15.75" customHeight="1">
      <c r="A167" s="3"/>
      <c r="B167" s="19"/>
      <c r="C167" s="19"/>
      <c r="D167" s="19"/>
      <c r="E167" s="19"/>
      <c r="F167" s="19"/>
    </row>
    <row r="168" ht="15.75" customHeight="1">
      <c r="A168" s="3"/>
      <c r="B168" s="19"/>
      <c r="C168" s="19"/>
      <c r="D168" s="19"/>
      <c r="E168" s="19"/>
      <c r="F168" s="19"/>
    </row>
    <row r="169" ht="15.75" customHeight="1">
      <c r="A169" s="3"/>
      <c r="B169" s="19"/>
      <c r="C169" s="19"/>
      <c r="D169" s="19"/>
      <c r="E169" s="19"/>
      <c r="F169" s="19"/>
    </row>
    <row r="170" ht="15.75" customHeight="1">
      <c r="A170" s="3"/>
      <c r="B170" s="19"/>
      <c r="C170" s="19"/>
      <c r="D170" s="19"/>
      <c r="E170" s="19"/>
      <c r="F170" s="19"/>
    </row>
    <row r="171" ht="15.75" customHeight="1">
      <c r="A171" s="3"/>
      <c r="B171" s="19"/>
      <c r="C171" s="19"/>
      <c r="D171" s="19"/>
      <c r="E171" s="19"/>
      <c r="F171" s="19"/>
    </row>
    <row r="172" ht="15.75" customHeight="1">
      <c r="A172" s="3"/>
      <c r="B172" s="19"/>
      <c r="C172" s="19"/>
      <c r="D172" s="19"/>
      <c r="E172" s="19"/>
      <c r="F172" s="19"/>
    </row>
    <row r="173" ht="15.75" customHeight="1">
      <c r="A173" s="3"/>
      <c r="B173" s="19"/>
      <c r="C173" s="19"/>
      <c r="D173" s="19"/>
      <c r="E173" s="19"/>
      <c r="F173" s="19"/>
    </row>
    <row r="174" ht="15.75" customHeight="1">
      <c r="A174" s="3"/>
      <c r="B174" s="19"/>
      <c r="C174" s="19"/>
      <c r="D174" s="19"/>
      <c r="E174" s="19"/>
      <c r="F174" s="19"/>
    </row>
    <row r="175" ht="15.75" customHeight="1">
      <c r="A175" s="3"/>
      <c r="B175" s="19"/>
      <c r="C175" s="19"/>
      <c r="D175" s="19"/>
      <c r="E175" s="19"/>
      <c r="F175" s="19"/>
    </row>
    <row r="176" ht="15.75" customHeight="1">
      <c r="A176" s="3"/>
      <c r="B176" s="19"/>
      <c r="C176" s="19"/>
      <c r="D176" s="19"/>
      <c r="E176" s="19"/>
      <c r="F176" s="19"/>
    </row>
    <row r="177" ht="15.75" customHeight="1">
      <c r="A177" s="3"/>
      <c r="B177" s="19"/>
      <c r="C177" s="19"/>
      <c r="D177" s="19"/>
      <c r="E177" s="19"/>
      <c r="F177" s="19"/>
    </row>
    <row r="178" ht="15.75" customHeight="1">
      <c r="A178" s="3"/>
      <c r="B178" s="19"/>
      <c r="C178" s="19"/>
      <c r="D178" s="19"/>
      <c r="E178" s="19"/>
      <c r="F178" s="19"/>
    </row>
    <row r="179" ht="15.75" customHeight="1">
      <c r="A179" s="3"/>
      <c r="B179" s="19"/>
      <c r="C179" s="19"/>
      <c r="D179" s="19"/>
      <c r="E179" s="19"/>
      <c r="F179" s="19"/>
    </row>
    <row r="180" ht="15.75" customHeight="1">
      <c r="A180" s="3"/>
      <c r="B180" s="19"/>
      <c r="C180" s="19"/>
      <c r="D180" s="19"/>
      <c r="E180" s="19"/>
      <c r="F180" s="19"/>
    </row>
    <row r="181" ht="15.75" customHeight="1">
      <c r="A181" s="3"/>
      <c r="B181" s="19"/>
      <c r="C181" s="19"/>
      <c r="D181" s="19"/>
      <c r="E181" s="19"/>
      <c r="F181" s="19"/>
    </row>
    <row r="182" ht="15.75" customHeight="1">
      <c r="A182" s="3"/>
      <c r="B182" s="19"/>
      <c r="C182" s="19"/>
      <c r="D182" s="19"/>
      <c r="E182" s="19"/>
      <c r="F182" s="19"/>
    </row>
    <row r="183" ht="15.75" customHeight="1">
      <c r="A183" s="3"/>
      <c r="B183" s="19"/>
      <c r="C183" s="19"/>
      <c r="D183" s="19"/>
      <c r="E183" s="19"/>
      <c r="F183" s="19"/>
    </row>
    <row r="184" ht="15.75" customHeight="1">
      <c r="A184" s="3"/>
      <c r="B184" s="19"/>
      <c r="C184" s="19"/>
      <c r="D184" s="19"/>
      <c r="E184" s="19"/>
      <c r="F184" s="19"/>
    </row>
    <row r="185" ht="15.75" customHeight="1">
      <c r="A185" s="3"/>
      <c r="B185" s="19"/>
      <c r="C185" s="19"/>
      <c r="D185" s="19"/>
      <c r="E185" s="19"/>
      <c r="F185" s="19"/>
    </row>
    <row r="186" ht="15.75" customHeight="1">
      <c r="A186" s="3"/>
      <c r="B186" s="19"/>
      <c r="C186" s="19"/>
      <c r="D186" s="19"/>
      <c r="E186" s="19"/>
      <c r="F186" s="19"/>
    </row>
    <row r="187" ht="15.75" customHeight="1">
      <c r="A187" s="3"/>
      <c r="B187" s="19"/>
      <c r="C187" s="19"/>
      <c r="D187" s="19"/>
      <c r="E187" s="19"/>
      <c r="F187" s="19"/>
    </row>
    <row r="188" ht="15.75" customHeight="1">
      <c r="A188" s="3"/>
      <c r="B188" s="19"/>
      <c r="C188" s="19"/>
      <c r="D188" s="19"/>
      <c r="E188" s="19"/>
      <c r="F188" s="19"/>
    </row>
    <row r="189" ht="15.75" customHeight="1">
      <c r="A189" s="3"/>
      <c r="B189" s="19"/>
      <c r="C189" s="19"/>
      <c r="D189" s="19"/>
      <c r="E189" s="19"/>
      <c r="F189" s="19"/>
    </row>
    <row r="190" ht="15.75" customHeight="1">
      <c r="A190" s="3"/>
      <c r="B190" s="19"/>
      <c r="C190" s="19"/>
      <c r="D190" s="19"/>
      <c r="E190" s="19"/>
      <c r="F190" s="19"/>
    </row>
    <row r="191" ht="15.75" customHeight="1">
      <c r="A191" s="3"/>
      <c r="B191" s="19"/>
      <c r="C191" s="19"/>
      <c r="D191" s="19"/>
      <c r="E191" s="19"/>
      <c r="F191" s="19"/>
    </row>
    <row r="192" ht="15.75" customHeight="1">
      <c r="A192" s="3"/>
      <c r="B192" s="19"/>
      <c r="C192" s="19"/>
      <c r="D192" s="19"/>
      <c r="E192" s="19"/>
      <c r="F192" s="19"/>
    </row>
    <row r="193" ht="15.75" customHeight="1">
      <c r="A193" s="3"/>
      <c r="B193" s="19"/>
      <c r="C193" s="19"/>
      <c r="D193" s="19"/>
      <c r="E193" s="19"/>
      <c r="F193" s="19"/>
    </row>
    <row r="194" ht="15.75" customHeight="1">
      <c r="A194" s="3"/>
      <c r="B194" s="19"/>
      <c r="C194" s="19"/>
      <c r="D194" s="19"/>
      <c r="E194" s="19"/>
      <c r="F194" s="19"/>
    </row>
    <row r="195" ht="15.75" customHeight="1">
      <c r="A195" s="3"/>
      <c r="B195" s="19"/>
      <c r="C195" s="19"/>
      <c r="D195" s="19"/>
      <c r="E195" s="19"/>
      <c r="F195" s="19"/>
    </row>
    <row r="196" ht="15.75" customHeight="1">
      <c r="A196" s="3"/>
      <c r="B196" s="19"/>
      <c r="C196" s="19"/>
      <c r="D196" s="19"/>
      <c r="E196" s="19"/>
      <c r="F196" s="19"/>
    </row>
    <row r="197" ht="15.75" customHeight="1">
      <c r="A197" s="3"/>
      <c r="B197" s="19"/>
      <c r="C197" s="19"/>
      <c r="D197" s="19"/>
      <c r="E197" s="19"/>
      <c r="F197" s="19"/>
    </row>
    <row r="198" ht="15.75" customHeight="1">
      <c r="A198" s="3"/>
      <c r="B198" s="19"/>
      <c r="C198" s="19"/>
      <c r="D198" s="19"/>
      <c r="E198" s="19"/>
      <c r="F198" s="19"/>
    </row>
    <row r="199" ht="15.75" customHeight="1">
      <c r="A199" s="3"/>
      <c r="B199" s="19"/>
      <c r="C199" s="19"/>
      <c r="D199" s="19"/>
      <c r="E199" s="19"/>
      <c r="F199" s="19"/>
    </row>
    <row r="200" ht="15.75" customHeight="1">
      <c r="A200" s="3"/>
      <c r="B200" s="19"/>
      <c r="C200" s="19"/>
      <c r="D200" s="19"/>
      <c r="E200" s="19"/>
      <c r="F200" s="19"/>
    </row>
    <row r="201" ht="15.75" customHeight="1">
      <c r="A201" s="3"/>
      <c r="B201" s="19"/>
      <c r="C201" s="19"/>
      <c r="D201" s="19"/>
      <c r="E201" s="19"/>
      <c r="F201" s="19"/>
    </row>
    <row r="202" ht="15.75" customHeight="1">
      <c r="A202" s="3"/>
      <c r="B202" s="19"/>
      <c r="C202" s="19"/>
      <c r="D202" s="19"/>
      <c r="E202" s="19"/>
      <c r="F202" s="19"/>
    </row>
    <row r="203" ht="15.75" customHeight="1">
      <c r="A203" s="3"/>
      <c r="B203" s="19"/>
      <c r="C203" s="19"/>
      <c r="D203" s="19"/>
      <c r="E203" s="19"/>
      <c r="F203" s="19"/>
    </row>
    <row r="204" ht="15.75" customHeight="1">
      <c r="A204" s="3"/>
      <c r="B204" s="19"/>
      <c r="C204" s="19"/>
      <c r="D204" s="19"/>
      <c r="E204" s="19"/>
      <c r="F204" s="19"/>
    </row>
    <row r="205" ht="15.75" customHeight="1">
      <c r="A205" s="3"/>
      <c r="B205" s="19"/>
      <c r="C205" s="19"/>
      <c r="D205" s="19"/>
      <c r="E205" s="19"/>
      <c r="F205" s="19"/>
    </row>
    <row r="206" ht="15.75" customHeight="1">
      <c r="A206" s="3"/>
      <c r="B206" s="19"/>
      <c r="C206" s="19"/>
      <c r="D206" s="19"/>
      <c r="E206" s="19"/>
      <c r="F206" s="19"/>
    </row>
    <row r="207" ht="15.75" customHeight="1">
      <c r="A207" s="3"/>
      <c r="B207" s="19"/>
      <c r="C207" s="19"/>
      <c r="D207" s="19"/>
      <c r="E207" s="19"/>
      <c r="F207" s="19"/>
    </row>
    <row r="208" ht="15.75" customHeight="1">
      <c r="A208" s="3"/>
      <c r="B208" s="19"/>
      <c r="C208" s="19"/>
      <c r="D208" s="19"/>
      <c r="E208" s="19"/>
      <c r="F208" s="19"/>
    </row>
    <row r="209" ht="15.75" customHeight="1">
      <c r="A209" s="3"/>
      <c r="B209" s="19"/>
      <c r="C209" s="19"/>
      <c r="D209" s="19"/>
      <c r="E209" s="19"/>
      <c r="F209" s="19"/>
    </row>
    <row r="210" ht="15.75" customHeight="1">
      <c r="A210" s="3"/>
      <c r="B210" s="19"/>
      <c r="C210" s="19"/>
      <c r="D210" s="19"/>
      <c r="E210" s="19"/>
      <c r="F210" s="19"/>
    </row>
    <row r="211" ht="15.75" customHeight="1">
      <c r="A211" s="3"/>
      <c r="B211" s="19"/>
      <c r="C211" s="19"/>
      <c r="D211" s="19"/>
      <c r="E211" s="19"/>
      <c r="F211" s="19"/>
    </row>
    <row r="212" ht="15.75" customHeight="1">
      <c r="A212" s="3"/>
      <c r="B212" s="19"/>
      <c r="C212" s="19"/>
      <c r="D212" s="19"/>
      <c r="E212" s="19"/>
      <c r="F212" s="19"/>
    </row>
    <row r="213" ht="15.75" customHeight="1">
      <c r="A213" s="3"/>
      <c r="B213" s="19"/>
      <c r="C213" s="19"/>
      <c r="D213" s="19"/>
      <c r="E213" s="19"/>
      <c r="F213" s="19"/>
    </row>
    <row r="214" ht="15.75" customHeight="1">
      <c r="A214" s="3"/>
      <c r="B214" s="19"/>
      <c r="C214" s="19"/>
      <c r="D214" s="19"/>
      <c r="E214" s="19"/>
      <c r="F214" s="19"/>
    </row>
    <row r="215" ht="15.75" customHeight="1">
      <c r="A215" s="3"/>
      <c r="B215" s="19"/>
      <c r="C215" s="19"/>
      <c r="D215" s="19"/>
      <c r="E215" s="19"/>
      <c r="F215" s="19"/>
    </row>
    <row r="216" ht="15.75" customHeight="1">
      <c r="A216" s="3"/>
      <c r="B216" s="19"/>
      <c r="C216" s="19"/>
      <c r="D216" s="19"/>
      <c r="E216" s="19"/>
      <c r="F216" s="19"/>
    </row>
    <row r="217" ht="15.75" customHeight="1">
      <c r="A217" s="3"/>
      <c r="B217" s="19"/>
      <c r="C217" s="19"/>
      <c r="D217" s="19"/>
      <c r="E217" s="19"/>
      <c r="F217" s="19"/>
    </row>
    <row r="218" ht="15.75" customHeight="1">
      <c r="A218" s="3"/>
      <c r="B218" s="19"/>
      <c r="C218" s="19"/>
      <c r="D218" s="19"/>
      <c r="E218" s="19"/>
      <c r="F218" s="19"/>
    </row>
    <row r="219" ht="15.75" customHeight="1">
      <c r="A219" s="3"/>
      <c r="B219" s="19"/>
      <c r="C219" s="19"/>
      <c r="D219" s="19"/>
      <c r="E219" s="19"/>
      <c r="F219" s="19"/>
    </row>
    <row r="220" ht="15.75" customHeight="1">
      <c r="A220" s="3"/>
      <c r="B220" s="19"/>
      <c r="C220" s="19"/>
      <c r="D220" s="19"/>
      <c r="E220" s="19"/>
      <c r="F220" s="1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2.0"/>
    <col customWidth="1" min="3" max="4" width="14.0"/>
    <col customWidth="1" min="5" max="5" width="16.0"/>
    <col customWidth="1" min="6" max="6" width="12.0"/>
    <col customWidth="1" min="7" max="10" width="14.0"/>
    <col customWidth="1" min="11" max="11" width="12.0"/>
    <col customWidth="1" min="12" max="14" width="10.0"/>
    <col customWidth="1" min="15" max="15" width="14.0"/>
    <col customWidth="1" min="16" max="16" width="12.0"/>
    <col customWidth="1" min="17" max="26" width="8.71"/>
  </cols>
  <sheetData>
    <row r="1">
      <c r="A1" s="17" t="s">
        <v>51</v>
      </c>
      <c r="B1" s="17" t="s">
        <v>79</v>
      </c>
      <c r="C1" s="17" t="s">
        <v>10</v>
      </c>
      <c r="D1" s="17" t="s">
        <v>11</v>
      </c>
      <c r="E1" s="17" t="s">
        <v>12</v>
      </c>
      <c r="F1" s="17" t="s">
        <v>13</v>
      </c>
      <c r="G1" s="17" t="s">
        <v>17</v>
      </c>
      <c r="H1" s="17" t="s">
        <v>19</v>
      </c>
      <c r="I1" s="17" t="s">
        <v>47</v>
      </c>
      <c r="J1" s="17" t="s">
        <v>48</v>
      </c>
      <c r="K1" s="17" t="s">
        <v>14</v>
      </c>
      <c r="L1" s="17" t="s">
        <v>18</v>
      </c>
      <c r="M1" s="17" t="s">
        <v>26</v>
      </c>
      <c r="N1" s="17" t="s">
        <v>80</v>
      </c>
      <c r="O1" s="17" t="s">
        <v>50</v>
      </c>
      <c r="P1" s="17" t="s">
        <v>23</v>
      </c>
    </row>
    <row r="2">
      <c r="A2" s="25">
        <f>Settings!$B$5</f>
        <v>46023</v>
      </c>
      <c r="B2" s="25">
        <f t="shared" ref="B2:B61" si="1">A2+6</f>
        <v>46029</v>
      </c>
      <c r="C2" s="21">
        <f>SUMIFS('Daily Ops'!$H$2:$H$401,'Daily Ops'!$AH$2:$AH$401,$A2)</f>
        <v>0</v>
      </c>
      <c r="D2" s="21">
        <f>SUMIFS('Daily Ops'!$I$2:$I$401,'Daily Ops'!$AH$2:$AH$401,$A2)</f>
        <v>0</v>
      </c>
      <c r="E2" s="21">
        <f>SUMIFS('Daily Ops'!$J$2:$J$401,'Daily Ops'!$AH$2:$AH$401,$A2)</f>
        <v>0</v>
      </c>
      <c r="F2" s="23">
        <f>SUMIFS('Daily Ops'!$U$2:$U$401,'Daily Ops'!$AH$2:$AH$401,$A2)</f>
        <v>0</v>
      </c>
      <c r="G2" s="21">
        <f>SUMIFS('Daily Ops'!$Y$2:$Y$401,'Daily Ops'!$AH$2:$AH$401,$A2)</f>
        <v>0</v>
      </c>
      <c r="H2" s="21">
        <f>SUMIFS('Daily Ops'!$AA$2:$AA$401,'Daily Ops'!$AH$2:$AH$401,$A2)</f>
        <v>0</v>
      </c>
      <c r="I2" s="21">
        <f>SUMIFS('Daily Ops'!$AB$2:$AB$401,'Daily Ops'!$AH$2:$AH$401,$A2)</f>
        <v>0</v>
      </c>
      <c r="J2" s="21">
        <f t="shared" ref="J2:J61" si="2">H2+I2</f>
        <v>0</v>
      </c>
      <c r="K2" s="21" t="str">
        <f t="shared" ref="K2:K61" si="3">IF(F2=0,"",C2/F2)</f>
        <v/>
      </c>
      <c r="L2" s="24" t="str">
        <f t="shared" ref="L2:L61" si="4">IF(C2=0,"",G2/C2)</f>
        <v/>
      </c>
      <c r="M2" s="24" t="str">
        <f t="shared" ref="M2:M61" si="5">IF(C2=0,"",D2/C2)</f>
        <v/>
      </c>
      <c r="N2" s="24" t="str">
        <f t="shared" ref="N2:N61" si="6">IF(C2=0,"",E2/C2)</f>
        <v/>
      </c>
      <c r="O2" s="21">
        <f t="shared" ref="O2:O61" si="7">G2+J2</f>
        <v>0</v>
      </c>
      <c r="P2" s="24" t="str">
        <f t="shared" ref="P2:P61" si="8">IF(C2=0,"",O2/C2)</f>
        <v/>
      </c>
    </row>
    <row r="3">
      <c r="A3" s="25">
        <f t="shared" ref="A3:A61" si="9">A2+7</f>
        <v>46030</v>
      </c>
      <c r="B3" s="25">
        <f t="shared" si="1"/>
        <v>46036</v>
      </c>
      <c r="C3" s="21">
        <f>SUMIFS('Daily Ops'!$H$2:$H$401,'Daily Ops'!$AH$2:$AH$401,$A3)</f>
        <v>0</v>
      </c>
      <c r="D3" s="21">
        <f>SUMIFS('Daily Ops'!$I$2:$I$401,'Daily Ops'!$AH$2:$AH$401,$A3)</f>
        <v>0</v>
      </c>
      <c r="E3" s="21">
        <f>SUMIFS('Daily Ops'!$J$2:$J$401,'Daily Ops'!$AH$2:$AH$401,$A3)</f>
        <v>0</v>
      </c>
      <c r="F3" s="23">
        <f>SUMIFS('Daily Ops'!$U$2:$U$401,'Daily Ops'!$AH$2:$AH$401,$A3)</f>
        <v>0</v>
      </c>
      <c r="G3" s="21">
        <f>SUMIFS('Daily Ops'!$Y$2:$Y$401,'Daily Ops'!$AH$2:$AH$401,$A3)</f>
        <v>0</v>
      </c>
      <c r="H3" s="21">
        <f>SUMIFS('Daily Ops'!$AA$2:$AA$401,'Daily Ops'!$AH$2:$AH$401,$A3)</f>
        <v>0</v>
      </c>
      <c r="I3" s="21">
        <f>SUMIFS('Daily Ops'!$AB$2:$AB$401,'Daily Ops'!$AH$2:$AH$401,$A3)</f>
        <v>0</v>
      </c>
      <c r="J3" s="21">
        <f t="shared" si="2"/>
        <v>0</v>
      </c>
      <c r="K3" s="21" t="str">
        <f t="shared" si="3"/>
        <v/>
      </c>
      <c r="L3" s="24" t="str">
        <f t="shared" si="4"/>
        <v/>
      </c>
      <c r="M3" s="24" t="str">
        <f t="shared" si="5"/>
        <v/>
      </c>
      <c r="N3" s="24" t="str">
        <f t="shared" si="6"/>
        <v/>
      </c>
      <c r="O3" s="21">
        <f t="shared" si="7"/>
        <v>0</v>
      </c>
      <c r="P3" s="24" t="str">
        <f t="shared" si="8"/>
        <v/>
      </c>
    </row>
    <row r="4">
      <c r="A4" s="25">
        <f t="shared" si="9"/>
        <v>46037</v>
      </c>
      <c r="B4" s="25">
        <f t="shared" si="1"/>
        <v>46043</v>
      </c>
      <c r="C4" s="21">
        <f>SUMIFS('Daily Ops'!$H$2:$H$401,'Daily Ops'!$AH$2:$AH$401,$A4)</f>
        <v>0</v>
      </c>
      <c r="D4" s="21">
        <f>SUMIFS('Daily Ops'!$I$2:$I$401,'Daily Ops'!$AH$2:$AH$401,$A4)</f>
        <v>0</v>
      </c>
      <c r="E4" s="21">
        <f>SUMIFS('Daily Ops'!$J$2:$J$401,'Daily Ops'!$AH$2:$AH$401,$A4)</f>
        <v>0</v>
      </c>
      <c r="F4" s="23">
        <f>SUMIFS('Daily Ops'!$U$2:$U$401,'Daily Ops'!$AH$2:$AH$401,$A4)</f>
        <v>0</v>
      </c>
      <c r="G4" s="21">
        <f>SUMIFS('Daily Ops'!$Y$2:$Y$401,'Daily Ops'!$AH$2:$AH$401,$A4)</f>
        <v>0</v>
      </c>
      <c r="H4" s="21">
        <f>SUMIFS('Daily Ops'!$AA$2:$AA$401,'Daily Ops'!$AH$2:$AH$401,$A4)</f>
        <v>0</v>
      </c>
      <c r="I4" s="21">
        <f>SUMIFS('Daily Ops'!$AB$2:$AB$401,'Daily Ops'!$AH$2:$AH$401,$A4)</f>
        <v>0</v>
      </c>
      <c r="J4" s="21">
        <f t="shared" si="2"/>
        <v>0</v>
      </c>
      <c r="K4" s="21" t="str">
        <f t="shared" si="3"/>
        <v/>
      </c>
      <c r="L4" s="24" t="str">
        <f t="shared" si="4"/>
        <v/>
      </c>
      <c r="M4" s="24" t="str">
        <f t="shared" si="5"/>
        <v/>
      </c>
      <c r="N4" s="24" t="str">
        <f t="shared" si="6"/>
        <v/>
      </c>
      <c r="O4" s="21">
        <f t="shared" si="7"/>
        <v>0</v>
      </c>
      <c r="P4" s="24" t="str">
        <f t="shared" si="8"/>
        <v/>
      </c>
    </row>
    <row r="5">
      <c r="A5" s="25">
        <f t="shared" si="9"/>
        <v>46044</v>
      </c>
      <c r="B5" s="25">
        <f t="shared" si="1"/>
        <v>46050</v>
      </c>
      <c r="C5" s="21">
        <f>SUMIFS('Daily Ops'!$H$2:$H$401,'Daily Ops'!$AH$2:$AH$401,$A5)</f>
        <v>0</v>
      </c>
      <c r="D5" s="21">
        <f>SUMIFS('Daily Ops'!$I$2:$I$401,'Daily Ops'!$AH$2:$AH$401,$A5)</f>
        <v>0</v>
      </c>
      <c r="E5" s="21">
        <f>SUMIFS('Daily Ops'!$J$2:$J$401,'Daily Ops'!$AH$2:$AH$401,$A5)</f>
        <v>0</v>
      </c>
      <c r="F5" s="23">
        <f>SUMIFS('Daily Ops'!$U$2:$U$401,'Daily Ops'!$AH$2:$AH$401,$A5)</f>
        <v>0</v>
      </c>
      <c r="G5" s="21">
        <f>SUMIFS('Daily Ops'!$Y$2:$Y$401,'Daily Ops'!$AH$2:$AH$401,$A5)</f>
        <v>0</v>
      </c>
      <c r="H5" s="21">
        <f>SUMIFS('Daily Ops'!$AA$2:$AA$401,'Daily Ops'!$AH$2:$AH$401,$A5)</f>
        <v>0</v>
      </c>
      <c r="I5" s="21">
        <f>SUMIFS('Daily Ops'!$AB$2:$AB$401,'Daily Ops'!$AH$2:$AH$401,$A5)</f>
        <v>0</v>
      </c>
      <c r="J5" s="21">
        <f t="shared" si="2"/>
        <v>0</v>
      </c>
      <c r="K5" s="21" t="str">
        <f t="shared" si="3"/>
        <v/>
      </c>
      <c r="L5" s="24" t="str">
        <f t="shared" si="4"/>
        <v/>
      </c>
      <c r="M5" s="24" t="str">
        <f t="shared" si="5"/>
        <v/>
      </c>
      <c r="N5" s="24" t="str">
        <f t="shared" si="6"/>
        <v/>
      </c>
      <c r="O5" s="21">
        <f t="shared" si="7"/>
        <v>0</v>
      </c>
      <c r="P5" s="24" t="str">
        <f t="shared" si="8"/>
        <v/>
      </c>
    </row>
    <row r="6">
      <c r="A6" s="25">
        <f t="shared" si="9"/>
        <v>46051</v>
      </c>
      <c r="B6" s="25">
        <f t="shared" si="1"/>
        <v>46057</v>
      </c>
      <c r="C6" s="21">
        <f>SUMIFS('Daily Ops'!$H$2:$H$401,'Daily Ops'!$AH$2:$AH$401,$A6)</f>
        <v>0</v>
      </c>
      <c r="D6" s="21">
        <f>SUMIFS('Daily Ops'!$I$2:$I$401,'Daily Ops'!$AH$2:$AH$401,$A6)</f>
        <v>0</v>
      </c>
      <c r="E6" s="21">
        <f>SUMIFS('Daily Ops'!$J$2:$J$401,'Daily Ops'!$AH$2:$AH$401,$A6)</f>
        <v>0</v>
      </c>
      <c r="F6" s="23">
        <f>SUMIFS('Daily Ops'!$U$2:$U$401,'Daily Ops'!$AH$2:$AH$401,$A6)</f>
        <v>0</v>
      </c>
      <c r="G6" s="21">
        <f>SUMIFS('Daily Ops'!$Y$2:$Y$401,'Daily Ops'!$AH$2:$AH$401,$A6)</f>
        <v>0</v>
      </c>
      <c r="H6" s="21">
        <f>SUMIFS('Daily Ops'!$AA$2:$AA$401,'Daily Ops'!$AH$2:$AH$401,$A6)</f>
        <v>0</v>
      </c>
      <c r="I6" s="21">
        <f>SUMIFS('Daily Ops'!$AB$2:$AB$401,'Daily Ops'!$AH$2:$AH$401,$A6)</f>
        <v>0</v>
      </c>
      <c r="J6" s="21">
        <f t="shared" si="2"/>
        <v>0</v>
      </c>
      <c r="K6" s="21" t="str">
        <f t="shared" si="3"/>
        <v/>
      </c>
      <c r="L6" s="24" t="str">
        <f t="shared" si="4"/>
        <v/>
      </c>
      <c r="M6" s="24" t="str">
        <f t="shared" si="5"/>
        <v/>
      </c>
      <c r="N6" s="24" t="str">
        <f t="shared" si="6"/>
        <v/>
      </c>
      <c r="O6" s="21">
        <f t="shared" si="7"/>
        <v>0</v>
      </c>
      <c r="P6" s="24" t="str">
        <f t="shared" si="8"/>
        <v/>
      </c>
    </row>
    <row r="7">
      <c r="A7" s="25">
        <f t="shared" si="9"/>
        <v>46058</v>
      </c>
      <c r="B7" s="25">
        <f t="shared" si="1"/>
        <v>46064</v>
      </c>
      <c r="C7" s="21">
        <f>SUMIFS('Daily Ops'!$H$2:$H$401,'Daily Ops'!$AH$2:$AH$401,$A7)</f>
        <v>0</v>
      </c>
      <c r="D7" s="21">
        <f>SUMIFS('Daily Ops'!$I$2:$I$401,'Daily Ops'!$AH$2:$AH$401,$A7)</f>
        <v>0</v>
      </c>
      <c r="E7" s="21">
        <f>SUMIFS('Daily Ops'!$J$2:$J$401,'Daily Ops'!$AH$2:$AH$401,$A7)</f>
        <v>0</v>
      </c>
      <c r="F7" s="23">
        <f>SUMIFS('Daily Ops'!$U$2:$U$401,'Daily Ops'!$AH$2:$AH$401,$A7)</f>
        <v>0</v>
      </c>
      <c r="G7" s="21">
        <f>SUMIFS('Daily Ops'!$Y$2:$Y$401,'Daily Ops'!$AH$2:$AH$401,$A7)</f>
        <v>0</v>
      </c>
      <c r="H7" s="21">
        <f>SUMIFS('Daily Ops'!$AA$2:$AA$401,'Daily Ops'!$AH$2:$AH$401,$A7)</f>
        <v>0</v>
      </c>
      <c r="I7" s="21">
        <f>SUMIFS('Daily Ops'!$AB$2:$AB$401,'Daily Ops'!$AH$2:$AH$401,$A7)</f>
        <v>0</v>
      </c>
      <c r="J7" s="21">
        <f t="shared" si="2"/>
        <v>0</v>
      </c>
      <c r="K7" s="21" t="str">
        <f t="shared" si="3"/>
        <v/>
      </c>
      <c r="L7" s="24" t="str">
        <f t="shared" si="4"/>
        <v/>
      </c>
      <c r="M7" s="24" t="str">
        <f t="shared" si="5"/>
        <v/>
      </c>
      <c r="N7" s="24" t="str">
        <f t="shared" si="6"/>
        <v/>
      </c>
      <c r="O7" s="21">
        <f t="shared" si="7"/>
        <v>0</v>
      </c>
      <c r="P7" s="24" t="str">
        <f t="shared" si="8"/>
        <v/>
      </c>
    </row>
    <row r="8">
      <c r="A8" s="25">
        <f t="shared" si="9"/>
        <v>46065</v>
      </c>
      <c r="B8" s="25">
        <f t="shared" si="1"/>
        <v>46071</v>
      </c>
      <c r="C8" s="21">
        <f>SUMIFS('Daily Ops'!$H$2:$H$401,'Daily Ops'!$AH$2:$AH$401,$A8)</f>
        <v>0</v>
      </c>
      <c r="D8" s="21">
        <f>SUMIFS('Daily Ops'!$I$2:$I$401,'Daily Ops'!$AH$2:$AH$401,$A8)</f>
        <v>0</v>
      </c>
      <c r="E8" s="21">
        <f>SUMIFS('Daily Ops'!$J$2:$J$401,'Daily Ops'!$AH$2:$AH$401,$A8)</f>
        <v>0</v>
      </c>
      <c r="F8" s="23">
        <f>SUMIFS('Daily Ops'!$U$2:$U$401,'Daily Ops'!$AH$2:$AH$401,$A8)</f>
        <v>0</v>
      </c>
      <c r="G8" s="21">
        <f>SUMIFS('Daily Ops'!$Y$2:$Y$401,'Daily Ops'!$AH$2:$AH$401,$A8)</f>
        <v>0</v>
      </c>
      <c r="H8" s="21">
        <f>SUMIFS('Daily Ops'!$AA$2:$AA$401,'Daily Ops'!$AH$2:$AH$401,$A8)</f>
        <v>0</v>
      </c>
      <c r="I8" s="21">
        <f>SUMIFS('Daily Ops'!$AB$2:$AB$401,'Daily Ops'!$AH$2:$AH$401,$A8)</f>
        <v>0</v>
      </c>
      <c r="J8" s="21">
        <f t="shared" si="2"/>
        <v>0</v>
      </c>
      <c r="K8" s="21" t="str">
        <f t="shared" si="3"/>
        <v/>
      </c>
      <c r="L8" s="24" t="str">
        <f t="shared" si="4"/>
        <v/>
      </c>
      <c r="M8" s="24" t="str">
        <f t="shared" si="5"/>
        <v/>
      </c>
      <c r="N8" s="24" t="str">
        <f t="shared" si="6"/>
        <v/>
      </c>
      <c r="O8" s="21">
        <f t="shared" si="7"/>
        <v>0</v>
      </c>
      <c r="P8" s="24" t="str">
        <f t="shared" si="8"/>
        <v/>
      </c>
    </row>
    <row r="9">
      <c r="A9" s="25">
        <f t="shared" si="9"/>
        <v>46072</v>
      </c>
      <c r="B9" s="25">
        <f t="shared" si="1"/>
        <v>46078</v>
      </c>
      <c r="C9" s="21">
        <f>SUMIFS('Daily Ops'!$H$2:$H$401,'Daily Ops'!$AH$2:$AH$401,$A9)</f>
        <v>0</v>
      </c>
      <c r="D9" s="21">
        <f>SUMIFS('Daily Ops'!$I$2:$I$401,'Daily Ops'!$AH$2:$AH$401,$A9)</f>
        <v>0</v>
      </c>
      <c r="E9" s="21">
        <f>SUMIFS('Daily Ops'!$J$2:$J$401,'Daily Ops'!$AH$2:$AH$401,$A9)</f>
        <v>0</v>
      </c>
      <c r="F9" s="23">
        <f>SUMIFS('Daily Ops'!$U$2:$U$401,'Daily Ops'!$AH$2:$AH$401,$A9)</f>
        <v>0</v>
      </c>
      <c r="G9" s="21">
        <f>SUMIFS('Daily Ops'!$Y$2:$Y$401,'Daily Ops'!$AH$2:$AH$401,$A9)</f>
        <v>0</v>
      </c>
      <c r="H9" s="21">
        <f>SUMIFS('Daily Ops'!$AA$2:$AA$401,'Daily Ops'!$AH$2:$AH$401,$A9)</f>
        <v>0</v>
      </c>
      <c r="I9" s="21">
        <f>SUMIFS('Daily Ops'!$AB$2:$AB$401,'Daily Ops'!$AH$2:$AH$401,$A9)</f>
        <v>0</v>
      </c>
      <c r="J9" s="21">
        <f t="shared" si="2"/>
        <v>0</v>
      </c>
      <c r="K9" s="21" t="str">
        <f t="shared" si="3"/>
        <v/>
      </c>
      <c r="L9" s="24" t="str">
        <f t="shared" si="4"/>
        <v/>
      </c>
      <c r="M9" s="24" t="str">
        <f t="shared" si="5"/>
        <v/>
      </c>
      <c r="N9" s="24" t="str">
        <f t="shared" si="6"/>
        <v/>
      </c>
      <c r="O9" s="21">
        <f t="shared" si="7"/>
        <v>0</v>
      </c>
      <c r="P9" s="24" t="str">
        <f t="shared" si="8"/>
        <v/>
      </c>
    </row>
    <row r="10">
      <c r="A10" s="25">
        <f t="shared" si="9"/>
        <v>46079</v>
      </c>
      <c r="B10" s="25">
        <f t="shared" si="1"/>
        <v>46085</v>
      </c>
      <c r="C10" s="21">
        <f>SUMIFS('Daily Ops'!$H$2:$H$401,'Daily Ops'!$AH$2:$AH$401,$A10)</f>
        <v>0</v>
      </c>
      <c r="D10" s="21">
        <f>SUMIFS('Daily Ops'!$I$2:$I$401,'Daily Ops'!$AH$2:$AH$401,$A10)</f>
        <v>0</v>
      </c>
      <c r="E10" s="21">
        <f>SUMIFS('Daily Ops'!$J$2:$J$401,'Daily Ops'!$AH$2:$AH$401,$A10)</f>
        <v>0</v>
      </c>
      <c r="F10" s="23">
        <f>SUMIFS('Daily Ops'!$U$2:$U$401,'Daily Ops'!$AH$2:$AH$401,$A10)</f>
        <v>0</v>
      </c>
      <c r="G10" s="21">
        <f>SUMIFS('Daily Ops'!$Y$2:$Y$401,'Daily Ops'!$AH$2:$AH$401,$A10)</f>
        <v>0</v>
      </c>
      <c r="H10" s="21">
        <f>SUMIFS('Daily Ops'!$AA$2:$AA$401,'Daily Ops'!$AH$2:$AH$401,$A10)</f>
        <v>0</v>
      </c>
      <c r="I10" s="21">
        <f>SUMIFS('Daily Ops'!$AB$2:$AB$401,'Daily Ops'!$AH$2:$AH$401,$A10)</f>
        <v>0</v>
      </c>
      <c r="J10" s="21">
        <f t="shared" si="2"/>
        <v>0</v>
      </c>
      <c r="K10" s="21" t="str">
        <f t="shared" si="3"/>
        <v/>
      </c>
      <c r="L10" s="24" t="str">
        <f t="shared" si="4"/>
        <v/>
      </c>
      <c r="M10" s="24" t="str">
        <f t="shared" si="5"/>
        <v/>
      </c>
      <c r="N10" s="24" t="str">
        <f t="shared" si="6"/>
        <v/>
      </c>
      <c r="O10" s="21">
        <f t="shared" si="7"/>
        <v>0</v>
      </c>
      <c r="P10" s="24" t="str">
        <f t="shared" si="8"/>
        <v/>
      </c>
    </row>
    <row r="11">
      <c r="A11" s="25">
        <f t="shared" si="9"/>
        <v>46086</v>
      </c>
      <c r="B11" s="25">
        <f t="shared" si="1"/>
        <v>46092</v>
      </c>
      <c r="C11" s="21">
        <f>SUMIFS('Daily Ops'!$H$2:$H$401,'Daily Ops'!$AH$2:$AH$401,$A11)</f>
        <v>0</v>
      </c>
      <c r="D11" s="21">
        <f>SUMIFS('Daily Ops'!$I$2:$I$401,'Daily Ops'!$AH$2:$AH$401,$A11)</f>
        <v>0</v>
      </c>
      <c r="E11" s="21">
        <f>SUMIFS('Daily Ops'!$J$2:$J$401,'Daily Ops'!$AH$2:$AH$401,$A11)</f>
        <v>0</v>
      </c>
      <c r="F11" s="23">
        <f>SUMIFS('Daily Ops'!$U$2:$U$401,'Daily Ops'!$AH$2:$AH$401,$A11)</f>
        <v>0</v>
      </c>
      <c r="G11" s="21">
        <f>SUMIFS('Daily Ops'!$Y$2:$Y$401,'Daily Ops'!$AH$2:$AH$401,$A11)</f>
        <v>0</v>
      </c>
      <c r="H11" s="21">
        <f>SUMIFS('Daily Ops'!$AA$2:$AA$401,'Daily Ops'!$AH$2:$AH$401,$A11)</f>
        <v>0</v>
      </c>
      <c r="I11" s="21">
        <f>SUMIFS('Daily Ops'!$AB$2:$AB$401,'Daily Ops'!$AH$2:$AH$401,$A11)</f>
        <v>0</v>
      </c>
      <c r="J11" s="21">
        <f t="shared" si="2"/>
        <v>0</v>
      </c>
      <c r="K11" s="21" t="str">
        <f t="shared" si="3"/>
        <v/>
      </c>
      <c r="L11" s="24" t="str">
        <f t="shared" si="4"/>
        <v/>
      </c>
      <c r="M11" s="24" t="str">
        <f t="shared" si="5"/>
        <v/>
      </c>
      <c r="N11" s="24" t="str">
        <f t="shared" si="6"/>
        <v/>
      </c>
      <c r="O11" s="21">
        <f t="shared" si="7"/>
        <v>0</v>
      </c>
      <c r="P11" s="24" t="str">
        <f t="shared" si="8"/>
        <v/>
      </c>
    </row>
    <row r="12">
      <c r="A12" s="25">
        <f t="shared" si="9"/>
        <v>46093</v>
      </c>
      <c r="B12" s="25">
        <f t="shared" si="1"/>
        <v>46099</v>
      </c>
      <c r="C12" s="21">
        <f>SUMIFS('Daily Ops'!$H$2:$H$401,'Daily Ops'!$AH$2:$AH$401,$A12)</f>
        <v>0</v>
      </c>
      <c r="D12" s="21">
        <f>SUMIFS('Daily Ops'!$I$2:$I$401,'Daily Ops'!$AH$2:$AH$401,$A12)</f>
        <v>0</v>
      </c>
      <c r="E12" s="21">
        <f>SUMIFS('Daily Ops'!$J$2:$J$401,'Daily Ops'!$AH$2:$AH$401,$A12)</f>
        <v>0</v>
      </c>
      <c r="F12" s="23">
        <f>SUMIFS('Daily Ops'!$U$2:$U$401,'Daily Ops'!$AH$2:$AH$401,$A12)</f>
        <v>0</v>
      </c>
      <c r="G12" s="21">
        <f>SUMIFS('Daily Ops'!$Y$2:$Y$401,'Daily Ops'!$AH$2:$AH$401,$A12)</f>
        <v>0</v>
      </c>
      <c r="H12" s="21">
        <f>SUMIFS('Daily Ops'!$AA$2:$AA$401,'Daily Ops'!$AH$2:$AH$401,$A12)</f>
        <v>0</v>
      </c>
      <c r="I12" s="21">
        <f>SUMIFS('Daily Ops'!$AB$2:$AB$401,'Daily Ops'!$AH$2:$AH$401,$A12)</f>
        <v>0</v>
      </c>
      <c r="J12" s="21">
        <f t="shared" si="2"/>
        <v>0</v>
      </c>
      <c r="K12" s="21" t="str">
        <f t="shared" si="3"/>
        <v/>
      </c>
      <c r="L12" s="24" t="str">
        <f t="shared" si="4"/>
        <v/>
      </c>
      <c r="M12" s="24" t="str">
        <f t="shared" si="5"/>
        <v/>
      </c>
      <c r="N12" s="24" t="str">
        <f t="shared" si="6"/>
        <v/>
      </c>
      <c r="O12" s="21">
        <f t="shared" si="7"/>
        <v>0</v>
      </c>
      <c r="P12" s="24" t="str">
        <f t="shared" si="8"/>
        <v/>
      </c>
    </row>
    <row r="13">
      <c r="A13" s="25">
        <f t="shared" si="9"/>
        <v>46100</v>
      </c>
      <c r="B13" s="25">
        <f t="shared" si="1"/>
        <v>46106</v>
      </c>
      <c r="C13" s="21">
        <f>SUMIFS('Daily Ops'!$H$2:$H$401,'Daily Ops'!$AH$2:$AH$401,$A13)</f>
        <v>0</v>
      </c>
      <c r="D13" s="21">
        <f>SUMIFS('Daily Ops'!$I$2:$I$401,'Daily Ops'!$AH$2:$AH$401,$A13)</f>
        <v>0</v>
      </c>
      <c r="E13" s="21">
        <f>SUMIFS('Daily Ops'!$J$2:$J$401,'Daily Ops'!$AH$2:$AH$401,$A13)</f>
        <v>0</v>
      </c>
      <c r="F13" s="23">
        <f>SUMIFS('Daily Ops'!$U$2:$U$401,'Daily Ops'!$AH$2:$AH$401,$A13)</f>
        <v>0</v>
      </c>
      <c r="G13" s="21">
        <f>SUMIFS('Daily Ops'!$Y$2:$Y$401,'Daily Ops'!$AH$2:$AH$401,$A13)</f>
        <v>0</v>
      </c>
      <c r="H13" s="21">
        <f>SUMIFS('Daily Ops'!$AA$2:$AA$401,'Daily Ops'!$AH$2:$AH$401,$A13)</f>
        <v>0</v>
      </c>
      <c r="I13" s="21">
        <f>SUMIFS('Daily Ops'!$AB$2:$AB$401,'Daily Ops'!$AH$2:$AH$401,$A13)</f>
        <v>0</v>
      </c>
      <c r="J13" s="21">
        <f t="shared" si="2"/>
        <v>0</v>
      </c>
      <c r="K13" s="21" t="str">
        <f t="shared" si="3"/>
        <v/>
      </c>
      <c r="L13" s="24" t="str">
        <f t="shared" si="4"/>
        <v/>
      </c>
      <c r="M13" s="24" t="str">
        <f t="shared" si="5"/>
        <v/>
      </c>
      <c r="N13" s="24" t="str">
        <f t="shared" si="6"/>
        <v/>
      </c>
      <c r="O13" s="21">
        <f t="shared" si="7"/>
        <v>0</v>
      </c>
      <c r="P13" s="24" t="str">
        <f t="shared" si="8"/>
        <v/>
      </c>
    </row>
    <row r="14">
      <c r="A14" s="25">
        <f t="shared" si="9"/>
        <v>46107</v>
      </c>
      <c r="B14" s="25">
        <f t="shared" si="1"/>
        <v>46113</v>
      </c>
      <c r="C14" s="21">
        <f>SUMIFS('Daily Ops'!$H$2:$H$401,'Daily Ops'!$AH$2:$AH$401,$A14)</f>
        <v>0</v>
      </c>
      <c r="D14" s="21">
        <f>SUMIFS('Daily Ops'!$I$2:$I$401,'Daily Ops'!$AH$2:$AH$401,$A14)</f>
        <v>0</v>
      </c>
      <c r="E14" s="21">
        <f>SUMIFS('Daily Ops'!$J$2:$J$401,'Daily Ops'!$AH$2:$AH$401,$A14)</f>
        <v>0</v>
      </c>
      <c r="F14" s="23">
        <f>SUMIFS('Daily Ops'!$U$2:$U$401,'Daily Ops'!$AH$2:$AH$401,$A14)</f>
        <v>0</v>
      </c>
      <c r="G14" s="21">
        <f>SUMIFS('Daily Ops'!$Y$2:$Y$401,'Daily Ops'!$AH$2:$AH$401,$A14)</f>
        <v>0</v>
      </c>
      <c r="H14" s="21">
        <f>SUMIFS('Daily Ops'!$AA$2:$AA$401,'Daily Ops'!$AH$2:$AH$401,$A14)</f>
        <v>0</v>
      </c>
      <c r="I14" s="21">
        <f>SUMIFS('Daily Ops'!$AB$2:$AB$401,'Daily Ops'!$AH$2:$AH$401,$A14)</f>
        <v>0</v>
      </c>
      <c r="J14" s="21">
        <f t="shared" si="2"/>
        <v>0</v>
      </c>
      <c r="K14" s="21" t="str">
        <f t="shared" si="3"/>
        <v/>
      </c>
      <c r="L14" s="24" t="str">
        <f t="shared" si="4"/>
        <v/>
      </c>
      <c r="M14" s="24" t="str">
        <f t="shared" si="5"/>
        <v/>
      </c>
      <c r="N14" s="24" t="str">
        <f t="shared" si="6"/>
        <v/>
      </c>
      <c r="O14" s="21">
        <f t="shared" si="7"/>
        <v>0</v>
      </c>
      <c r="P14" s="24" t="str">
        <f t="shared" si="8"/>
        <v/>
      </c>
    </row>
    <row r="15">
      <c r="A15" s="25">
        <f t="shared" si="9"/>
        <v>46114</v>
      </c>
      <c r="B15" s="25">
        <f t="shared" si="1"/>
        <v>46120</v>
      </c>
      <c r="C15" s="21">
        <f>SUMIFS('Daily Ops'!$H$2:$H$401,'Daily Ops'!$AH$2:$AH$401,$A15)</f>
        <v>0</v>
      </c>
      <c r="D15" s="21">
        <f>SUMIFS('Daily Ops'!$I$2:$I$401,'Daily Ops'!$AH$2:$AH$401,$A15)</f>
        <v>0</v>
      </c>
      <c r="E15" s="21">
        <f>SUMIFS('Daily Ops'!$J$2:$J$401,'Daily Ops'!$AH$2:$AH$401,$A15)</f>
        <v>0</v>
      </c>
      <c r="F15" s="23">
        <f>SUMIFS('Daily Ops'!$U$2:$U$401,'Daily Ops'!$AH$2:$AH$401,$A15)</f>
        <v>0</v>
      </c>
      <c r="G15" s="21">
        <f>SUMIFS('Daily Ops'!$Y$2:$Y$401,'Daily Ops'!$AH$2:$AH$401,$A15)</f>
        <v>0</v>
      </c>
      <c r="H15" s="21">
        <f>SUMIFS('Daily Ops'!$AA$2:$AA$401,'Daily Ops'!$AH$2:$AH$401,$A15)</f>
        <v>0</v>
      </c>
      <c r="I15" s="21">
        <f>SUMIFS('Daily Ops'!$AB$2:$AB$401,'Daily Ops'!$AH$2:$AH$401,$A15)</f>
        <v>0</v>
      </c>
      <c r="J15" s="21">
        <f t="shared" si="2"/>
        <v>0</v>
      </c>
      <c r="K15" s="21" t="str">
        <f t="shared" si="3"/>
        <v/>
      </c>
      <c r="L15" s="24" t="str">
        <f t="shared" si="4"/>
        <v/>
      </c>
      <c r="M15" s="24" t="str">
        <f t="shared" si="5"/>
        <v/>
      </c>
      <c r="N15" s="24" t="str">
        <f t="shared" si="6"/>
        <v/>
      </c>
      <c r="O15" s="21">
        <f t="shared" si="7"/>
        <v>0</v>
      </c>
      <c r="P15" s="24" t="str">
        <f t="shared" si="8"/>
        <v/>
      </c>
    </row>
    <row r="16">
      <c r="A16" s="25">
        <f t="shared" si="9"/>
        <v>46121</v>
      </c>
      <c r="B16" s="25">
        <f t="shared" si="1"/>
        <v>46127</v>
      </c>
      <c r="C16" s="21">
        <f>SUMIFS('Daily Ops'!$H$2:$H$401,'Daily Ops'!$AH$2:$AH$401,$A16)</f>
        <v>0</v>
      </c>
      <c r="D16" s="21">
        <f>SUMIFS('Daily Ops'!$I$2:$I$401,'Daily Ops'!$AH$2:$AH$401,$A16)</f>
        <v>0</v>
      </c>
      <c r="E16" s="21">
        <f>SUMIFS('Daily Ops'!$J$2:$J$401,'Daily Ops'!$AH$2:$AH$401,$A16)</f>
        <v>0</v>
      </c>
      <c r="F16" s="23">
        <f>SUMIFS('Daily Ops'!$U$2:$U$401,'Daily Ops'!$AH$2:$AH$401,$A16)</f>
        <v>0</v>
      </c>
      <c r="G16" s="21">
        <f>SUMIFS('Daily Ops'!$Y$2:$Y$401,'Daily Ops'!$AH$2:$AH$401,$A16)</f>
        <v>0</v>
      </c>
      <c r="H16" s="21">
        <f>SUMIFS('Daily Ops'!$AA$2:$AA$401,'Daily Ops'!$AH$2:$AH$401,$A16)</f>
        <v>0</v>
      </c>
      <c r="I16" s="21">
        <f>SUMIFS('Daily Ops'!$AB$2:$AB$401,'Daily Ops'!$AH$2:$AH$401,$A16)</f>
        <v>0</v>
      </c>
      <c r="J16" s="21">
        <f t="shared" si="2"/>
        <v>0</v>
      </c>
      <c r="K16" s="21" t="str">
        <f t="shared" si="3"/>
        <v/>
      </c>
      <c r="L16" s="24" t="str">
        <f t="shared" si="4"/>
        <v/>
      </c>
      <c r="M16" s="24" t="str">
        <f t="shared" si="5"/>
        <v/>
      </c>
      <c r="N16" s="24" t="str">
        <f t="shared" si="6"/>
        <v/>
      </c>
      <c r="O16" s="21">
        <f t="shared" si="7"/>
        <v>0</v>
      </c>
      <c r="P16" s="24" t="str">
        <f t="shared" si="8"/>
        <v/>
      </c>
    </row>
    <row r="17">
      <c r="A17" s="25">
        <f t="shared" si="9"/>
        <v>46128</v>
      </c>
      <c r="B17" s="25">
        <f t="shared" si="1"/>
        <v>46134</v>
      </c>
      <c r="C17" s="21">
        <f>SUMIFS('Daily Ops'!$H$2:$H$401,'Daily Ops'!$AH$2:$AH$401,$A17)</f>
        <v>0</v>
      </c>
      <c r="D17" s="21">
        <f>SUMIFS('Daily Ops'!$I$2:$I$401,'Daily Ops'!$AH$2:$AH$401,$A17)</f>
        <v>0</v>
      </c>
      <c r="E17" s="21">
        <f>SUMIFS('Daily Ops'!$J$2:$J$401,'Daily Ops'!$AH$2:$AH$401,$A17)</f>
        <v>0</v>
      </c>
      <c r="F17" s="23">
        <f>SUMIFS('Daily Ops'!$U$2:$U$401,'Daily Ops'!$AH$2:$AH$401,$A17)</f>
        <v>0</v>
      </c>
      <c r="G17" s="21">
        <f>SUMIFS('Daily Ops'!$Y$2:$Y$401,'Daily Ops'!$AH$2:$AH$401,$A17)</f>
        <v>0</v>
      </c>
      <c r="H17" s="21">
        <f>SUMIFS('Daily Ops'!$AA$2:$AA$401,'Daily Ops'!$AH$2:$AH$401,$A17)</f>
        <v>0</v>
      </c>
      <c r="I17" s="21">
        <f>SUMIFS('Daily Ops'!$AB$2:$AB$401,'Daily Ops'!$AH$2:$AH$401,$A17)</f>
        <v>0</v>
      </c>
      <c r="J17" s="21">
        <f t="shared" si="2"/>
        <v>0</v>
      </c>
      <c r="K17" s="21" t="str">
        <f t="shared" si="3"/>
        <v/>
      </c>
      <c r="L17" s="24" t="str">
        <f t="shared" si="4"/>
        <v/>
      </c>
      <c r="M17" s="24" t="str">
        <f t="shared" si="5"/>
        <v/>
      </c>
      <c r="N17" s="24" t="str">
        <f t="shared" si="6"/>
        <v/>
      </c>
      <c r="O17" s="21">
        <f t="shared" si="7"/>
        <v>0</v>
      </c>
      <c r="P17" s="24" t="str">
        <f t="shared" si="8"/>
        <v/>
      </c>
    </row>
    <row r="18">
      <c r="A18" s="25">
        <f t="shared" si="9"/>
        <v>46135</v>
      </c>
      <c r="B18" s="25">
        <f t="shared" si="1"/>
        <v>46141</v>
      </c>
      <c r="C18" s="21">
        <f>SUMIFS('Daily Ops'!$H$2:$H$401,'Daily Ops'!$AH$2:$AH$401,$A18)</f>
        <v>0</v>
      </c>
      <c r="D18" s="21">
        <f>SUMIFS('Daily Ops'!$I$2:$I$401,'Daily Ops'!$AH$2:$AH$401,$A18)</f>
        <v>0</v>
      </c>
      <c r="E18" s="21">
        <f>SUMIFS('Daily Ops'!$J$2:$J$401,'Daily Ops'!$AH$2:$AH$401,$A18)</f>
        <v>0</v>
      </c>
      <c r="F18" s="23">
        <f>SUMIFS('Daily Ops'!$U$2:$U$401,'Daily Ops'!$AH$2:$AH$401,$A18)</f>
        <v>0</v>
      </c>
      <c r="G18" s="21">
        <f>SUMIFS('Daily Ops'!$Y$2:$Y$401,'Daily Ops'!$AH$2:$AH$401,$A18)</f>
        <v>0</v>
      </c>
      <c r="H18" s="21">
        <f>SUMIFS('Daily Ops'!$AA$2:$AA$401,'Daily Ops'!$AH$2:$AH$401,$A18)</f>
        <v>0</v>
      </c>
      <c r="I18" s="21">
        <f>SUMIFS('Daily Ops'!$AB$2:$AB$401,'Daily Ops'!$AH$2:$AH$401,$A18)</f>
        <v>0</v>
      </c>
      <c r="J18" s="21">
        <f t="shared" si="2"/>
        <v>0</v>
      </c>
      <c r="K18" s="21" t="str">
        <f t="shared" si="3"/>
        <v/>
      </c>
      <c r="L18" s="24" t="str">
        <f t="shared" si="4"/>
        <v/>
      </c>
      <c r="M18" s="24" t="str">
        <f t="shared" si="5"/>
        <v/>
      </c>
      <c r="N18" s="24" t="str">
        <f t="shared" si="6"/>
        <v/>
      </c>
      <c r="O18" s="21">
        <f t="shared" si="7"/>
        <v>0</v>
      </c>
      <c r="P18" s="24" t="str">
        <f t="shared" si="8"/>
        <v/>
      </c>
    </row>
    <row r="19">
      <c r="A19" s="25">
        <f t="shared" si="9"/>
        <v>46142</v>
      </c>
      <c r="B19" s="25">
        <f t="shared" si="1"/>
        <v>46148</v>
      </c>
      <c r="C19" s="21">
        <f>SUMIFS('Daily Ops'!$H$2:$H$401,'Daily Ops'!$AH$2:$AH$401,$A19)</f>
        <v>0</v>
      </c>
      <c r="D19" s="21">
        <f>SUMIFS('Daily Ops'!$I$2:$I$401,'Daily Ops'!$AH$2:$AH$401,$A19)</f>
        <v>0</v>
      </c>
      <c r="E19" s="21">
        <f>SUMIFS('Daily Ops'!$J$2:$J$401,'Daily Ops'!$AH$2:$AH$401,$A19)</f>
        <v>0</v>
      </c>
      <c r="F19" s="23">
        <f>SUMIFS('Daily Ops'!$U$2:$U$401,'Daily Ops'!$AH$2:$AH$401,$A19)</f>
        <v>0</v>
      </c>
      <c r="G19" s="21">
        <f>SUMIFS('Daily Ops'!$Y$2:$Y$401,'Daily Ops'!$AH$2:$AH$401,$A19)</f>
        <v>0</v>
      </c>
      <c r="H19" s="21">
        <f>SUMIFS('Daily Ops'!$AA$2:$AA$401,'Daily Ops'!$AH$2:$AH$401,$A19)</f>
        <v>0</v>
      </c>
      <c r="I19" s="21">
        <f>SUMIFS('Daily Ops'!$AB$2:$AB$401,'Daily Ops'!$AH$2:$AH$401,$A19)</f>
        <v>0</v>
      </c>
      <c r="J19" s="21">
        <f t="shared" si="2"/>
        <v>0</v>
      </c>
      <c r="K19" s="21" t="str">
        <f t="shared" si="3"/>
        <v/>
      </c>
      <c r="L19" s="24" t="str">
        <f t="shared" si="4"/>
        <v/>
      </c>
      <c r="M19" s="24" t="str">
        <f t="shared" si="5"/>
        <v/>
      </c>
      <c r="N19" s="24" t="str">
        <f t="shared" si="6"/>
        <v/>
      </c>
      <c r="O19" s="21">
        <f t="shared" si="7"/>
        <v>0</v>
      </c>
      <c r="P19" s="24" t="str">
        <f t="shared" si="8"/>
        <v/>
      </c>
    </row>
    <row r="20">
      <c r="A20" s="25">
        <f t="shared" si="9"/>
        <v>46149</v>
      </c>
      <c r="B20" s="25">
        <f t="shared" si="1"/>
        <v>46155</v>
      </c>
      <c r="C20" s="21">
        <f>SUMIFS('Daily Ops'!$H$2:$H$401,'Daily Ops'!$AH$2:$AH$401,$A20)</f>
        <v>0</v>
      </c>
      <c r="D20" s="21">
        <f>SUMIFS('Daily Ops'!$I$2:$I$401,'Daily Ops'!$AH$2:$AH$401,$A20)</f>
        <v>0</v>
      </c>
      <c r="E20" s="21">
        <f>SUMIFS('Daily Ops'!$J$2:$J$401,'Daily Ops'!$AH$2:$AH$401,$A20)</f>
        <v>0</v>
      </c>
      <c r="F20" s="23">
        <f>SUMIFS('Daily Ops'!$U$2:$U$401,'Daily Ops'!$AH$2:$AH$401,$A20)</f>
        <v>0</v>
      </c>
      <c r="G20" s="21">
        <f>SUMIFS('Daily Ops'!$Y$2:$Y$401,'Daily Ops'!$AH$2:$AH$401,$A20)</f>
        <v>0</v>
      </c>
      <c r="H20" s="21">
        <f>SUMIFS('Daily Ops'!$AA$2:$AA$401,'Daily Ops'!$AH$2:$AH$401,$A20)</f>
        <v>0</v>
      </c>
      <c r="I20" s="21">
        <f>SUMIFS('Daily Ops'!$AB$2:$AB$401,'Daily Ops'!$AH$2:$AH$401,$A20)</f>
        <v>0</v>
      </c>
      <c r="J20" s="21">
        <f t="shared" si="2"/>
        <v>0</v>
      </c>
      <c r="K20" s="21" t="str">
        <f t="shared" si="3"/>
        <v/>
      </c>
      <c r="L20" s="24" t="str">
        <f t="shared" si="4"/>
        <v/>
      </c>
      <c r="M20" s="24" t="str">
        <f t="shared" si="5"/>
        <v/>
      </c>
      <c r="N20" s="24" t="str">
        <f t="shared" si="6"/>
        <v/>
      </c>
      <c r="O20" s="21">
        <f t="shared" si="7"/>
        <v>0</v>
      </c>
      <c r="P20" s="24" t="str">
        <f t="shared" si="8"/>
        <v/>
      </c>
    </row>
    <row r="21" ht="15.75" customHeight="1">
      <c r="A21" s="25">
        <f t="shared" si="9"/>
        <v>46156</v>
      </c>
      <c r="B21" s="25">
        <f t="shared" si="1"/>
        <v>46162</v>
      </c>
      <c r="C21" s="21">
        <f>SUMIFS('Daily Ops'!$H$2:$H$401,'Daily Ops'!$AH$2:$AH$401,$A21)</f>
        <v>0</v>
      </c>
      <c r="D21" s="21">
        <f>SUMIFS('Daily Ops'!$I$2:$I$401,'Daily Ops'!$AH$2:$AH$401,$A21)</f>
        <v>0</v>
      </c>
      <c r="E21" s="21">
        <f>SUMIFS('Daily Ops'!$J$2:$J$401,'Daily Ops'!$AH$2:$AH$401,$A21)</f>
        <v>0</v>
      </c>
      <c r="F21" s="23">
        <f>SUMIFS('Daily Ops'!$U$2:$U$401,'Daily Ops'!$AH$2:$AH$401,$A21)</f>
        <v>0</v>
      </c>
      <c r="G21" s="21">
        <f>SUMIFS('Daily Ops'!$Y$2:$Y$401,'Daily Ops'!$AH$2:$AH$401,$A21)</f>
        <v>0</v>
      </c>
      <c r="H21" s="21">
        <f>SUMIFS('Daily Ops'!$AA$2:$AA$401,'Daily Ops'!$AH$2:$AH$401,$A21)</f>
        <v>0</v>
      </c>
      <c r="I21" s="21">
        <f>SUMIFS('Daily Ops'!$AB$2:$AB$401,'Daily Ops'!$AH$2:$AH$401,$A21)</f>
        <v>0</v>
      </c>
      <c r="J21" s="21">
        <f t="shared" si="2"/>
        <v>0</v>
      </c>
      <c r="K21" s="21" t="str">
        <f t="shared" si="3"/>
        <v/>
      </c>
      <c r="L21" s="24" t="str">
        <f t="shared" si="4"/>
        <v/>
      </c>
      <c r="M21" s="24" t="str">
        <f t="shared" si="5"/>
        <v/>
      </c>
      <c r="N21" s="24" t="str">
        <f t="shared" si="6"/>
        <v/>
      </c>
      <c r="O21" s="21">
        <f t="shared" si="7"/>
        <v>0</v>
      </c>
      <c r="P21" s="24" t="str">
        <f t="shared" si="8"/>
        <v/>
      </c>
    </row>
    <row r="22" ht="15.75" customHeight="1">
      <c r="A22" s="25">
        <f t="shared" si="9"/>
        <v>46163</v>
      </c>
      <c r="B22" s="25">
        <f t="shared" si="1"/>
        <v>46169</v>
      </c>
      <c r="C22" s="21">
        <f>SUMIFS('Daily Ops'!$H$2:$H$401,'Daily Ops'!$AH$2:$AH$401,$A22)</f>
        <v>0</v>
      </c>
      <c r="D22" s="21">
        <f>SUMIFS('Daily Ops'!$I$2:$I$401,'Daily Ops'!$AH$2:$AH$401,$A22)</f>
        <v>0</v>
      </c>
      <c r="E22" s="21">
        <f>SUMIFS('Daily Ops'!$J$2:$J$401,'Daily Ops'!$AH$2:$AH$401,$A22)</f>
        <v>0</v>
      </c>
      <c r="F22" s="23">
        <f>SUMIFS('Daily Ops'!$U$2:$U$401,'Daily Ops'!$AH$2:$AH$401,$A22)</f>
        <v>0</v>
      </c>
      <c r="G22" s="21">
        <f>SUMIFS('Daily Ops'!$Y$2:$Y$401,'Daily Ops'!$AH$2:$AH$401,$A22)</f>
        <v>0</v>
      </c>
      <c r="H22" s="21">
        <f>SUMIFS('Daily Ops'!$AA$2:$AA$401,'Daily Ops'!$AH$2:$AH$401,$A22)</f>
        <v>0</v>
      </c>
      <c r="I22" s="21">
        <f>SUMIFS('Daily Ops'!$AB$2:$AB$401,'Daily Ops'!$AH$2:$AH$401,$A22)</f>
        <v>0</v>
      </c>
      <c r="J22" s="21">
        <f t="shared" si="2"/>
        <v>0</v>
      </c>
      <c r="K22" s="21" t="str">
        <f t="shared" si="3"/>
        <v/>
      </c>
      <c r="L22" s="24" t="str">
        <f t="shared" si="4"/>
        <v/>
      </c>
      <c r="M22" s="24" t="str">
        <f t="shared" si="5"/>
        <v/>
      </c>
      <c r="N22" s="24" t="str">
        <f t="shared" si="6"/>
        <v/>
      </c>
      <c r="O22" s="21">
        <f t="shared" si="7"/>
        <v>0</v>
      </c>
      <c r="P22" s="24" t="str">
        <f t="shared" si="8"/>
        <v/>
      </c>
    </row>
    <row r="23" ht="15.75" customHeight="1">
      <c r="A23" s="25">
        <f t="shared" si="9"/>
        <v>46170</v>
      </c>
      <c r="B23" s="25">
        <f t="shared" si="1"/>
        <v>46176</v>
      </c>
      <c r="C23" s="21">
        <f>SUMIFS('Daily Ops'!$H$2:$H$401,'Daily Ops'!$AH$2:$AH$401,$A23)</f>
        <v>0</v>
      </c>
      <c r="D23" s="21">
        <f>SUMIFS('Daily Ops'!$I$2:$I$401,'Daily Ops'!$AH$2:$AH$401,$A23)</f>
        <v>0</v>
      </c>
      <c r="E23" s="21">
        <f>SUMIFS('Daily Ops'!$J$2:$J$401,'Daily Ops'!$AH$2:$AH$401,$A23)</f>
        <v>0</v>
      </c>
      <c r="F23" s="23">
        <f>SUMIFS('Daily Ops'!$U$2:$U$401,'Daily Ops'!$AH$2:$AH$401,$A23)</f>
        <v>0</v>
      </c>
      <c r="G23" s="21">
        <f>SUMIFS('Daily Ops'!$Y$2:$Y$401,'Daily Ops'!$AH$2:$AH$401,$A23)</f>
        <v>0</v>
      </c>
      <c r="H23" s="21">
        <f>SUMIFS('Daily Ops'!$AA$2:$AA$401,'Daily Ops'!$AH$2:$AH$401,$A23)</f>
        <v>0</v>
      </c>
      <c r="I23" s="21">
        <f>SUMIFS('Daily Ops'!$AB$2:$AB$401,'Daily Ops'!$AH$2:$AH$401,$A23)</f>
        <v>0</v>
      </c>
      <c r="J23" s="21">
        <f t="shared" si="2"/>
        <v>0</v>
      </c>
      <c r="K23" s="21" t="str">
        <f t="shared" si="3"/>
        <v/>
      </c>
      <c r="L23" s="24" t="str">
        <f t="shared" si="4"/>
        <v/>
      </c>
      <c r="M23" s="24" t="str">
        <f t="shared" si="5"/>
        <v/>
      </c>
      <c r="N23" s="24" t="str">
        <f t="shared" si="6"/>
        <v/>
      </c>
      <c r="O23" s="21">
        <f t="shared" si="7"/>
        <v>0</v>
      </c>
      <c r="P23" s="24" t="str">
        <f t="shared" si="8"/>
        <v/>
      </c>
    </row>
    <row r="24" ht="15.75" customHeight="1">
      <c r="A24" s="25">
        <f t="shared" si="9"/>
        <v>46177</v>
      </c>
      <c r="B24" s="25">
        <f t="shared" si="1"/>
        <v>46183</v>
      </c>
      <c r="C24" s="21">
        <f>SUMIFS('Daily Ops'!$H$2:$H$401,'Daily Ops'!$AH$2:$AH$401,$A24)</f>
        <v>0</v>
      </c>
      <c r="D24" s="21">
        <f>SUMIFS('Daily Ops'!$I$2:$I$401,'Daily Ops'!$AH$2:$AH$401,$A24)</f>
        <v>0</v>
      </c>
      <c r="E24" s="21">
        <f>SUMIFS('Daily Ops'!$J$2:$J$401,'Daily Ops'!$AH$2:$AH$401,$A24)</f>
        <v>0</v>
      </c>
      <c r="F24" s="23">
        <f>SUMIFS('Daily Ops'!$U$2:$U$401,'Daily Ops'!$AH$2:$AH$401,$A24)</f>
        <v>0</v>
      </c>
      <c r="G24" s="21">
        <f>SUMIFS('Daily Ops'!$Y$2:$Y$401,'Daily Ops'!$AH$2:$AH$401,$A24)</f>
        <v>0</v>
      </c>
      <c r="H24" s="21">
        <f>SUMIFS('Daily Ops'!$AA$2:$AA$401,'Daily Ops'!$AH$2:$AH$401,$A24)</f>
        <v>0</v>
      </c>
      <c r="I24" s="21">
        <f>SUMIFS('Daily Ops'!$AB$2:$AB$401,'Daily Ops'!$AH$2:$AH$401,$A24)</f>
        <v>0</v>
      </c>
      <c r="J24" s="21">
        <f t="shared" si="2"/>
        <v>0</v>
      </c>
      <c r="K24" s="21" t="str">
        <f t="shared" si="3"/>
        <v/>
      </c>
      <c r="L24" s="24" t="str">
        <f t="shared" si="4"/>
        <v/>
      </c>
      <c r="M24" s="24" t="str">
        <f t="shared" si="5"/>
        <v/>
      </c>
      <c r="N24" s="24" t="str">
        <f t="shared" si="6"/>
        <v/>
      </c>
      <c r="O24" s="21">
        <f t="shared" si="7"/>
        <v>0</v>
      </c>
      <c r="P24" s="24" t="str">
        <f t="shared" si="8"/>
        <v/>
      </c>
    </row>
    <row r="25" ht="15.75" customHeight="1">
      <c r="A25" s="25">
        <f t="shared" si="9"/>
        <v>46184</v>
      </c>
      <c r="B25" s="25">
        <f t="shared" si="1"/>
        <v>46190</v>
      </c>
      <c r="C25" s="21">
        <f>SUMIFS('Daily Ops'!$H$2:$H$401,'Daily Ops'!$AH$2:$AH$401,$A25)</f>
        <v>0</v>
      </c>
      <c r="D25" s="21">
        <f>SUMIFS('Daily Ops'!$I$2:$I$401,'Daily Ops'!$AH$2:$AH$401,$A25)</f>
        <v>0</v>
      </c>
      <c r="E25" s="21">
        <f>SUMIFS('Daily Ops'!$J$2:$J$401,'Daily Ops'!$AH$2:$AH$401,$A25)</f>
        <v>0</v>
      </c>
      <c r="F25" s="23">
        <f>SUMIFS('Daily Ops'!$U$2:$U$401,'Daily Ops'!$AH$2:$AH$401,$A25)</f>
        <v>0</v>
      </c>
      <c r="G25" s="21">
        <f>SUMIFS('Daily Ops'!$Y$2:$Y$401,'Daily Ops'!$AH$2:$AH$401,$A25)</f>
        <v>0</v>
      </c>
      <c r="H25" s="21">
        <f>SUMIFS('Daily Ops'!$AA$2:$AA$401,'Daily Ops'!$AH$2:$AH$401,$A25)</f>
        <v>0</v>
      </c>
      <c r="I25" s="21">
        <f>SUMIFS('Daily Ops'!$AB$2:$AB$401,'Daily Ops'!$AH$2:$AH$401,$A25)</f>
        <v>0</v>
      </c>
      <c r="J25" s="21">
        <f t="shared" si="2"/>
        <v>0</v>
      </c>
      <c r="K25" s="21" t="str">
        <f t="shared" si="3"/>
        <v/>
      </c>
      <c r="L25" s="24" t="str">
        <f t="shared" si="4"/>
        <v/>
      </c>
      <c r="M25" s="24" t="str">
        <f t="shared" si="5"/>
        <v/>
      </c>
      <c r="N25" s="24" t="str">
        <f t="shared" si="6"/>
        <v/>
      </c>
      <c r="O25" s="21">
        <f t="shared" si="7"/>
        <v>0</v>
      </c>
      <c r="P25" s="24" t="str">
        <f t="shared" si="8"/>
        <v/>
      </c>
    </row>
    <row r="26" ht="15.75" customHeight="1">
      <c r="A26" s="25">
        <f t="shared" si="9"/>
        <v>46191</v>
      </c>
      <c r="B26" s="25">
        <f t="shared" si="1"/>
        <v>46197</v>
      </c>
      <c r="C26" s="21">
        <f>SUMIFS('Daily Ops'!$H$2:$H$401,'Daily Ops'!$AH$2:$AH$401,$A26)</f>
        <v>0</v>
      </c>
      <c r="D26" s="21">
        <f>SUMIFS('Daily Ops'!$I$2:$I$401,'Daily Ops'!$AH$2:$AH$401,$A26)</f>
        <v>0</v>
      </c>
      <c r="E26" s="21">
        <f>SUMIFS('Daily Ops'!$J$2:$J$401,'Daily Ops'!$AH$2:$AH$401,$A26)</f>
        <v>0</v>
      </c>
      <c r="F26" s="23">
        <f>SUMIFS('Daily Ops'!$U$2:$U$401,'Daily Ops'!$AH$2:$AH$401,$A26)</f>
        <v>0</v>
      </c>
      <c r="G26" s="21">
        <f>SUMIFS('Daily Ops'!$Y$2:$Y$401,'Daily Ops'!$AH$2:$AH$401,$A26)</f>
        <v>0</v>
      </c>
      <c r="H26" s="21">
        <f>SUMIFS('Daily Ops'!$AA$2:$AA$401,'Daily Ops'!$AH$2:$AH$401,$A26)</f>
        <v>0</v>
      </c>
      <c r="I26" s="21">
        <f>SUMIFS('Daily Ops'!$AB$2:$AB$401,'Daily Ops'!$AH$2:$AH$401,$A26)</f>
        <v>0</v>
      </c>
      <c r="J26" s="21">
        <f t="shared" si="2"/>
        <v>0</v>
      </c>
      <c r="K26" s="21" t="str">
        <f t="shared" si="3"/>
        <v/>
      </c>
      <c r="L26" s="24" t="str">
        <f t="shared" si="4"/>
        <v/>
      </c>
      <c r="M26" s="24" t="str">
        <f t="shared" si="5"/>
        <v/>
      </c>
      <c r="N26" s="24" t="str">
        <f t="shared" si="6"/>
        <v/>
      </c>
      <c r="O26" s="21">
        <f t="shared" si="7"/>
        <v>0</v>
      </c>
      <c r="P26" s="24" t="str">
        <f t="shared" si="8"/>
        <v/>
      </c>
    </row>
    <row r="27" ht="15.75" customHeight="1">
      <c r="A27" s="25">
        <f t="shared" si="9"/>
        <v>46198</v>
      </c>
      <c r="B27" s="25">
        <f t="shared" si="1"/>
        <v>46204</v>
      </c>
      <c r="C27" s="21">
        <f>SUMIFS('Daily Ops'!$H$2:$H$401,'Daily Ops'!$AH$2:$AH$401,$A27)</f>
        <v>0</v>
      </c>
      <c r="D27" s="21">
        <f>SUMIFS('Daily Ops'!$I$2:$I$401,'Daily Ops'!$AH$2:$AH$401,$A27)</f>
        <v>0</v>
      </c>
      <c r="E27" s="21">
        <f>SUMIFS('Daily Ops'!$J$2:$J$401,'Daily Ops'!$AH$2:$AH$401,$A27)</f>
        <v>0</v>
      </c>
      <c r="F27" s="23">
        <f>SUMIFS('Daily Ops'!$U$2:$U$401,'Daily Ops'!$AH$2:$AH$401,$A27)</f>
        <v>0</v>
      </c>
      <c r="G27" s="21">
        <f>SUMIFS('Daily Ops'!$Y$2:$Y$401,'Daily Ops'!$AH$2:$AH$401,$A27)</f>
        <v>0</v>
      </c>
      <c r="H27" s="21">
        <f>SUMIFS('Daily Ops'!$AA$2:$AA$401,'Daily Ops'!$AH$2:$AH$401,$A27)</f>
        <v>0</v>
      </c>
      <c r="I27" s="21">
        <f>SUMIFS('Daily Ops'!$AB$2:$AB$401,'Daily Ops'!$AH$2:$AH$401,$A27)</f>
        <v>0</v>
      </c>
      <c r="J27" s="21">
        <f t="shared" si="2"/>
        <v>0</v>
      </c>
      <c r="K27" s="21" t="str">
        <f t="shared" si="3"/>
        <v/>
      </c>
      <c r="L27" s="24" t="str">
        <f t="shared" si="4"/>
        <v/>
      </c>
      <c r="M27" s="24" t="str">
        <f t="shared" si="5"/>
        <v/>
      </c>
      <c r="N27" s="24" t="str">
        <f t="shared" si="6"/>
        <v/>
      </c>
      <c r="O27" s="21">
        <f t="shared" si="7"/>
        <v>0</v>
      </c>
      <c r="P27" s="24" t="str">
        <f t="shared" si="8"/>
        <v/>
      </c>
    </row>
    <row r="28" ht="15.75" customHeight="1">
      <c r="A28" s="25">
        <f t="shared" si="9"/>
        <v>46205</v>
      </c>
      <c r="B28" s="25">
        <f t="shared" si="1"/>
        <v>46211</v>
      </c>
      <c r="C28" s="21">
        <f>SUMIFS('Daily Ops'!$H$2:$H$401,'Daily Ops'!$AH$2:$AH$401,$A28)</f>
        <v>0</v>
      </c>
      <c r="D28" s="21">
        <f>SUMIFS('Daily Ops'!$I$2:$I$401,'Daily Ops'!$AH$2:$AH$401,$A28)</f>
        <v>0</v>
      </c>
      <c r="E28" s="21">
        <f>SUMIFS('Daily Ops'!$J$2:$J$401,'Daily Ops'!$AH$2:$AH$401,$A28)</f>
        <v>0</v>
      </c>
      <c r="F28" s="23">
        <f>SUMIFS('Daily Ops'!$U$2:$U$401,'Daily Ops'!$AH$2:$AH$401,$A28)</f>
        <v>0</v>
      </c>
      <c r="G28" s="21">
        <f>SUMIFS('Daily Ops'!$Y$2:$Y$401,'Daily Ops'!$AH$2:$AH$401,$A28)</f>
        <v>0</v>
      </c>
      <c r="H28" s="21">
        <f>SUMIFS('Daily Ops'!$AA$2:$AA$401,'Daily Ops'!$AH$2:$AH$401,$A28)</f>
        <v>0</v>
      </c>
      <c r="I28" s="21">
        <f>SUMIFS('Daily Ops'!$AB$2:$AB$401,'Daily Ops'!$AH$2:$AH$401,$A28)</f>
        <v>0</v>
      </c>
      <c r="J28" s="21">
        <f t="shared" si="2"/>
        <v>0</v>
      </c>
      <c r="K28" s="21" t="str">
        <f t="shared" si="3"/>
        <v/>
      </c>
      <c r="L28" s="24" t="str">
        <f t="shared" si="4"/>
        <v/>
      </c>
      <c r="M28" s="24" t="str">
        <f t="shared" si="5"/>
        <v/>
      </c>
      <c r="N28" s="24" t="str">
        <f t="shared" si="6"/>
        <v/>
      </c>
      <c r="O28" s="21">
        <f t="shared" si="7"/>
        <v>0</v>
      </c>
      <c r="P28" s="24" t="str">
        <f t="shared" si="8"/>
        <v/>
      </c>
    </row>
    <row r="29" ht="15.75" customHeight="1">
      <c r="A29" s="25">
        <f t="shared" si="9"/>
        <v>46212</v>
      </c>
      <c r="B29" s="25">
        <f t="shared" si="1"/>
        <v>46218</v>
      </c>
      <c r="C29" s="21">
        <f>SUMIFS('Daily Ops'!$H$2:$H$401,'Daily Ops'!$AH$2:$AH$401,$A29)</f>
        <v>0</v>
      </c>
      <c r="D29" s="21">
        <f>SUMIFS('Daily Ops'!$I$2:$I$401,'Daily Ops'!$AH$2:$AH$401,$A29)</f>
        <v>0</v>
      </c>
      <c r="E29" s="21">
        <f>SUMIFS('Daily Ops'!$J$2:$J$401,'Daily Ops'!$AH$2:$AH$401,$A29)</f>
        <v>0</v>
      </c>
      <c r="F29" s="23">
        <f>SUMIFS('Daily Ops'!$U$2:$U$401,'Daily Ops'!$AH$2:$AH$401,$A29)</f>
        <v>0</v>
      </c>
      <c r="G29" s="21">
        <f>SUMIFS('Daily Ops'!$Y$2:$Y$401,'Daily Ops'!$AH$2:$AH$401,$A29)</f>
        <v>0</v>
      </c>
      <c r="H29" s="21">
        <f>SUMIFS('Daily Ops'!$AA$2:$AA$401,'Daily Ops'!$AH$2:$AH$401,$A29)</f>
        <v>0</v>
      </c>
      <c r="I29" s="21">
        <f>SUMIFS('Daily Ops'!$AB$2:$AB$401,'Daily Ops'!$AH$2:$AH$401,$A29)</f>
        <v>0</v>
      </c>
      <c r="J29" s="21">
        <f t="shared" si="2"/>
        <v>0</v>
      </c>
      <c r="K29" s="21" t="str">
        <f t="shared" si="3"/>
        <v/>
      </c>
      <c r="L29" s="24" t="str">
        <f t="shared" si="4"/>
        <v/>
      </c>
      <c r="M29" s="24" t="str">
        <f t="shared" si="5"/>
        <v/>
      </c>
      <c r="N29" s="24" t="str">
        <f t="shared" si="6"/>
        <v/>
      </c>
      <c r="O29" s="21">
        <f t="shared" si="7"/>
        <v>0</v>
      </c>
      <c r="P29" s="24" t="str">
        <f t="shared" si="8"/>
        <v/>
      </c>
    </row>
    <row r="30" ht="15.75" customHeight="1">
      <c r="A30" s="25">
        <f t="shared" si="9"/>
        <v>46219</v>
      </c>
      <c r="B30" s="25">
        <f t="shared" si="1"/>
        <v>46225</v>
      </c>
      <c r="C30" s="21">
        <f>SUMIFS('Daily Ops'!$H$2:$H$401,'Daily Ops'!$AH$2:$AH$401,$A30)</f>
        <v>0</v>
      </c>
      <c r="D30" s="21">
        <f>SUMIFS('Daily Ops'!$I$2:$I$401,'Daily Ops'!$AH$2:$AH$401,$A30)</f>
        <v>0</v>
      </c>
      <c r="E30" s="21">
        <f>SUMIFS('Daily Ops'!$J$2:$J$401,'Daily Ops'!$AH$2:$AH$401,$A30)</f>
        <v>0</v>
      </c>
      <c r="F30" s="23">
        <f>SUMIFS('Daily Ops'!$U$2:$U$401,'Daily Ops'!$AH$2:$AH$401,$A30)</f>
        <v>0</v>
      </c>
      <c r="G30" s="21">
        <f>SUMIFS('Daily Ops'!$Y$2:$Y$401,'Daily Ops'!$AH$2:$AH$401,$A30)</f>
        <v>0</v>
      </c>
      <c r="H30" s="21">
        <f>SUMIFS('Daily Ops'!$AA$2:$AA$401,'Daily Ops'!$AH$2:$AH$401,$A30)</f>
        <v>0</v>
      </c>
      <c r="I30" s="21">
        <f>SUMIFS('Daily Ops'!$AB$2:$AB$401,'Daily Ops'!$AH$2:$AH$401,$A30)</f>
        <v>0</v>
      </c>
      <c r="J30" s="21">
        <f t="shared" si="2"/>
        <v>0</v>
      </c>
      <c r="K30" s="21" t="str">
        <f t="shared" si="3"/>
        <v/>
      </c>
      <c r="L30" s="24" t="str">
        <f t="shared" si="4"/>
        <v/>
      </c>
      <c r="M30" s="24" t="str">
        <f t="shared" si="5"/>
        <v/>
      </c>
      <c r="N30" s="24" t="str">
        <f t="shared" si="6"/>
        <v/>
      </c>
      <c r="O30" s="21">
        <f t="shared" si="7"/>
        <v>0</v>
      </c>
      <c r="P30" s="24" t="str">
        <f t="shared" si="8"/>
        <v/>
      </c>
    </row>
    <row r="31" ht="15.75" customHeight="1">
      <c r="A31" s="25">
        <f t="shared" si="9"/>
        <v>46226</v>
      </c>
      <c r="B31" s="25">
        <f t="shared" si="1"/>
        <v>46232</v>
      </c>
      <c r="C31" s="21">
        <f>SUMIFS('Daily Ops'!$H$2:$H$401,'Daily Ops'!$AH$2:$AH$401,$A31)</f>
        <v>0</v>
      </c>
      <c r="D31" s="21">
        <f>SUMIFS('Daily Ops'!$I$2:$I$401,'Daily Ops'!$AH$2:$AH$401,$A31)</f>
        <v>0</v>
      </c>
      <c r="E31" s="21">
        <f>SUMIFS('Daily Ops'!$J$2:$J$401,'Daily Ops'!$AH$2:$AH$401,$A31)</f>
        <v>0</v>
      </c>
      <c r="F31" s="23">
        <f>SUMIFS('Daily Ops'!$U$2:$U$401,'Daily Ops'!$AH$2:$AH$401,$A31)</f>
        <v>0</v>
      </c>
      <c r="G31" s="21">
        <f>SUMIFS('Daily Ops'!$Y$2:$Y$401,'Daily Ops'!$AH$2:$AH$401,$A31)</f>
        <v>0</v>
      </c>
      <c r="H31" s="21">
        <f>SUMIFS('Daily Ops'!$AA$2:$AA$401,'Daily Ops'!$AH$2:$AH$401,$A31)</f>
        <v>0</v>
      </c>
      <c r="I31" s="21">
        <f>SUMIFS('Daily Ops'!$AB$2:$AB$401,'Daily Ops'!$AH$2:$AH$401,$A31)</f>
        <v>0</v>
      </c>
      <c r="J31" s="21">
        <f t="shared" si="2"/>
        <v>0</v>
      </c>
      <c r="K31" s="21" t="str">
        <f t="shared" si="3"/>
        <v/>
      </c>
      <c r="L31" s="24" t="str">
        <f t="shared" si="4"/>
        <v/>
      </c>
      <c r="M31" s="24" t="str">
        <f t="shared" si="5"/>
        <v/>
      </c>
      <c r="N31" s="24" t="str">
        <f t="shared" si="6"/>
        <v/>
      </c>
      <c r="O31" s="21">
        <f t="shared" si="7"/>
        <v>0</v>
      </c>
      <c r="P31" s="24" t="str">
        <f t="shared" si="8"/>
        <v/>
      </c>
    </row>
    <row r="32" ht="15.75" customHeight="1">
      <c r="A32" s="25">
        <f t="shared" si="9"/>
        <v>46233</v>
      </c>
      <c r="B32" s="25">
        <f t="shared" si="1"/>
        <v>46239</v>
      </c>
      <c r="C32" s="21">
        <f>SUMIFS('Daily Ops'!$H$2:$H$401,'Daily Ops'!$AH$2:$AH$401,$A32)</f>
        <v>0</v>
      </c>
      <c r="D32" s="21">
        <f>SUMIFS('Daily Ops'!$I$2:$I$401,'Daily Ops'!$AH$2:$AH$401,$A32)</f>
        <v>0</v>
      </c>
      <c r="E32" s="21">
        <f>SUMIFS('Daily Ops'!$J$2:$J$401,'Daily Ops'!$AH$2:$AH$401,$A32)</f>
        <v>0</v>
      </c>
      <c r="F32" s="23">
        <f>SUMIFS('Daily Ops'!$U$2:$U$401,'Daily Ops'!$AH$2:$AH$401,$A32)</f>
        <v>0</v>
      </c>
      <c r="G32" s="21">
        <f>SUMIFS('Daily Ops'!$Y$2:$Y$401,'Daily Ops'!$AH$2:$AH$401,$A32)</f>
        <v>0</v>
      </c>
      <c r="H32" s="21">
        <f>SUMIFS('Daily Ops'!$AA$2:$AA$401,'Daily Ops'!$AH$2:$AH$401,$A32)</f>
        <v>0</v>
      </c>
      <c r="I32" s="21">
        <f>SUMIFS('Daily Ops'!$AB$2:$AB$401,'Daily Ops'!$AH$2:$AH$401,$A32)</f>
        <v>0</v>
      </c>
      <c r="J32" s="21">
        <f t="shared" si="2"/>
        <v>0</v>
      </c>
      <c r="K32" s="21" t="str">
        <f t="shared" si="3"/>
        <v/>
      </c>
      <c r="L32" s="24" t="str">
        <f t="shared" si="4"/>
        <v/>
      </c>
      <c r="M32" s="24" t="str">
        <f t="shared" si="5"/>
        <v/>
      </c>
      <c r="N32" s="24" t="str">
        <f t="shared" si="6"/>
        <v/>
      </c>
      <c r="O32" s="21">
        <f t="shared" si="7"/>
        <v>0</v>
      </c>
      <c r="P32" s="24" t="str">
        <f t="shared" si="8"/>
        <v/>
      </c>
    </row>
    <row r="33" ht="15.75" customHeight="1">
      <c r="A33" s="25">
        <f t="shared" si="9"/>
        <v>46240</v>
      </c>
      <c r="B33" s="25">
        <f t="shared" si="1"/>
        <v>46246</v>
      </c>
      <c r="C33" s="21">
        <f>SUMIFS('Daily Ops'!$H$2:$H$401,'Daily Ops'!$AH$2:$AH$401,$A33)</f>
        <v>0</v>
      </c>
      <c r="D33" s="21">
        <f>SUMIFS('Daily Ops'!$I$2:$I$401,'Daily Ops'!$AH$2:$AH$401,$A33)</f>
        <v>0</v>
      </c>
      <c r="E33" s="21">
        <f>SUMIFS('Daily Ops'!$J$2:$J$401,'Daily Ops'!$AH$2:$AH$401,$A33)</f>
        <v>0</v>
      </c>
      <c r="F33" s="23">
        <f>SUMIFS('Daily Ops'!$U$2:$U$401,'Daily Ops'!$AH$2:$AH$401,$A33)</f>
        <v>0</v>
      </c>
      <c r="G33" s="21">
        <f>SUMIFS('Daily Ops'!$Y$2:$Y$401,'Daily Ops'!$AH$2:$AH$401,$A33)</f>
        <v>0</v>
      </c>
      <c r="H33" s="21">
        <f>SUMIFS('Daily Ops'!$AA$2:$AA$401,'Daily Ops'!$AH$2:$AH$401,$A33)</f>
        <v>0</v>
      </c>
      <c r="I33" s="21">
        <f>SUMIFS('Daily Ops'!$AB$2:$AB$401,'Daily Ops'!$AH$2:$AH$401,$A33)</f>
        <v>0</v>
      </c>
      <c r="J33" s="21">
        <f t="shared" si="2"/>
        <v>0</v>
      </c>
      <c r="K33" s="21" t="str">
        <f t="shared" si="3"/>
        <v/>
      </c>
      <c r="L33" s="24" t="str">
        <f t="shared" si="4"/>
        <v/>
      </c>
      <c r="M33" s="24" t="str">
        <f t="shared" si="5"/>
        <v/>
      </c>
      <c r="N33" s="24" t="str">
        <f t="shared" si="6"/>
        <v/>
      </c>
      <c r="O33" s="21">
        <f t="shared" si="7"/>
        <v>0</v>
      </c>
      <c r="P33" s="24" t="str">
        <f t="shared" si="8"/>
        <v/>
      </c>
    </row>
    <row r="34" ht="15.75" customHeight="1">
      <c r="A34" s="25">
        <f t="shared" si="9"/>
        <v>46247</v>
      </c>
      <c r="B34" s="25">
        <f t="shared" si="1"/>
        <v>46253</v>
      </c>
      <c r="C34" s="21">
        <f>SUMIFS('Daily Ops'!$H$2:$H$401,'Daily Ops'!$AH$2:$AH$401,$A34)</f>
        <v>0</v>
      </c>
      <c r="D34" s="21">
        <f>SUMIFS('Daily Ops'!$I$2:$I$401,'Daily Ops'!$AH$2:$AH$401,$A34)</f>
        <v>0</v>
      </c>
      <c r="E34" s="21">
        <f>SUMIFS('Daily Ops'!$J$2:$J$401,'Daily Ops'!$AH$2:$AH$401,$A34)</f>
        <v>0</v>
      </c>
      <c r="F34" s="23">
        <f>SUMIFS('Daily Ops'!$U$2:$U$401,'Daily Ops'!$AH$2:$AH$401,$A34)</f>
        <v>0</v>
      </c>
      <c r="G34" s="21">
        <f>SUMIFS('Daily Ops'!$Y$2:$Y$401,'Daily Ops'!$AH$2:$AH$401,$A34)</f>
        <v>0</v>
      </c>
      <c r="H34" s="21">
        <f>SUMIFS('Daily Ops'!$AA$2:$AA$401,'Daily Ops'!$AH$2:$AH$401,$A34)</f>
        <v>0</v>
      </c>
      <c r="I34" s="21">
        <f>SUMIFS('Daily Ops'!$AB$2:$AB$401,'Daily Ops'!$AH$2:$AH$401,$A34)</f>
        <v>0</v>
      </c>
      <c r="J34" s="21">
        <f t="shared" si="2"/>
        <v>0</v>
      </c>
      <c r="K34" s="21" t="str">
        <f t="shared" si="3"/>
        <v/>
      </c>
      <c r="L34" s="24" t="str">
        <f t="shared" si="4"/>
        <v/>
      </c>
      <c r="M34" s="24" t="str">
        <f t="shared" si="5"/>
        <v/>
      </c>
      <c r="N34" s="24" t="str">
        <f t="shared" si="6"/>
        <v/>
      </c>
      <c r="O34" s="21">
        <f t="shared" si="7"/>
        <v>0</v>
      </c>
      <c r="P34" s="24" t="str">
        <f t="shared" si="8"/>
        <v/>
      </c>
    </row>
    <row r="35" ht="15.75" customHeight="1">
      <c r="A35" s="25">
        <f t="shared" si="9"/>
        <v>46254</v>
      </c>
      <c r="B35" s="25">
        <f t="shared" si="1"/>
        <v>46260</v>
      </c>
      <c r="C35" s="21">
        <f>SUMIFS('Daily Ops'!$H$2:$H$401,'Daily Ops'!$AH$2:$AH$401,$A35)</f>
        <v>0</v>
      </c>
      <c r="D35" s="21">
        <f>SUMIFS('Daily Ops'!$I$2:$I$401,'Daily Ops'!$AH$2:$AH$401,$A35)</f>
        <v>0</v>
      </c>
      <c r="E35" s="21">
        <f>SUMIFS('Daily Ops'!$J$2:$J$401,'Daily Ops'!$AH$2:$AH$401,$A35)</f>
        <v>0</v>
      </c>
      <c r="F35" s="23">
        <f>SUMIFS('Daily Ops'!$U$2:$U$401,'Daily Ops'!$AH$2:$AH$401,$A35)</f>
        <v>0</v>
      </c>
      <c r="G35" s="21">
        <f>SUMIFS('Daily Ops'!$Y$2:$Y$401,'Daily Ops'!$AH$2:$AH$401,$A35)</f>
        <v>0</v>
      </c>
      <c r="H35" s="21">
        <f>SUMIFS('Daily Ops'!$AA$2:$AA$401,'Daily Ops'!$AH$2:$AH$401,$A35)</f>
        <v>0</v>
      </c>
      <c r="I35" s="21">
        <f>SUMIFS('Daily Ops'!$AB$2:$AB$401,'Daily Ops'!$AH$2:$AH$401,$A35)</f>
        <v>0</v>
      </c>
      <c r="J35" s="21">
        <f t="shared" si="2"/>
        <v>0</v>
      </c>
      <c r="K35" s="21" t="str">
        <f t="shared" si="3"/>
        <v/>
      </c>
      <c r="L35" s="24" t="str">
        <f t="shared" si="4"/>
        <v/>
      </c>
      <c r="M35" s="24" t="str">
        <f t="shared" si="5"/>
        <v/>
      </c>
      <c r="N35" s="24" t="str">
        <f t="shared" si="6"/>
        <v/>
      </c>
      <c r="O35" s="21">
        <f t="shared" si="7"/>
        <v>0</v>
      </c>
      <c r="P35" s="24" t="str">
        <f t="shared" si="8"/>
        <v/>
      </c>
    </row>
    <row r="36" ht="15.75" customHeight="1">
      <c r="A36" s="25">
        <f t="shared" si="9"/>
        <v>46261</v>
      </c>
      <c r="B36" s="25">
        <f t="shared" si="1"/>
        <v>46267</v>
      </c>
      <c r="C36" s="21">
        <f>SUMIFS('Daily Ops'!$H$2:$H$401,'Daily Ops'!$AH$2:$AH$401,$A36)</f>
        <v>0</v>
      </c>
      <c r="D36" s="21">
        <f>SUMIFS('Daily Ops'!$I$2:$I$401,'Daily Ops'!$AH$2:$AH$401,$A36)</f>
        <v>0</v>
      </c>
      <c r="E36" s="21">
        <f>SUMIFS('Daily Ops'!$J$2:$J$401,'Daily Ops'!$AH$2:$AH$401,$A36)</f>
        <v>0</v>
      </c>
      <c r="F36" s="23">
        <f>SUMIFS('Daily Ops'!$U$2:$U$401,'Daily Ops'!$AH$2:$AH$401,$A36)</f>
        <v>0</v>
      </c>
      <c r="G36" s="21">
        <f>SUMIFS('Daily Ops'!$Y$2:$Y$401,'Daily Ops'!$AH$2:$AH$401,$A36)</f>
        <v>0</v>
      </c>
      <c r="H36" s="21">
        <f>SUMIFS('Daily Ops'!$AA$2:$AA$401,'Daily Ops'!$AH$2:$AH$401,$A36)</f>
        <v>0</v>
      </c>
      <c r="I36" s="21">
        <f>SUMIFS('Daily Ops'!$AB$2:$AB$401,'Daily Ops'!$AH$2:$AH$401,$A36)</f>
        <v>0</v>
      </c>
      <c r="J36" s="21">
        <f t="shared" si="2"/>
        <v>0</v>
      </c>
      <c r="K36" s="21" t="str">
        <f t="shared" si="3"/>
        <v/>
      </c>
      <c r="L36" s="24" t="str">
        <f t="shared" si="4"/>
        <v/>
      </c>
      <c r="M36" s="24" t="str">
        <f t="shared" si="5"/>
        <v/>
      </c>
      <c r="N36" s="24" t="str">
        <f t="shared" si="6"/>
        <v/>
      </c>
      <c r="O36" s="21">
        <f t="shared" si="7"/>
        <v>0</v>
      </c>
      <c r="P36" s="24" t="str">
        <f t="shared" si="8"/>
        <v/>
      </c>
    </row>
    <row r="37" ht="15.75" customHeight="1">
      <c r="A37" s="25">
        <f t="shared" si="9"/>
        <v>46268</v>
      </c>
      <c r="B37" s="25">
        <f t="shared" si="1"/>
        <v>46274</v>
      </c>
      <c r="C37" s="21">
        <f>SUMIFS('Daily Ops'!$H$2:$H$401,'Daily Ops'!$AH$2:$AH$401,$A37)</f>
        <v>0</v>
      </c>
      <c r="D37" s="21">
        <f>SUMIFS('Daily Ops'!$I$2:$I$401,'Daily Ops'!$AH$2:$AH$401,$A37)</f>
        <v>0</v>
      </c>
      <c r="E37" s="21">
        <f>SUMIFS('Daily Ops'!$J$2:$J$401,'Daily Ops'!$AH$2:$AH$401,$A37)</f>
        <v>0</v>
      </c>
      <c r="F37" s="23">
        <f>SUMIFS('Daily Ops'!$U$2:$U$401,'Daily Ops'!$AH$2:$AH$401,$A37)</f>
        <v>0</v>
      </c>
      <c r="G37" s="21">
        <f>SUMIFS('Daily Ops'!$Y$2:$Y$401,'Daily Ops'!$AH$2:$AH$401,$A37)</f>
        <v>0</v>
      </c>
      <c r="H37" s="21">
        <f>SUMIFS('Daily Ops'!$AA$2:$AA$401,'Daily Ops'!$AH$2:$AH$401,$A37)</f>
        <v>0</v>
      </c>
      <c r="I37" s="21">
        <f>SUMIFS('Daily Ops'!$AB$2:$AB$401,'Daily Ops'!$AH$2:$AH$401,$A37)</f>
        <v>0</v>
      </c>
      <c r="J37" s="21">
        <f t="shared" si="2"/>
        <v>0</v>
      </c>
      <c r="K37" s="21" t="str">
        <f t="shared" si="3"/>
        <v/>
      </c>
      <c r="L37" s="24" t="str">
        <f t="shared" si="4"/>
        <v/>
      </c>
      <c r="M37" s="24" t="str">
        <f t="shared" si="5"/>
        <v/>
      </c>
      <c r="N37" s="24" t="str">
        <f t="shared" si="6"/>
        <v/>
      </c>
      <c r="O37" s="21">
        <f t="shared" si="7"/>
        <v>0</v>
      </c>
      <c r="P37" s="24" t="str">
        <f t="shared" si="8"/>
        <v/>
      </c>
    </row>
    <row r="38" ht="15.75" customHeight="1">
      <c r="A38" s="25">
        <f t="shared" si="9"/>
        <v>46275</v>
      </c>
      <c r="B38" s="25">
        <f t="shared" si="1"/>
        <v>46281</v>
      </c>
      <c r="C38" s="21">
        <f>SUMIFS('Daily Ops'!$H$2:$H$401,'Daily Ops'!$AH$2:$AH$401,$A38)</f>
        <v>0</v>
      </c>
      <c r="D38" s="21">
        <f>SUMIFS('Daily Ops'!$I$2:$I$401,'Daily Ops'!$AH$2:$AH$401,$A38)</f>
        <v>0</v>
      </c>
      <c r="E38" s="21">
        <f>SUMIFS('Daily Ops'!$J$2:$J$401,'Daily Ops'!$AH$2:$AH$401,$A38)</f>
        <v>0</v>
      </c>
      <c r="F38" s="23">
        <f>SUMIFS('Daily Ops'!$U$2:$U$401,'Daily Ops'!$AH$2:$AH$401,$A38)</f>
        <v>0</v>
      </c>
      <c r="G38" s="21">
        <f>SUMIFS('Daily Ops'!$Y$2:$Y$401,'Daily Ops'!$AH$2:$AH$401,$A38)</f>
        <v>0</v>
      </c>
      <c r="H38" s="21">
        <f>SUMIFS('Daily Ops'!$AA$2:$AA$401,'Daily Ops'!$AH$2:$AH$401,$A38)</f>
        <v>0</v>
      </c>
      <c r="I38" s="21">
        <f>SUMIFS('Daily Ops'!$AB$2:$AB$401,'Daily Ops'!$AH$2:$AH$401,$A38)</f>
        <v>0</v>
      </c>
      <c r="J38" s="21">
        <f t="shared" si="2"/>
        <v>0</v>
      </c>
      <c r="K38" s="21" t="str">
        <f t="shared" si="3"/>
        <v/>
      </c>
      <c r="L38" s="24" t="str">
        <f t="shared" si="4"/>
        <v/>
      </c>
      <c r="M38" s="24" t="str">
        <f t="shared" si="5"/>
        <v/>
      </c>
      <c r="N38" s="24" t="str">
        <f t="shared" si="6"/>
        <v/>
      </c>
      <c r="O38" s="21">
        <f t="shared" si="7"/>
        <v>0</v>
      </c>
      <c r="P38" s="24" t="str">
        <f t="shared" si="8"/>
        <v/>
      </c>
    </row>
    <row r="39" ht="15.75" customHeight="1">
      <c r="A39" s="25">
        <f t="shared" si="9"/>
        <v>46282</v>
      </c>
      <c r="B39" s="25">
        <f t="shared" si="1"/>
        <v>46288</v>
      </c>
      <c r="C39" s="21">
        <f>SUMIFS('Daily Ops'!$H$2:$H$401,'Daily Ops'!$AH$2:$AH$401,$A39)</f>
        <v>0</v>
      </c>
      <c r="D39" s="21">
        <f>SUMIFS('Daily Ops'!$I$2:$I$401,'Daily Ops'!$AH$2:$AH$401,$A39)</f>
        <v>0</v>
      </c>
      <c r="E39" s="21">
        <f>SUMIFS('Daily Ops'!$J$2:$J$401,'Daily Ops'!$AH$2:$AH$401,$A39)</f>
        <v>0</v>
      </c>
      <c r="F39" s="23">
        <f>SUMIFS('Daily Ops'!$U$2:$U$401,'Daily Ops'!$AH$2:$AH$401,$A39)</f>
        <v>0</v>
      </c>
      <c r="G39" s="21">
        <f>SUMIFS('Daily Ops'!$Y$2:$Y$401,'Daily Ops'!$AH$2:$AH$401,$A39)</f>
        <v>0</v>
      </c>
      <c r="H39" s="21">
        <f>SUMIFS('Daily Ops'!$AA$2:$AA$401,'Daily Ops'!$AH$2:$AH$401,$A39)</f>
        <v>0</v>
      </c>
      <c r="I39" s="21">
        <f>SUMIFS('Daily Ops'!$AB$2:$AB$401,'Daily Ops'!$AH$2:$AH$401,$A39)</f>
        <v>0</v>
      </c>
      <c r="J39" s="21">
        <f t="shared" si="2"/>
        <v>0</v>
      </c>
      <c r="K39" s="21" t="str">
        <f t="shared" si="3"/>
        <v/>
      </c>
      <c r="L39" s="24" t="str">
        <f t="shared" si="4"/>
        <v/>
      </c>
      <c r="M39" s="24" t="str">
        <f t="shared" si="5"/>
        <v/>
      </c>
      <c r="N39" s="24" t="str">
        <f t="shared" si="6"/>
        <v/>
      </c>
      <c r="O39" s="21">
        <f t="shared" si="7"/>
        <v>0</v>
      </c>
      <c r="P39" s="24" t="str">
        <f t="shared" si="8"/>
        <v/>
      </c>
    </row>
    <row r="40" ht="15.75" customHeight="1">
      <c r="A40" s="25">
        <f t="shared" si="9"/>
        <v>46289</v>
      </c>
      <c r="B40" s="25">
        <f t="shared" si="1"/>
        <v>46295</v>
      </c>
      <c r="C40" s="21">
        <f>SUMIFS('Daily Ops'!$H$2:$H$401,'Daily Ops'!$AH$2:$AH$401,$A40)</f>
        <v>0</v>
      </c>
      <c r="D40" s="21">
        <f>SUMIFS('Daily Ops'!$I$2:$I$401,'Daily Ops'!$AH$2:$AH$401,$A40)</f>
        <v>0</v>
      </c>
      <c r="E40" s="21">
        <f>SUMIFS('Daily Ops'!$J$2:$J$401,'Daily Ops'!$AH$2:$AH$401,$A40)</f>
        <v>0</v>
      </c>
      <c r="F40" s="23">
        <f>SUMIFS('Daily Ops'!$U$2:$U$401,'Daily Ops'!$AH$2:$AH$401,$A40)</f>
        <v>0</v>
      </c>
      <c r="G40" s="21">
        <f>SUMIFS('Daily Ops'!$Y$2:$Y$401,'Daily Ops'!$AH$2:$AH$401,$A40)</f>
        <v>0</v>
      </c>
      <c r="H40" s="21">
        <f>SUMIFS('Daily Ops'!$AA$2:$AA$401,'Daily Ops'!$AH$2:$AH$401,$A40)</f>
        <v>0</v>
      </c>
      <c r="I40" s="21">
        <f>SUMIFS('Daily Ops'!$AB$2:$AB$401,'Daily Ops'!$AH$2:$AH$401,$A40)</f>
        <v>0</v>
      </c>
      <c r="J40" s="21">
        <f t="shared" si="2"/>
        <v>0</v>
      </c>
      <c r="K40" s="21" t="str">
        <f t="shared" si="3"/>
        <v/>
      </c>
      <c r="L40" s="24" t="str">
        <f t="shared" si="4"/>
        <v/>
      </c>
      <c r="M40" s="24" t="str">
        <f t="shared" si="5"/>
        <v/>
      </c>
      <c r="N40" s="24" t="str">
        <f t="shared" si="6"/>
        <v/>
      </c>
      <c r="O40" s="21">
        <f t="shared" si="7"/>
        <v>0</v>
      </c>
      <c r="P40" s="24" t="str">
        <f t="shared" si="8"/>
        <v/>
      </c>
    </row>
    <row r="41" ht="15.75" customHeight="1">
      <c r="A41" s="25">
        <f t="shared" si="9"/>
        <v>46296</v>
      </c>
      <c r="B41" s="25">
        <f t="shared" si="1"/>
        <v>46302</v>
      </c>
      <c r="C41" s="21">
        <f>SUMIFS('Daily Ops'!$H$2:$H$401,'Daily Ops'!$AH$2:$AH$401,$A41)</f>
        <v>0</v>
      </c>
      <c r="D41" s="21">
        <f>SUMIFS('Daily Ops'!$I$2:$I$401,'Daily Ops'!$AH$2:$AH$401,$A41)</f>
        <v>0</v>
      </c>
      <c r="E41" s="21">
        <f>SUMIFS('Daily Ops'!$J$2:$J$401,'Daily Ops'!$AH$2:$AH$401,$A41)</f>
        <v>0</v>
      </c>
      <c r="F41" s="23">
        <f>SUMIFS('Daily Ops'!$U$2:$U$401,'Daily Ops'!$AH$2:$AH$401,$A41)</f>
        <v>0</v>
      </c>
      <c r="G41" s="21">
        <f>SUMIFS('Daily Ops'!$Y$2:$Y$401,'Daily Ops'!$AH$2:$AH$401,$A41)</f>
        <v>0</v>
      </c>
      <c r="H41" s="21">
        <f>SUMIFS('Daily Ops'!$AA$2:$AA$401,'Daily Ops'!$AH$2:$AH$401,$A41)</f>
        <v>0</v>
      </c>
      <c r="I41" s="21">
        <f>SUMIFS('Daily Ops'!$AB$2:$AB$401,'Daily Ops'!$AH$2:$AH$401,$A41)</f>
        <v>0</v>
      </c>
      <c r="J41" s="21">
        <f t="shared" si="2"/>
        <v>0</v>
      </c>
      <c r="K41" s="21" t="str">
        <f t="shared" si="3"/>
        <v/>
      </c>
      <c r="L41" s="24" t="str">
        <f t="shared" si="4"/>
        <v/>
      </c>
      <c r="M41" s="24" t="str">
        <f t="shared" si="5"/>
        <v/>
      </c>
      <c r="N41" s="24" t="str">
        <f t="shared" si="6"/>
        <v/>
      </c>
      <c r="O41" s="21">
        <f t="shared" si="7"/>
        <v>0</v>
      </c>
      <c r="P41" s="24" t="str">
        <f t="shared" si="8"/>
        <v/>
      </c>
    </row>
    <row r="42" ht="15.75" customHeight="1">
      <c r="A42" s="25">
        <f t="shared" si="9"/>
        <v>46303</v>
      </c>
      <c r="B42" s="25">
        <f t="shared" si="1"/>
        <v>46309</v>
      </c>
      <c r="C42" s="21">
        <f>SUMIFS('Daily Ops'!$H$2:$H$401,'Daily Ops'!$AH$2:$AH$401,$A42)</f>
        <v>0</v>
      </c>
      <c r="D42" s="21">
        <f>SUMIFS('Daily Ops'!$I$2:$I$401,'Daily Ops'!$AH$2:$AH$401,$A42)</f>
        <v>0</v>
      </c>
      <c r="E42" s="21">
        <f>SUMIFS('Daily Ops'!$J$2:$J$401,'Daily Ops'!$AH$2:$AH$401,$A42)</f>
        <v>0</v>
      </c>
      <c r="F42" s="23">
        <f>SUMIFS('Daily Ops'!$U$2:$U$401,'Daily Ops'!$AH$2:$AH$401,$A42)</f>
        <v>0</v>
      </c>
      <c r="G42" s="21">
        <f>SUMIFS('Daily Ops'!$Y$2:$Y$401,'Daily Ops'!$AH$2:$AH$401,$A42)</f>
        <v>0</v>
      </c>
      <c r="H42" s="21">
        <f>SUMIFS('Daily Ops'!$AA$2:$AA$401,'Daily Ops'!$AH$2:$AH$401,$A42)</f>
        <v>0</v>
      </c>
      <c r="I42" s="21">
        <f>SUMIFS('Daily Ops'!$AB$2:$AB$401,'Daily Ops'!$AH$2:$AH$401,$A42)</f>
        <v>0</v>
      </c>
      <c r="J42" s="21">
        <f t="shared" si="2"/>
        <v>0</v>
      </c>
      <c r="K42" s="21" t="str">
        <f t="shared" si="3"/>
        <v/>
      </c>
      <c r="L42" s="24" t="str">
        <f t="shared" si="4"/>
        <v/>
      </c>
      <c r="M42" s="24" t="str">
        <f t="shared" si="5"/>
        <v/>
      </c>
      <c r="N42" s="24" t="str">
        <f t="shared" si="6"/>
        <v/>
      </c>
      <c r="O42" s="21">
        <f t="shared" si="7"/>
        <v>0</v>
      </c>
      <c r="P42" s="24" t="str">
        <f t="shared" si="8"/>
        <v/>
      </c>
    </row>
    <row r="43" ht="15.75" customHeight="1">
      <c r="A43" s="25">
        <f t="shared" si="9"/>
        <v>46310</v>
      </c>
      <c r="B43" s="25">
        <f t="shared" si="1"/>
        <v>46316</v>
      </c>
      <c r="C43" s="21">
        <f>SUMIFS('Daily Ops'!$H$2:$H$401,'Daily Ops'!$AH$2:$AH$401,$A43)</f>
        <v>0</v>
      </c>
      <c r="D43" s="21">
        <f>SUMIFS('Daily Ops'!$I$2:$I$401,'Daily Ops'!$AH$2:$AH$401,$A43)</f>
        <v>0</v>
      </c>
      <c r="E43" s="21">
        <f>SUMIFS('Daily Ops'!$J$2:$J$401,'Daily Ops'!$AH$2:$AH$401,$A43)</f>
        <v>0</v>
      </c>
      <c r="F43" s="23">
        <f>SUMIFS('Daily Ops'!$U$2:$U$401,'Daily Ops'!$AH$2:$AH$401,$A43)</f>
        <v>0</v>
      </c>
      <c r="G43" s="21">
        <f>SUMIFS('Daily Ops'!$Y$2:$Y$401,'Daily Ops'!$AH$2:$AH$401,$A43)</f>
        <v>0</v>
      </c>
      <c r="H43" s="21">
        <f>SUMIFS('Daily Ops'!$AA$2:$AA$401,'Daily Ops'!$AH$2:$AH$401,$A43)</f>
        <v>0</v>
      </c>
      <c r="I43" s="21">
        <f>SUMIFS('Daily Ops'!$AB$2:$AB$401,'Daily Ops'!$AH$2:$AH$401,$A43)</f>
        <v>0</v>
      </c>
      <c r="J43" s="21">
        <f t="shared" si="2"/>
        <v>0</v>
      </c>
      <c r="K43" s="21" t="str">
        <f t="shared" si="3"/>
        <v/>
      </c>
      <c r="L43" s="24" t="str">
        <f t="shared" si="4"/>
        <v/>
      </c>
      <c r="M43" s="24" t="str">
        <f t="shared" si="5"/>
        <v/>
      </c>
      <c r="N43" s="24" t="str">
        <f t="shared" si="6"/>
        <v/>
      </c>
      <c r="O43" s="21">
        <f t="shared" si="7"/>
        <v>0</v>
      </c>
      <c r="P43" s="24" t="str">
        <f t="shared" si="8"/>
        <v/>
      </c>
    </row>
    <row r="44" ht="15.75" customHeight="1">
      <c r="A44" s="25">
        <f t="shared" si="9"/>
        <v>46317</v>
      </c>
      <c r="B44" s="25">
        <f t="shared" si="1"/>
        <v>46323</v>
      </c>
      <c r="C44" s="21">
        <f>SUMIFS('Daily Ops'!$H$2:$H$401,'Daily Ops'!$AH$2:$AH$401,$A44)</f>
        <v>0</v>
      </c>
      <c r="D44" s="21">
        <f>SUMIFS('Daily Ops'!$I$2:$I$401,'Daily Ops'!$AH$2:$AH$401,$A44)</f>
        <v>0</v>
      </c>
      <c r="E44" s="21">
        <f>SUMIFS('Daily Ops'!$J$2:$J$401,'Daily Ops'!$AH$2:$AH$401,$A44)</f>
        <v>0</v>
      </c>
      <c r="F44" s="23">
        <f>SUMIFS('Daily Ops'!$U$2:$U$401,'Daily Ops'!$AH$2:$AH$401,$A44)</f>
        <v>0</v>
      </c>
      <c r="G44" s="21">
        <f>SUMIFS('Daily Ops'!$Y$2:$Y$401,'Daily Ops'!$AH$2:$AH$401,$A44)</f>
        <v>0</v>
      </c>
      <c r="H44" s="21">
        <f>SUMIFS('Daily Ops'!$AA$2:$AA$401,'Daily Ops'!$AH$2:$AH$401,$A44)</f>
        <v>0</v>
      </c>
      <c r="I44" s="21">
        <f>SUMIFS('Daily Ops'!$AB$2:$AB$401,'Daily Ops'!$AH$2:$AH$401,$A44)</f>
        <v>0</v>
      </c>
      <c r="J44" s="21">
        <f t="shared" si="2"/>
        <v>0</v>
      </c>
      <c r="K44" s="21" t="str">
        <f t="shared" si="3"/>
        <v/>
      </c>
      <c r="L44" s="24" t="str">
        <f t="shared" si="4"/>
        <v/>
      </c>
      <c r="M44" s="24" t="str">
        <f t="shared" si="5"/>
        <v/>
      </c>
      <c r="N44" s="24" t="str">
        <f t="shared" si="6"/>
        <v/>
      </c>
      <c r="O44" s="21">
        <f t="shared" si="7"/>
        <v>0</v>
      </c>
      <c r="P44" s="24" t="str">
        <f t="shared" si="8"/>
        <v/>
      </c>
    </row>
    <row r="45" ht="15.75" customHeight="1">
      <c r="A45" s="25">
        <f t="shared" si="9"/>
        <v>46324</v>
      </c>
      <c r="B45" s="25">
        <f t="shared" si="1"/>
        <v>46330</v>
      </c>
      <c r="C45" s="21">
        <f>SUMIFS('Daily Ops'!$H$2:$H$401,'Daily Ops'!$AH$2:$AH$401,$A45)</f>
        <v>0</v>
      </c>
      <c r="D45" s="21">
        <f>SUMIFS('Daily Ops'!$I$2:$I$401,'Daily Ops'!$AH$2:$AH$401,$A45)</f>
        <v>0</v>
      </c>
      <c r="E45" s="21">
        <f>SUMIFS('Daily Ops'!$J$2:$J$401,'Daily Ops'!$AH$2:$AH$401,$A45)</f>
        <v>0</v>
      </c>
      <c r="F45" s="23">
        <f>SUMIFS('Daily Ops'!$U$2:$U$401,'Daily Ops'!$AH$2:$AH$401,$A45)</f>
        <v>0</v>
      </c>
      <c r="G45" s="21">
        <f>SUMIFS('Daily Ops'!$Y$2:$Y$401,'Daily Ops'!$AH$2:$AH$401,$A45)</f>
        <v>0</v>
      </c>
      <c r="H45" s="21">
        <f>SUMIFS('Daily Ops'!$AA$2:$AA$401,'Daily Ops'!$AH$2:$AH$401,$A45)</f>
        <v>0</v>
      </c>
      <c r="I45" s="21">
        <f>SUMIFS('Daily Ops'!$AB$2:$AB$401,'Daily Ops'!$AH$2:$AH$401,$A45)</f>
        <v>0</v>
      </c>
      <c r="J45" s="21">
        <f t="shared" si="2"/>
        <v>0</v>
      </c>
      <c r="K45" s="21" t="str">
        <f t="shared" si="3"/>
        <v/>
      </c>
      <c r="L45" s="24" t="str">
        <f t="shared" si="4"/>
        <v/>
      </c>
      <c r="M45" s="24" t="str">
        <f t="shared" si="5"/>
        <v/>
      </c>
      <c r="N45" s="24" t="str">
        <f t="shared" si="6"/>
        <v/>
      </c>
      <c r="O45" s="21">
        <f t="shared" si="7"/>
        <v>0</v>
      </c>
      <c r="P45" s="24" t="str">
        <f t="shared" si="8"/>
        <v/>
      </c>
    </row>
    <row r="46" ht="15.75" customHeight="1">
      <c r="A46" s="25">
        <f t="shared" si="9"/>
        <v>46331</v>
      </c>
      <c r="B46" s="25">
        <f t="shared" si="1"/>
        <v>46337</v>
      </c>
      <c r="C46" s="21">
        <f>SUMIFS('Daily Ops'!$H$2:$H$401,'Daily Ops'!$AH$2:$AH$401,$A46)</f>
        <v>0</v>
      </c>
      <c r="D46" s="21">
        <f>SUMIFS('Daily Ops'!$I$2:$I$401,'Daily Ops'!$AH$2:$AH$401,$A46)</f>
        <v>0</v>
      </c>
      <c r="E46" s="21">
        <f>SUMIFS('Daily Ops'!$J$2:$J$401,'Daily Ops'!$AH$2:$AH$401,$A46)</f>
        <v>0</v>
      </c>
      <c r="F46" s="23">
        <f>SUMIFS('Daily Ops'!$U$2:$U$401,'Daily Ops'!$AH$2:$AH$401,$A46)</f>
        <v>0</v>
      </c>
      <c r="G46" s="21">
        <f>SUMIFS('Daily Ops'!$Y$2:$Y$401,'Daily Ops'!$AH$2:$AH$401,$A46)</f>
        <v>0</v>
      </c>
      <c r="H46" s="21">
        <f>SUMIFS('Daily Ops'!$AA$2:$AA$401,'Daily Ops'!$AH$2:$AH$401,$A46)</f>
        <v>0</v>
      </c>
      <c r="I46" s="21">
        <f>SUMIFS('Daily Ops'!$AB$2:$AB$401,'Daily Ops'!$AH$2:$AH$401,$A46)</f>
        <v>0</v>
      </c>
      <c r="J46" s="21">
        <f t="shared" si="2"/>
        <v>0</v>
      </c>
      <c r="K46" s="21" t="str">
        <f t="shared" si="3"/>
        <v/>
      </c>
      <c r="L46" s="24" t="str">
        <f t="shared" si="4"/>
        <v/>
      </c>
      <c r="M46" s="24" t="str">
        <f t="shared" si="5"/>
        <v/>
      </c>
      <c r="N46" s="24" t="str">
        <f t="shared" si="6"/>
        <v/>
      </c>
      <c r="O46" s="21">
        <f t="shared" si="7"/>
        <v>0</v>
      </c>
      <c r="P46" s="24" t="str">
        <f t="shared" si="8"/>
        <v/>
      </c>
    </row>
    <row r="47" ht="15.75" customHeight="1">
      <c r="A47" s="25">
        <f t="shared" si="9"/>
        <v>46338</v>
      </c>
      <c r="B47" s="25">
        <f t="shared" si="1"/>
        <v>46344</v>
      </c>
      <c r="C47" s="21">
        <f>SUMIFS('Daily Ops'!$H$2:$H$401,'Daily Ops'!$AH$2:$AH$401,$A47)</f>
        <v>0</v>
      </c>
      <c r="D47" s="21">
        <f>SUMIFS('Daily Ops'!$I$2:$I$401,'Daily Ops'!$AH$2:$AH$401,$A47)</f>
        <v>0</v>
      </c>
      <c r="E47" s="21">
        <f>SUMIFS('Daily Ops'!$J$2:$J$401,'Daily Ops'!$AH$2:$AH$401,$A47)</f>
        <v>0</v>
      </c>
      <c r="F47" s="23">
        <f>SUMIFS('Daily Ops'!$U$2:$U$401,'Daily Ops'!$AH$2:$AH$401,$A47)</f>
        <v>0</v>
      </c>
      <c r="G47" s="21">
        <f>SUMIFS('Daily Ops'!$Y$2:$Y$401,'Daily Ops'!$AH$2:$AH$401,$A47)</f>
        <v>0</v>
      </c>
      <c r="H47" s="21">
        <f>SUMIFS('Daily Ops'!$AA$2:$AA$401,'Daily Ops'!$AH$2:$AH$401,$A47)</f>
        <v>0</v>
      </c>
      <c r="I47" s="21">
        <f>SUMIFS('Daily Ops'!$AB$2:$AB$401,'Daily Ops'!$AH$2:$AH$401,$A47)</f>
        <v>0</v>
      </c>
      <c r="J47" s="21">
        <f t="shared" si="2"/>
        <v>0</v>
      </c>
      <c r="K47" s="21" t="str">
        <f t="shared" si="3"/>
        <v/>
      </c>
      <c r="L47" s="24" t="str">
        <f t="shared" si="4"/>
        <v/>
      </c>
      <c r="M47" s="24" t="str">
        <f t="shared" si="5"/>
        <v/>
      </c>
      <c r="N47" s="24" t="str">
        <f t="shared" si="6"/>
        <v/>
      </c>
      <c r="O47" s="21">
        <f t="shared" si="7"/>
        <v>0</v>
      </c>
      <c r="P47" s="24" t="str">
        <f t="shared" si="8"/>
        <v/>
      </c>
    </row>
    <row r="48" ht="15.75" customHeight="1">
      <c r="A48" s="25">
        <f t="shared" si="9"/>
        <v>46345</v>
      </c>
      <c r="B48" s="25">
        <f t="shared" si="1"/>
        <v>46351</v>
      </c>
      <c r="C48" s="21">
        <f>SUMIFS('Daily Ops'!$H$2:$H$401,'Daily Ops'!$AH$2:$AH$401,$A48)</f>
        <v>0</v>
      </c>
      <c r="D48" s="21">
        <f>SUMIFS('Daily Ops'!$I$2:$I$401,'Daily Ops'!$AH$2:$AH$401,$A48)</f>
        <v>0</v>
      </c>
      <c r="E48" s="21">
        <f>SUMIFS('Daily Ops'!$J$2:$J$401,'Daily Ops'!$AH$2:$AH$401,$A48)</f>
        <v>0</v>
      </c>
      <c r="F48" s="23">
        <f>SUMIFS('Daily Ops'!$U$2:$U$401,'Daily Ops'!$AH$2:$AH$401,$A48)</f>
        <v>0</v>
      </c>
      <c r="G48" s="21">
        <f>SUMIFS('Daily Ops'!$Y$2:$Y$401,'Daily Ops'!$AH$2:$AH$401,$A48)</f>
        <v>0</v>
      </c>
      <c r="H48" s="21">
        <f>SUMIFS('Daily Ops'!$AA$2:$AA$401,'Daily Ops'!$AH$2:$AH$401,$A48)</f>
        <v>0</v>
      </c>
      <c r="I48" s="21">
        <f>SUMIFS('Daily Ops'!$AB$2:$AB$401,'Daily Ops'!$AH$2:$AH$401,$A48)</f>
        <v>0</v>
      </c>
      <c r="J48" s="21">
        <f t="shared" si="2"/>
        <v>0</v>
      </c>
      <c r="K48" s="21" t="str">
        <f t="shared" si="3"/>
        <v/>
      </c>
      <c r="L48" s="24" t="str">
        <f t="shared" si="4"/>
        <v/>
      </c>
      <c r="M48" s="24" t="str">
        <f t="shared" si="5"/>
        <v/>
      </c>
      <c r="N48" s="24" t="str">
        <f t="shared" si="6"/>
        <v/>
      </c>
      <c r="O48" s="21">
        <f t="shared" si="7"/>
        <v>0</v>
      </c>
      <c r="P48" s="24" t="str">
        <f t="shared" si="8"/>
        <v/>
      </c>
    </row>
    <row r="49" ht="15.75" customHeight="1">
      <c r="A49" s="25">
        <f t="shared" si="9"/>
        <v>46352</v>
      </c>
      <c r="B49" s="25">
        <f t="shared" si="1"/>
        <v>46358</v>
      </c>
      <c r="C49" s="21">
        <f>SUMIFS('Daily Ops'!$H$2:$H$401,'Daily Ops'!$AH$2:$AH$401,$A49)</f>
        <v>0</v>
      </c>
      <c r="D49" s="21">
        <f>SUMIFS('Daily Ops'!$I$2:$I$401,'Daily Ops'!$AH$2:$AH$401,$A49)</f>
        <v>0</v>
      </c>
      <c r="E49" s="21">
        <f>SUMIFS('Daily Ops'!$J$2:$J$401,'Daily Ops'!$AH$2:$AH$401,$A49)</f>
        <v>0</v>
      </c>
      <c r="F49" s="23">
        <f>SUMIFS('Daily Ops'!$U$2:$U$401,'Daily Ops'!$AH$2:$AH$401,$A49)</f>
        <v>0</v>
      </c>
      <c r="G49" s="21">
        <f>SUMIFS('Daily Ops'!$Y$2:$Y$401,'Daily Ops'!$AH$2:$AH$401,$A49)</f>
        <v>0</v>
      </c>
      <c r="H49" s="21">
        <f>SUMIFS('Daily Ops'!$AA$2:$AA$401,'Daily Ops'!$AH$2:$AH$401,$A49)</f>
        <v>0</v>
      </c>
      <c r="I49" s="21">
        <f>SUMIFS('Daily Ops'!$AB$2:$AB$401,'Daily Ops'!$AH$2:$AH$401,$A49)</f>
        <v>0</v>
      </c>
      <c r="J49" s="21">
        <f t="shared" si="2"/>
        <v>0</v>
      </c>
      <c r="K49" s="21" t="str">
        <f t="shared" si="3"/>
        <v/>
      </c>
      <c r="L49" s="24" t="str">
        <f t="shared" si="4"/>
        <v/>
      </c>
      <c r="M49" s="24" t="str">
        <f t="shared" si="5"/>
        <v/>
      </c>
      <c r="N49" s="24" t="str">
        <f t="shared" si="6"/>
        <v/>
      </c>
      <c r="O49" s="21">
        <f t="shared" si="7"/>
        <v>0</v>
      </c>
      <c r="P49" s="24" t="str">
        <f t="shared" si="8"/>
        <v/>
      </c>
    </row>
    <row r="50" ht="15.75" customHeight="1">
      <c r="A50" s="25">
        <f t="shared" si="9"/>
        <v>46359</v>
      </c>
      <c r="B50" s="25">
        <f t="shared" si="1"/>
        <v>46365</v>
      </c>
      <c r="C50" s="21">
        <f>SUMIFS('Daily Ops'!$H$2:$H$401,'Daily Ops'!$AH$2:$AH$401,$A50)</f>
        <v>0</v>
      </c>
      <c r="D50" s="21">
        <f>SUMIFS('Daily Ops'!$I$2:$I$401,'Daily Ops'!$AH$2:$AH$401,$A50)</f>
        <v>0</v>
      </c>
      <c r="E50" s="21">
        <f>SUMIFS('Daily Ops'!$J$2:$J$401,'Daily Ops'!$AH$2:$AH$401,$A50)</f>
        <v>0</v>
      </c>
      <c r="F50" s="23">
        <f>SUMIFS('Daily Ops'!$U$2:$U$401,'Daily Ops'!$AH$2:$AH$401,$A50)</f>
        <v>0</v>
      </c>
      <c r="G50" s="21">
        <f>SUMIFS('Daily Ops'!$Y$2:$Y$401,'Daily Ops'!$AH$2:$AH$401,$A50)</f>
        <v>0</v>
      </c>
      <c r="H50" s="21">
        <f>SUMIFS('Daily Ops'!$AA$2:$AA$401,'Daily Ops'!$AH$2:$AH$401,$A50)</f>
        <v>0</v>
      </c>
      <c r="I50" s="21">
        <f>SUMIFS('Daily Ops'!$AB$2:$AB$401,'Daily Ops'!$AH$2:$AH$401,$A50)</f>
        <v>0</v>
      </c>
      <c r="J50" s="21">
        <f t="shared" si="2"/>
        <v>0</v>
      </c>
      <c r="K50" s="21" t="str">
        <f t="shared" si="3"/>
        <v/>
      </c>
      <c r="L50" s="24" t="str">
        <f t="shared" si="4"/>
        <v/>
      </c>
      <c r="M50" s="24" t="str">
        <f t="shared" si="5"/>
        <v/>
      </c>
      <c r="N50" s="24" t="str">
        <f t="shared" si="6"/>
        <v/>
      </c>
      <c r="O50" s="21">
        <f t="shared" si="7"/>
        <v>0</v>
      </c>
      <c r="P50" s="24" t="str">
        <f t="shared" si="8"/>
        <v/>
      </c>
    </row>
    <row r="51" ht="15.75" customHeight="1">
      <c r="A51" s="25">
        <f t="shared" si="9"/>
        <v>46366</v>
      </c>
      <c r="B51" s="25">
        <f t="shared" si="1"/>
        <v>46372</v>
      </c>
      <c r="C51" s="21">
        <f>SUMIFS('Daily Ops'!$H$2:$H$401,'Daily Ops'!$AH$2:$AH$401,$A51)</f>
        <v>0</v>
      </c>
      <c r="D51" s="21">
        <f>SUMIFS('Daily Ops'!$I$2:$I$401,'Daily Ops'!$AH$2:$AH$401,$A51)</f>
        <v>0</v>
      </c>
      <c r="E51" s="21">
        <f>SUMIFS('Daily Ops'!$J$2:$J$401,'Daily Ops'!$AH$2:$AH$401,$A51)</f>
        <v>0</v>
      </c>
      <c r="F51" s="23">
        <f>SUMIFS('Daily Ops'!$U$2:$U$401,'Daily Ops'!$AH$2:$AH$401,$A51)</f>
        <v>0</v>
      </c>
      <c r="G51" s="21">
        <f>SUMIFS('Daily Ops'!$Y$2:$Y$401,'Daily Ops'!$AH$2:$AH$401,$A51)</f>
        <v>0</v>
      </c>
      <c r="H51" s="21">
        <f>SUMIFS('Daily Ops'!$AA$2:$AA$401,'Daily Ops'!$AH$2:$AH$401,$A51)</f>
        <v>0</v>
      </c>
      <c r="I51" s="21">
        <f>SUMIFS('Daily Ops'!$AB$2:$AB$401,'Daily Ops'!$AH$2:$AH$401,$A51)</f>
        <v>0</v>
      </c>
      <c r="J51" s="21">
        <f t="shared" si="2"/>
        <v>0</v>
      </c>
      <c r="K51" s="21" t="str">
        <f t="shared" si="3"/>
        <v/>
      </c>
      <c r="L51" s="24" t="str">
        <f t="shared" si="4"/>
        <v/>
      </c>
      <c r="M51" s="24" t="str">
        <f t="shared" si="5"/>
        <v/>
      </c>
      <c r="N51" s="24" t="str">
        <f t="shared" si="6"/>
        <v/>
      </c>
      <c r="O51" s="21">
        <f t="shared" si="7"/>
        <v>0</v>
      </c>
      <c r="P51" s="24" t="str">
        <f t="shared" si="8"/>
        <v/>
      </c>
    </row>
    <row r="52" ht="15.75" customHeight="1">
      <c r="A52" s="25">
        <f t="shared" si="9"/>
        <v>46373</v>
      </c>
      <c r="B52" s="25">
        <f t="shared" si="1"/>
        <v>46379</v>
      </c>
      <c r="C52" s="21">
        <f>SUMIFS('Daily Ops'!$H$2:$H$401,'Daily Ops'!$AH$2:$AH$401,$A52)</f>
        <v>0</v>
      </c>
      <c r="D52" s="21">
        <f>SUMIFS('Daily Ops'!$I$2:$I$401,'Daily Ops'!$AH$2:$AH$401,$A52)</f>
        <v>0</v>
      </c>
      <c r="E52" s="21">
        <f>SUMIFS('Daily Ops'!$J$2:$J$401,'Daily Ops'!$AH$2:$AH$401,$A52)</f>
        <v>0</v>
      </c>
      <c r="F52" s="23">
        <f>SUMIFS('Daily Ops'!$U$2:$U$401,'Daily Ops'!$AH$2:$AH$401,$A52)</f>
        <v>0</v>
      </c>
      <c r="G52" s="21">
        <f>SUMIFS('Daily Ops'!$Y$2:$Y$401,'Daily Ops'!$AH$2:$AH$401,$A52)</f>
        <v>0</v>
      </c>
      <c r="H52" s="21">
        <f>SUMIFS('Daily Ops'!$AA$2:$AA$401,'Daily Ops'!$AH$2:$AH$401,$A52)</f>
        <v>0</v>
      </c>
      <c r="I52" s="21">
        <f>SUMIFS('Daily Ops'!$AB$2:$AB$401,'Daily Ops'!$AH$2:$AH$401,$A52)</f>
        <v>0</v>
      </c>
      <c r="J52" s="21">
        <f t="shared" si="2"/>
        <v>0</v>
      </c>
      <c r="K52" s="21" t="str">
        <f t="shared" si="3"/>
        <v/>
      </c>
      <c r="L52" s="24" t="str">
        <f t="shared" si="4"/>
        <v/>
      </c>
      <c r="M52" s="24" t="str">
        <f t="shared" si="5"/>
        <v/>
      </c>
      <c r="N52" s="24" t="str">
        <f t="shared" si="6"/>
        <v/>
      </c>
      <c r="O52" s="21">
        <f t="shared" si="7"/>
        <v>0</v>
      </c>
      <c r="P52" s="24" t="str">
        <f t="shared" si="8"/>
        <v/>
      </c>
    </row>
    <row r="53" ht="15.75" customHeight="1">
      <c r="A53" s="25">
        <f t="shared" si="9"/>
        <v>46380</v>
      </c>
      <c r="B53" s="25">
        <f t="shared" si="1"/>
        <v>46386</v>
      </c>
      <c r="C53" s="21">
        <f>SUMIFS('Daily Ops'!$H$2:$H$401,'Daily Ops'!$AH$2:$AH$401,$A53)</f>
        <v>0</v>
      </c>
      <c r="D53" s="21">
        <f>SUMIFS('Daily Ops'!$I$2:$I$401,'Daily Ops'!$AH$2:$AH$401,$A53)</f>
        <v>0</v>
      </c>
      <c r="E53" s="21">
        <f>SUMIFS('Daily Ops'!$J$2:$J$401,'Daily Ops'!$AH$2:$AH$401,$A53)</f>
        <v>0</v>
      </c>
      <c r="F53" s="23">
        <f>SUMIFS('Daily Ops'!$U$2:$U$401,'Daily Ops'!$AH$2:$AH$401,$A53)</f>
        <v>0</v>
      </c>
      <c r="G53" s="21">
        <f>SUMIFS('Daily Ops'!$Y$2:$Y$401,'Daily Ops'!$AH$2:$AH$401,$A53)</f>
        <v>0</v>
      </c>
      <c r="H53" s="21">
        <f>SUMIFS('Daily Ops'!$AA$2:$AA$401,'Daily Ops'!$AH$2:$AH$401,$A53)</f>
        <v>0</v>
      </c>
      <c r="I53" s="21">
        <f>SUMIFS('Daily Ops'!$AB$2:$AB$401,'Daily Ops'!$AH$2:$AH$401,$A53)</f>
        <v>0</v>
      </c>
      <c r="J53" s="21">
        <f t="shared" si="2"/>
        <v>0</v>
      </c>
      <c r="K53" s="21" t="str">
        <f t="shared" si="3"/>
        <v/>
      </c>
      <c r="L53" s="24" t="str">
        <f t="shared" si="4"/>
        <v/>
      </c>
      <c r="M53" s="24" t="str">
        <f t="shared" si="5"/>
        <v/>
      </c>
      <c r="N53" s="24" t="str">
        <f t="shared" si="6"/>
        <v/>
      </c>
      <c r="O53" s="21">
        <f t="shared" si="7"/>
        <v>0</v>
      </c>
      <c r="P53" s="24" t="str">
        <f t="shared" si="8"/>
        <v/>
      </c>
    </row>
    <row r="54" ht="15.75" customHeight="1">
      <c r="A54" s="25">
        <f t="shared" si="9"/>
        <v>46387</v>
      </c>
      <c r="B54" s="25">
        <f t="shared" si="1"/>
        <v>46393</v>
      </c>
      <c r="C54" s="21">
        <f>SUMIFS('Daily Ops'!$H$2:$H$401,'Daily Ops'!$AH$2:$AH$401,$A54)</f>
        <v>0</v>
      </c>
      <c r="D54" s="21">
        <f>SUMIFS('Daily Ops'!$I$2:$I$401,'Daily Ops'!$AH$2:$AH$401,$A54)</f>
        <v>0</v>
      </c>
      <c r="E54" s="21">
        <f>SUMIFS('Daily Ops'!$J$2:$J$401,'Daily Ops'!$AH$2:$AH$401,$A54)</f>
        <v>0</v>
      </c>
      <c r="F54" s="23">
        <f>SUMIFS('Daily Ops'!$U$2:$U$401,'Daily Ops'!$AH$2:$AH$401,$A54)</f>
        <v>0</v>
      </c>
      <c r="G54" s="21">
        <f>SUMIFS('Daily Ops'!$Y$2:$Y$401,'Daily Ops'!$AH$2:$AH$401,$A54)</f>
        <v>0</v>
      </c>
      <c r="H54" s="21">
        <f>SUMIFS('Daily Ops'!$AA$2:$AA$401,'Daily Ops'!$AH$2:$AH$401,$A54)</f>
        <v>0</v>
      </c>
      <c r="I54" s="21">
        <f>SUMIFS('Daily Ops'!$AB$2:$AB$401,'Daily Ops'!$AH$2:$AH$401,$A54)</f>
        <v>0</v>
      </c>
      <c r="J54" s="21">
        <f t="shared" si="2"/>
        <v>0</v>
      </c>
      <c r="K54" s="21" t="str">
        <f t="shared" si="3"/>
        <v/>
      </c>
      <c r="L54" s="24" t="str">
        <f t="shared" si="4"/>
        <v/>
      </c>
      <c r="M54" s="24" t="str">
        <f t="shared" si="5"/>
        <v/>
      </c>
      <c r="N54" s="24" t="str">
        <f t="shared" si="6"/>
        <v/>
      </c>
      <c r="O54" s="21">
        <f t="shared" si="7"/>
        <v>0</v>
      </c>
      <c r="P54" s="24" t="str">
        <f t="shared" si="8"/>
        <v/>
      </c>
    </row>
    <row r="55" ht="15.75" customHeight="1">
      <c r="A55" s="25">
        <f t="shared" si="9"/>
        <v>46394</v>
      </c>
      <c r="B55" s="25">
        <f t="shared" si="1"/>
        <v>46400</v>
      </c>
      <c r="C55" s="21">
        <f>SUMIFS('Daily Ops'!$H$2:$H$401,'Daily Ops'!$AH$2:$AH$401,$A55)</f>
        <v>0</v>
      </c>
      <c r="D55" s="21">
        <f>SUMIFS('Daily Ops'!$I$2:$I$401,'Daily Ops'!$AH$2:$AH$401,$A55)</f>
        <v>0</v>
      </c>
      <c r="E55" s="21">
        <f>SUMIFS('Daily Ops'!$J$2:$J$401,'Daily Ops'!$AH$2:$AH$401,$A55)</f>
        <v>0</v>
      </c>
      <c r="F55" s="23">
        <f>SUMIFS('Daily Ops'!$U$2:$U$401,'Daily Ops'!$AH$2:$AH$401,$A55)</f>
        <v>0</v>
      </c>
      <c r="G55" s="21">
        <f>SUMIFS('Daily Ops'!$Y$2:$Y$401,'Daily Ops'!$AH$2:$AH$401,$A55)</f>
        <v>0</v>
      </c>
      <c r="H55" s="21">
        <f>SUMIFS('Daily Ops'!$AA$2:$AA$401,'Daily Ops'!$AH$2:$AH$401,$A55)</f>
        <v>0</v>
      </c>
      <c r="I55" s="21">
        <f>SUMIFS('Daily Ops'!$AB$2:$AB$401,'Daily Ops'!$AH$2:$AH$401,$A55)</f>
        <v>0</v>
      </c>
      <c r="J55" s="21">
        <f t="shared" si="2"/>
        <v>0</v>
      </c>
      <c r="K55" s="21" t="str">
        <f t="shared" si="3"/>
        <v/>
      </c>
      <c r="L55" s="24" t="str">
        <f t="shared" si="4"/>
        <v/>
      </c>
      <c r="M55" s="24" t="str">
        <f t="shared" si="5"/>
        <v/>
      </c>
      <c r="N55" s="24" t="str">
        <f t="shared" si="6"/>
        <v/>
      </c>
      <c r="O55" s="21">
        <f t="shared" si="7"/>
        <v>0</v>
      </c>
      <c r="P55" s="24" t="str">
        <f t="shared" si="8"/>
        <v/>
      </c>
    </row>
    <row r="56" ht="15.75" customHeight="1">
      <c r="A56" s="25">
        <f t="shared" si="9"/>
        <v>46401</v>
      </c>
      <c r="B56" s="25">
        <f t="shared" si="1"/>
        <v>46407</v>
      </c>
      <c r="C56" s="21">
        <f>SUMIFS('Daily Ops'!$H$2:$H$401,'Daily Ops'!$AH$2:$AH$401,$A56)</f>
        <v>0</v>
      </c>
      <c r="D56" s="21">
        <f>SUMIFS('Daily Ops'!$I$2:$I$401,'Daily Ops'!$AH$2:$AH$401,$A56)</f>
        <v>0</v>
      </c>
      <c r="E56" s="21">
        <f>SUMIFS('Daily Ops'!$J$2:$J$401,'Daily Ops'!$AH$2:$AH$401,$A56)</f>
        <v>0</v>
      </c>
      <c r="F56" s="23">
        <f>SUMIFS('Daily Ops'!$U$2:$U$401,'Daily Ops'!$AH$2:$AH$401,$A56)</f>
        <v>0</v>
      </c>
      <c r="G56" s="21">
        <f>SUMIFS('Daily Ops'!$Y$2:$Y$401,'Daily Ops'!$AH$2:$AH$401,$A56)</f>
        <v>0</v>
      </c>
      <c r="H56" s="21">
        <f>SUMIFS('Daily Ops'!$AA$2:$AA$401,'Daily Ops'!$AH$2:$AH$401,$A56)</f>
        <v>0</v>
      </c>
      <c r="I56" s="21">
        <f>SUMIFS('Daily Ops'!$AB$2:$AB$401,'Daily Ops'!$AH$2:$AH$401,$A56)</f>
        <v>0</v>
      </c>
      <c r="J56" s="21">
        <f t="shared" si="2"/>
        <v>0</v>
      </c>
      <c r="K56" s="21" t="str">
        <f t="shared" si="3"/>
        <v/>
      </c>
      <c r="L56" s="24" t="str">
        <f t="shared" si="4"/>
        <v/>
      </c>
      <c r="M56" s="24" t="str">
        <f t="shared" si="5"/>
        <v/>
      </c>
      <c r="N56" s="24" t="str">
        <f t="shared" si="6"/>
        <v/>
      </c>
      <c r="O56" s="21">
        <f t="shared" si="7"/>
        <v>0</v>
      </c>
      <c r="P56" s="24" t="str">
        <f t="shared" si="8"/>
        <v/>
      </c>
    </row>
    <row r="57" ht="15.75" customHeight="1">
      <c r="A57" s="25">
        <f t="shared" si="9"/>
        <v>46408</v>
      </c>
      <c r="B57" s="25">
        <f t="shared" si="1"/>
        <v>46414</v>
      </c>
      <c r="C57" s="21">
        <f>SUMIFS('Daily Ops'!$H$2:$H$401,'Daily Ops'!$AH$2:$AH$401,$A57)</f>
        <v>0</v>
      </c>
      <c r="D57" s="21">
        <f>SUMIFS('Daily Ops'!$I$2:$I$401,'Daily Ops'!$AH$2:$AH$401,$A57)</f>
        <v>0</v>
      </c>
      <c r="E57" s="21">
        <f>SUMIFS('Daily Ops'!$J$2:$J$401,'Daily Ops'!$AH$2:$AH$401,$A57)</f>
        <v>0</v>
      </c>
      <c r="F57" s="23">
        <f>SUMIFS('Daily Ops'!$U$2:$U$401,'Daily Ops'!$AH$2:$AH$401,$A57)</f>
        <v>0</v>
      </c>
      <c r="G57" s="21">
        <f>SUMIFS('Daily Ops'!$Y$2:$Y$401,'Daily Ops'!$AH$2:$AH$401,$A57)</f>
        <v>0</v>
      </c>
      <c r="H57" s="21">
        <f>SUMIFS('Daily Ops'!$AA$2:$AA$401,'Daily Ops'!$AH$2:$AH$401,$A57)</f>
        <v>0</v>
      </c>
      <c r="I57" s="21">
        <f>SUMIFS('Daily Ops'!$AB$2:$AB$401,'Daily Ops'!$AH$2:$AH$401,$A57)</f>
        <v>0</v>
      </c>
      <c r="J57" s="21">
        <f t="shared" si="2"/>
        <v>0</v>
      </c>
      <c r="K57" s="21" t="str">
        <f t="shared" si="3"/>
        <v/>
      </c>
      <c r="L57" s="24" t="str">
        <f t="shared" si="4"/>
        <v/>
      </c>
      <c r="M57" s="24" t="str">
        <f t="shared" si="5"/>
        <v/>
      </c>
      <c r="N57" s="24" t="str">
        <f t="shared" si="6"/>
        <v/>
      </c>
      <c r="O57" s="21">
        <f t="shared" si="7"/>
        <v>0</v>
      </c>
      <c r="P57" s="24" t="str">
        <f t="shared" si="8"/>
        <v/>
      </c>
    </row>
    <row r="58" ht="15.75" customHeight="1">
      <c r="A58" s="25">
        <f t="shared" si="9"/>
        <v>46415</v>
      </c>
      <c r="B58" s="25">
        <f t="shared" si="1"/>
        <v>46421</v>
      </c>
      <c r="C58" s="21">
        <f>SUMIFS('Daily Ops'!$H$2:$H$401,'Daily Ops'!$AH$2:$AH$401,$A58)</f>
        <v>0</v>
      </c>
      <c r="D58" s="21">
        <f>SUMIFS('Daily Ops'!$I$2:$I$401,'Daily Ops'!$AH$2:$AH$401,$A58)</f>
        <v>0</v>
      </c>
      <c r="E58" s="21">
        <f>SUMIFS('Daily Ops'!$J$2:$J$401,'Daily Ops'!$AH$2:$AH$401,$A58)</f>
        <v>0</v>
      </c>
      <c r="F58" s="23">
        <f>SUMIFS('Daily Ops'!$U$2:$U$401,'Daily Ops'!$AH$2:$AH$401,$A58)</f>
        <v>0</v>
      </c>
      <c r="G58" s="21">
        <f>SUMIFS('Daily Ops'!$Y$2:$Y$401,'Daily Ops'!$AH$2:$AH$401,$A58)</f>
        <v>0</v>
      </c>
      <c r="H58" s="21">
        <f>SUMIFS('Daily Ops'!$AA$2:$AA$401,'Daily Ops'!$AH$2:$AH$401,$A58)</f>
        <v>0</v>
      </c>
      <c r="I58" s="21">
        <f>SUMIFS('Daily Ops'!$AB$2:$AB$401,'Daily Ops'!$AH$2:$AH$401,$A58)</f>
        <v>0</v>
      </c>
      <c r="J58" s="21">
        <f t="shared" si="2"/>
        <v>0</v>
      </c>
      <c r="K58" s="21" t="str">
        <f t="shared" si="3"/>
        <v/>
      </c>
      <c r="L58" s="24" t="str">
        <f t="shared" si="4"/>
        <v/>
      </c>
      <c r="M58" s="24" t="str">
        <f t="shared" si="5"/>
        <v/>
      </c>
      <c r="N58" s="24" t="str">
        <f t="shared" si="6"/>
        <v/>
      </c>
      <c r="O58" s="21">
        <f t="shared" si="7"/>
        <v>0</v>
      </c>
      <c r="P58" s="24" t="str">
        <f t="shared" si="8"/>
        <v/>
      </c>
    </row>
    <row r="59" ht="15.75" customHeight="1">
      <c r="A59" s="25">
        <f t="shared" si="9"/>
        <v>46422</v>
      </c>
      <c r="B59" s="25">
        <f t="shared" si="1"/>
        <v>46428</v>
      </c>
      <c r="C59" s="21">
        <f>SUMIFS('Daily Ops'!$H$2:$H$401,'Daily Ops'!$AH$2:$AH$401,$A59)</f>
        <v>0</v>
      </c>
      <c r="D59" s="21">
        <f>SUMIFS('Daily Ops'!$I$2:$I$401,'Daily Ops'!$AH$2:$AH$401,$A59)</f>
        <v>0</v>
      </c>
      <c r="E59" s="21">
        <f>SUMIFS('Daily Ops'!$J$2:$J$401,'Daily Ops'!$AH$2:$AH$401,$A59)</f>
        <v>0</v>
      </c>
      <c r="F59" s="23">
        <f>SUMIFS('Daily Ops'!$U$2:$U$401,'Daily Ops'!$AH$2:$AH$401,$A59)</f>
        <v>0</v>
      </c>
      <c r="G59" s="21">
        <f>SUMIFS('Daily Ops'!$Y$2:$Y$401,'Daily Ops'!$AH$2:$AH$401,$A59)</f>
        <v>0</v>
      </c>
      <c r="H59" s="21">
        <f>SUMIFS('Daily Ops'!$AA$2:$AA$401,'Daily Ops'!$AH$2:$AH$401,$A59)</f>
        <v>0</v>
      </c>
      <c r="I59" s="21">
        <f>SUMIFS('Daily Ops'!$AB$2:$AB$401,'Daily Ops'!$AH$2:$AH$401,$A59)</f>
        <v>0</v>
      </c>
      <c r="J59" s="21">
        <f t="shared" si="2"/>
        <v>0</v>
      </c>
      <c r="K59" s="21" t="str">
        <f t="shared" si="3"/>
        <v/>
      </c>
      <c r="L59" s="24" t="str">
        <f t="shared" si="4"/>
        <v/>
      </c>
      <c r="M59" s="24" t="str">
        <f t="shared" si="5"/>
        <v/>
      </c>
      <c r="N59" s="24" t="str">
        <f t="shared" si="6"/>
        <v/>
      </c>
      <c r="O59" s="21">
        <f t="shared" si="7"/>
        <v>0</v>
      </c>
      <c r="P59" s="24" t="str">
        <f t="shared" si="8"/>
        <v/>
      </c>
    </row>
    <row r="60" ht="15.75" customHeight="1">
      <c r="A60" s="25">
        <f t="shared" si="9"/>
        <v>46429</v>
      </c>
      <c r="B60" s="25">
        <f t="shared" si="1"/>
        <v>46435</v>
      </c>
      <c r="C60" s="21">
        <f>SUMIFS('Daily Ops'!$H$2:$H$401,'Daily Ops'!$AH$2:$AH$401,$A60)</f>
        <v>0</v>
      </c>
      <c r="D60" s="21">
        <f>SUMIFS('Daily Ops'!$I$2:$I$401,'Daily Ops'!$AH$2:$AH$401,$A60)</f>
        <v>0</v>
      </c>
      <c r="E60" s="21">
        <f>SUMIFS('Daily Ops'!$J$2:$J$401,'Daily Ops'!$AH$2:$AH$401,$A60)</f>
        <v>0</v>
      </c>
      <c r="F60" s="23">
        <f>SUMIFS('Daily Ops'!$U$2:$U$401,'Daily Ops'!$AH$2:$AH$401,$A60)</f>
        <v>0</v>
      </c>
      <c r="G60" s="21">
        <f>SUMIFS('Daily Ops'!$Y$2:$Y$401,'Daily Ops'!$AH$2:$AH$401,$A60)</f>
        <v>0</v>
      </c>
      <c r="H60" s="21">
        <f>SUMIFS('Daily Ops'!$AA$2:$AA$401,'Daily Ops'!$AH$2:$AH$401,$A60)</f>
        <v>0</v>
      </c>
      <c r="I60" s="21">
        <f>SUMIFS('Daily Ops'!$AB$2:$AB$401,'Daily Ops'!$AH$2:$AH$401,$A60)</f>
        <v>0</v>
      </c>
      <c r="J60" s="21">
        <f t="shared" si="2"/>
        <v>0</v>
      </c>
      <c r="K60" s="21" t="str">
        <f t="shared" si="3"/>
        <v/>
      </c>
      <c r="L60" s="24" t="str">
        <f t="shared" si="4"/>
        <v/>
      </c>
      <c r="M60" s="24" t="str">
        <f t="shared" si="5"/>
        <v/>
      </c>
      <c r="N60" s="24" t="str">
        <f t="shared" si="6"/>
        <v/>
      </c>
      <c r="O60" s="21">
        <f t="shared" si="7"/>
        <v>0</v>
      </c>
      <c r="P60" s="24" t="str">
        <f t="shared" si="8"/>
        <v/>
      </c>
    </row>
    <row r="61" ht="15.75" customHeight="1">
      <c r="A61" s="25">
        <f t="shared" si="9"/>
        <v>46436</v>
      </c>
      <c r="B61" s="25">
        <f t="shared" si="1"/>
        <v>46442</v>
      </c>
      <c r="C61" s="21">
        <f>SUMIFS('Daily Ops'!$H$2:$H$401,'Daily Ops'!$AH$2:$AH$401,$A61)</f>
        <v>0</v>
      </c>
      <c r="D61" s="21">
        <f>SUMIFS('Daily Ops'!$I$2:$I$401,'Daily Ops'!$AH$2:$AH$401,$A61)</f>
        <v>0</v>
      </c>
      <c r="E61" s="21">
        <f>SUMIFS('Daily Ops'!$J$2:$J$401,'Daily Ops'!$AH$2:$AH$401,$A61)</f>
        <v>0</v>
      </c>
      <c r="F61" s="23">
        <f>SUMIFS('Daily Ops'!$U$2:$U$401,'Daily Ops'!$AH$2:$AH$401,$A61)</f>
        <v>0</v>
      </c>
      <c r="G61" s="21">
        <f>SUMIFS('Daily Ops'!$Y$2:$Y$401,'Daily Ops'!$AH$2:$AH$401,$A61)</f>
        <v>0</v>
      </c>
      <c r="H61" s="21">
        <f>SUMIFS('Daily Ops'!$AA$2:$AA$401,'Daily Ops'!$AH$2:$AH$401,$A61)</f>
        <v>0</v>
      </c>
      <c r="I61" s="21">
        <f>SUMIFS('Daily Ops'!$AB$2:$AB$401,'Daily Ops'!$AH$2:$AH$401,$A61)</f>
        <v>0</v>
      </c>
      <c r="J61" s="21">
        <f t="shared" si="2"/>
        <v>0</v>
      </c>
      <c r="K61" s="21" t="str">
        <f t="shared" si="3"/>
        <v/>
      </c>
      <c r="L61" s="24" t="str">
        <f t="shared" si="4"/>
        <v/>
      </c>
      <c r="M61" s="24" t="str">
        <f t="shared" si="5"/>
        <v/>
      </c>
      <c r="N61" s="24" t="str">
        <f t="shared" si="6"/>
        <v/>
      </c>
      <c r="O61" s="21">
        <f t="shared" si="7"/>
        <v>0</v>
      </c>
      <c r="P61" s="24" t="str">
        <f t="shared" si="8"/>
        <v/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4" width="14.0"/>
    <col customWidth="1" min="5" max="5" width="16.0"/>
    <col customWidth="1" min="6" max="6" width="12.0"/>
    <col customWidth="1" min="7" max="10" width="14.0"/>
    <col customWidth="1" min="11" max="11" width="12.0"/>
    <col customWidth="1" min="12" max="14" width="10.0"/>
    <col customWidth="1" min="15" max="15" width="14.0"/>
    <col customWidth="1" min="16" max="16" width="12.0"/>
    <col customWidth="1" min="17" max="26" width="8.71"/>
  </cols>
  <sheetData>
    <row r="1">
      <c r="A1" s="17" t="s">
        <v>81</v>
      </c>
      <c r="B1" s="17" t="s">
        <v>53</v>
      </c>
      <c r="C1" s="17" t="s">
        <v>10</v>
      </c>
      <c r="D1" s="17" t="s">
        <v>11</v>
      </c>
      <c r="E1" s="17" t="s">
        <v>12</v>
      </c>
      <c r="F1" s="17" t="s">
        <v>13</v>
      </c>
      <c r="G1" s="17" t="s">
        <v>17</v>
      </c>
      <c r="H1" s="17" t="s">
        <v>19</v>
      </c>
      <c r="I1" s="17" t="s">
        <v>47</v>
      </c>
      <c r="J1" s="17" t="s">
        <v>48</v>
      </c>
      <c r="K1" s="17" t="s">
        <v>14</v>
      </c>
      <c r="L1" s="17" t="s">
        <v>18</v>
      </c>
      <c r="M1" s="17" t="s">
        <v>26</v>
      </c>
      <c r="N1" s="17" t="s">
        <v>80</v>
      </c>
      <c r="O1" s="17" t="s">
        <v>50</v>
      </c>
      <c r="P1" s="17" t="s">
        <v>23</v>
      </c>
    </row>
    <row r="2">
      <c r="A2" s="32">
        <f>Settings!$B$6</f>
        <v>46023</v>
      </c>
      <c r="B2" s="33" t="str">
        <f t="shared" ref="B2:B25" si="1">TEXT(A2,"yyyy-mm")</f>
        <v>2026-01</v>
      </c>
      <c r="C2" s="21">
        <f>SUMIFS('Daily Ops'!$H$2:$H$401,'Daily Ops'!$AJ$2:$AJ$401,$B2)</f>
        <v>0</v>
      </c>
      <c r="D2" s="21">
        <f>SUMIFS('Daily Ops'!$I$2:$I$401,'Daily Ops'!$AJ$2:$AJ$401,$B2)</f>
        <v>0</v>
      </c>
      <c r="E2" s="21">
        <f>SUMIFS('Daily Ops'!$J$2:$J$401,'Daily Ops'!$AJ$2:$AJ$401,$B2)</f>
        <v>0</v>
      </c>
      <c r="F2" s="23">
        <f>SUMIFS('Daily Ops'!$U$2:$U$401,'Daily Ops'!$AJ$2:$AJ$401,$B2)</f>
        <v>0</v>
      </c>
      <c r="G2" s="21">
        <f>SUMIFS('Daily Ops'!$Y$2:$Y$401,'Daily Ops'!$AJ$2:$AJ$401,$B2)</f>
        <v>0</v>
      </c>
      <c r="H2" s="21">
        <f>SUMIFS('Daily Ops'!$AA$2:$AA$401,'Daily Ops'!$AJ$2:$AJ$401,$B2)</f>
        <v>0</v>
      </c>
      <c r="I2" s="21">
        <f>SUMIFS('Daily Ops'!$AB$2:$AB$401,'Daily Ops'!$AJ$2:$AJ$401,$B2)</f>
        <v>0</v>
      </c>
      <c r="J2" s="21">
        <f t="shared" ref="J2:J25" si="2">H2+I2</f>
        <v>0</v>
      </c>
      <c r="K2" s="21" t="str">
        <f t="shared" ref="K2:K25" si="3">IF(F2=0,"",C2/F2)</f>
        <v/>
      </c>
      <c r="L2" s="24" t="str">
        <f t="shared" ref="L2:L25" si="4">IF(C2=0,"",G2/C2)</f>
        <v/>
      </c>
      <c r="M2" s="24" t="str">
        <f t="shared" ref="M2:M25" si="5">IF(C2=0,"",D2/C2)</f>
        <v/>
      </c>
      <c r="N2" s="24" t="str">
        <f t="shared" ref="N2:N25" si="6">IF(C2=0,"",E2/C2)</f>
        <v/>
      </c>
      <c r="O2" s="21">
        <f t="shared" ref="O2:O25" si="7">G2+J2</f>
        <v>0</v>
      </c>
      <c r="P2" s="24" t="str">
        <f t="shared" ref="P2:P25" si="8">IF(C2=0,"",O2/C2)</f>
        <v/>
      </c>
    </row>
    <row r="3">
      <c r="A3" s="32">
        <f t="shared" ref="A3:A25" si="9">EDATE(A2,1)</f>
        <v>46054</v>
      </c>
      <c r="B3" s="33" t="str">
        <f t="shared" si="1"/>
        <v>2026-02</v>
      </c>
      <c r="C3" s="21">
        <f>SUMIFS('Daily Ops'!$H$2:$H$401,'Daily Ops'!$AJ$2:$AJ$401,$B3)</f>
        <v>0</v>
      </c>
      <c r="D3" s="21">
        <f>SUMIFS('Daily Ops'!$I$2:$I$401,'Daily Ops'!$AJ$2:$AJ$401,$B3)</f>
        <v>0</v>
      </c>
      <c r="E3" s="21">
        <f>SUMIFS('Daily Ops'!$J$2:$J$401,'Daily Ops'!$AJ$2:$AJ$401,$B3)</f>
        <v>0</v>
      </c>
      <c r="F3" s="23">
        <f>SUMIFS('Daily Ops'!$U$2:$U$401,'Daily Ops'!$AJ$2:$AJ$401,$B3)</f>
        <v>0</v>
      </c>
      <c r="G3" s="21">
        <f>SUMIFS('Daily Ops'!$Y$2:$Y$401,'Daily Ops'!$AJ$2:$AJ$401,$B3)</f>
        <v>0</v>
      </c>
      <c r="H3" s="21">
        <f>SUMIFS('Daily Ops'!$AA$2:$AA$401,'Daily Ops'!$AJ$2:$AJ$401,$B3)</f>
        <v>0</v>
      </c>
      <c r="I3" s="21">
        <f>SUMIFS('Daily Ops'!$AB$2:$AB$401,'Daily Ops'!$AJ$2:$AJ$401,$B3)</f>
        <v>0</v>
      </c>
      <c r="J3" s="21">
        <f t="shared" si="2"/>
        <v>0</v>
      </c>
      <c r="K3" s="21" t="str">
        <f t="shared" si="3"/>
        <v/>
      </c>
      <c r="L3" s="24" t="str">
        <f t="shared" si="4"/>
        <v/>
      </c>
      <c r="M3" s="24" t="str">
        <f t="shared" si="5"/>
        <v/>
      </c>
      <c r="N3" s="24" t="str">
        <f t="shared" si="6"/>
        <v/>
      </c>
      <c r="O3" s="21">
        <f t="shared" si="7"/>
        <v>0</v>
      </c>
      <c r="P3" s="24" t="str">
        <f t="shared" si="8"/>
        <v/>
      </c>
    </row>
    <row r="4">
      <c r="A4" s="32">
        <f t="shared" si="9"/>
        <v>46082</v>
      </c>
      <c r="B4" s="33" t="str">
        <f t="shared" si="1"/>
        <v>2026-03</v>
      </c>
      <c r="C4" s="21">
        <f>SUMIFS('Daily Ops'!$H$2:$H$401,'Daily Ops'!$AJ$2:$AJ$401,$B4)</f>
        <v>0</v>
      </c>
      <c r="D4" s="21">
        <f>SUMIFS('Daily Ops'!$I$2:$I$401,'Daily Ops'!$AJ$2:$AJ$401,$B4)</f>
        <v>0</v>
      </c>
      <c r="E4" s="21">
        <f>SUMIFS('Daily Ops'!$J$2:$J$401,'Daily Ops'!$AJ$2:$AJ$401,$B4)</f>
        <v>0</v>
      </c>
      <c r="F4" s="23">
        <f>SUMIFS('Daily Ops'!$U$2:$U$401,'Daily Ops'!$AJ$2:$AJ$401,$B4)</f>
        <v>0</v>
      </c>
      <c r="G4" s="21">
        <f>SUMIFS('Daily Ops'!$Y$2:$Y$401,'Daily Ops'!$AJ$2:$AJ$401,$B4)</f>
        <v>0</v>
      </c>
      <c r="H4" s="21">
        <f>SUMIFS('Daily Ops'!$AA$2:$AA$401,'Daily Ops'!$AJ$2:$AJ$401,$B4)</f>
        <v>0</v>
      </c>
      <c r="I4" s="21">
        <f>SUMIFS('Daily Ops'!$AB$2:$AB$401,'Daily Ops'!$AJ$2:$AJ$401,$B4)</f>
        <v>0</v>
      </c>
      <c r="J4" s="21">
        <f t="shared" si="2"/>
        <v>0</v>
      </c>
      <c r="K4" s="21" t="str">
        <f t="shared" si="3"/>
        <v/>
      </c>
      <c r="L4" s="24" t="str">
        <f t="shared" si="4"/>
        <v/>
      </c>
      <c r="M4" s="24" t="str">
        <f t="shared" si="5"/>
        <v/>
      </c>
      <c r="N4" s="24" t="str">
        <f t="shared" si="6"/>
        <v/>
      </c>
      <c r="O4" s="21">
        <f t="shared" si="7"/>
        <v>0</v>
      </c>
      <c r="P4" s="24" t="str">
        <f t="shared" si="8"/>
        <v/>
      </c>
    </row>
    <row r="5">
      <c r="A5" s="32">
        <f t="shared" si="9"/>
        <v>46113</v>
      </c>
      <c r="B5" s="33" t="str">
        <f t="shared" si="1"/>
        <v>2026-04</v>
      </c>
      <c r="C5" s="21">
        <f>SUMIFS('Daily Ops'!$H$2:$H$401,'Daily Ops'!$AJ$2:$AJ$401,$B5)</f>
        <v>0</v>
      </c>
      <c r="D5" s="21">
        <f>SUMIFS('Daily Ops'!$I$2:$I$401,'Daily Ops'!$AJ$2:$AJ$401,$B5)</f>
        <v>0</v>
      </c>
      <c r="E5" s="21">
        <f>SUMIFS('Daily Ops'!$J$2:$J$401,'Daily Ops'!$AJ$2:$AJ$401,$B5)</f>
        <v>0</v>
      </c>
      <c r="F5" s="23">
        <f>SUMIFS('Daily Ops'!$U$2:$U$401,'Daily Ops'!$AJ$2:$AJ$401,$B5)</f>
        <v>0</v>
      </c>
      <c r="G5" s="21">
        <f>SUMIFS('Daily Ops'!$Y$2:$Y$401,'Daily Ops'!$AJ$2:$AJ$401,$B5)</f>
        <v>0</v>
      </c>
      <c r="H5" s="21">
        <f>SUMIFS('Daily Ops'!$AA$2:$AA$401,'Daily Ops'!$AJ$2:$AJ$401,$B5)</f>
        <v>0</v>
      </c>
      <c r="I5" s="21">
        <f>SUMIFS('Daily Ops'!$AB$2:$AB$401,'Daily Ops'!$AJ$2:$AJ$401,$B5)</f>
        <v>0</v>
      </c>
      <c r="J5" s="21">
        <f t="shared" si="2"/>
        <v>0</v>
      </c>
      <c r="K5" s="21" t="str">
        <f t="shared" si="3"/>
        <v/>
      </c>
      <c r="L5" s="24" t="str">
        <f t="shared" si="4"/>
        <v/>
      </c>
      <c r="M5" s="24" t="str">
        <f t="shared" si="5"/>
        <v/>
      </c>
      <c r="N5" s="24" t="str">
        <f t="shared" si="6"/>
        <v/>
      </c>
      <c r="O5" s="21">
        <f t="shared" si="7"/>
        <v>0</v>
      </c>
      <c r="P5" s="24" t="str">
        <f t="shared" si="8"/>
        <v/>
      </c>
    </row>
    <row r="6">
      <c r="A6" s="32">
        <f t="shared" si="9"/>
        <v>46143</v>
      </c>
      <c r="B6" s="33" t="str">
        <f t="shared" si="1"/>
        <v>2026-05</v>
      </c>
      <c r="C6" s="21">
        <f>SUMIFS('Daily Ops'!$H$2:$H$401,'Daily Ops'!$AJ$2:$AJ$401,$B6)</f>
        <v>0</v>
      </c>
      <c r="D6" s="21">
        <f>SUMIFS('Daily Ops'!$I$2:$I$401,'Daily Ops'!$AJ$2:$AJ$401,$B6)</f>
        <v>0</v>
      </c>
      <c r="E6" s="21">
        <f>SUMIFS('Daily Ops'!$J$2:$J$401,'Daily Ops'!$AJ$2:$AJ$401,$B6)</f>
        <v>0</v>
      </c>
      <c r="F6" s="23">
        <f>SUMIFS('Daily Ops'!$U$2:$U$401,'Daily Ops'!$AJ$2:$AJ$401,$B6)</f>
        <v>0</v>
      </c>
      <c r="G6" s="21">
        <f>SUMIFS('Daily Ops'!$Y$2:$Y$401,'Daily Ops'!$AJ$2:$AJ$401,$B6)</f>
        <v>0</v>
      </c>
      <c r="H6" s="21">
        <f>SUMIFS('Daily Ops'!$AA$2:$AA$401,'Daily Ops'!$AJ$2:$AJ$401,$B6)</f>
        <v>0</v>
      </c>
      <c r="I6" s="21">
        <f>SUMIFS('Daily Ops'!$AB$2:$AB$401,'Daily Ops'!$AJ$2:$AJ$401,$B6)</f>
        <v>0</v>
      </c>
      <c r="J6" s="21">
        <f t="shared" si="2"/>
        <v>0</v>
      </c>
      <c r="K6" s="21" t="str">
        <f t="shared" si="3"/>
        <v/>
      </c>
      <c r="L6" s="24" t="str">
        <f t="shared" si="4"/>
        <v/>
      </c>
      <c r="M6" s="24" t="str">
        <f t="shared" si="5"/>
        <v/>
      </c>
      <c r="N6" s="24" t="str">
        <f t="shared" si="6"/>
        <v/>
      </c>
      <c r="O6" s="21">
        <f t="shared" si="7"/>
        <v>0</v>
      </c>
      <c r="P6" s="24" t="str">
        <f t="shared" si="8"/>
        <v/>
      </c>
    </row>
    <row r="7">
      <c r="A7" s="32">
        <f t="shared" si="9"/>
        <v>46174</v>
      </c>
      <c r="B7" s="33" t="str">
        <f t="shared" si="1"/>
        <v>2026-06</v>
      </c>
      <c r="C7" s="21">
        <f>SUMIFS('Daily Ops'!$H$2:$H$401,'Daily Ops'!$AJ$2:$AJ$401,$B7)</f>
        <v>0</v>
      </c>
      <c r="D7" s="21">
        <f>SUMIFS('Daily Ops'!$I$2:$I$401,'Daily Ops'!$AJ$2:$AJ$401,$B7)</f>
        <v>0</v>
      </c>
      <c r="E7" s="21">
        <f>SUMIFS('Daily Ops'!$J$2:$J$401,'Daily Ops'!$AJ$2:$AJ$401,$B7)</f>
        <v>0</v>
      </c>
      <c r="F7" s="23">
        <f>SUMIFS('Daily Ops'!$U$2:$U$401,'Daily Ops'!$AJ$2:$AJ$401,$B7)</f>
        <v>0</v>
      </c>
      <c r="G7" s="21">
        <f>SUMIFS('Daily Ops'!$Y$2:$Y$401,'Daily Ops'!$AJ$2:$AJ$401,$B7)</f>
        <v>0</v>
      </c>
      <c r="H7" s="21">
        <f>SUMIFS('Daily Ops'!$AA$2:$AA$401,'Daily Ops'!$AJ$2:$AJ$401,$B7)</f>
        <v>0</v>
      </c>
      <c r="I7" s="21">
        <f>SUMIFS('Daily Ops'!$AB$2:$AB$401,'Daily Ops'!$AJ$2:$AJ$401,$B7)</f>
        <v>0</v>
      </c>
      <c r="J7" s="21">
        <f t="shared" si="2"/>
        <v>0</v>
      </c>
      <c r="K7" s="21" t="str">
        <f t="shared" si="3"/>
        <v/>
      </c>
      <c r="L7" s="24" t="str">
        <f t="shared" si="4"/>
        <v/>
      </c>
      <c r="M7" s="24" t="str">
        <f t="shared" si="5"/>
        <v/>
      </c>
      <c r="N7" s="24" t="str">
        <f t="shared" si="6"/>
        <v/>
      </c>
      <c r="O7" s="21">
        <f t="shared" si="7"/>
        <v>0</v>
      </c>
      <c r="P7" s="24" t="str">
        <f t="shared" si="8"/>
        <v/>
      </c>
    </row>
    <row r="8">
      <c r="A8" s="32">
        <f t="shared" si="9"/>
        <v>46204</v>
      </c>
      <c r="B8" s="33" t="str">
        <f t="shared" si="1"/>
        <v>2026-07</v>
      </c>
      <c r="C8" s="21">
        <f>SUMIFS('Daily Ops'!$H$2:$H$401,'Daily Ops'!$AJ$2:$AJ$401,$B8)</f>
        <v>0</v>
      </c>
      <c r="D8" s="21">
        <f>SUMIFS('Daily Ops'!$I$2:$I$401,'Daily Ops'!$AJ$2:$AJ$401,$B8)</f>
        <v>0</v>
      </c>
      <c r="E8" s="21">
        <f>SUMIFS('Daily Ops'!$J$2:$J$401,'Daily Ops'!$AJ$2:$AJ$401,$B8)</f>
        <v>0</v>
      </c>
      <c r="F8" s="23">
        <f>SUMIFS('Daily Ops'!$U$2:$U$401,'Daily Ops'!$AJ$2:$AJ$401,$B8)</f>
        <v>0</v>
      </c>
      <c r="G8" s="21">
        <f>SUMIFS('Daily Ops'!$Y$2:$Y$401,'Daily Ops'!$AJ$2:$AJ$401,$B8)</f>
        <v>0</v>
      </c>
      <c r="H8" s="21">
        <f>SUMIFS('Daily Ops'!$AA$2:$AA$401,'Daily Ops'!$AJ$2:$AJ$401,$B8)</f>
        <v>0</v>
      </c>
      <c r="I8" s="21">
        <f>SUMIFS('Daily Ops'!$AB$2:$AB$401,'Daily Ops'!$AJ$2:$AJ$401,$B8)</f>
        <v>0</v>
      </c>
      <c r="J8" s="21">
        <f t="shared" si="2"/>
        <v>0</v>
      </c>
      <c r="K8" s="21" t="str">
        <f t="shared" si="3"/>
        <v/>
      </c>
      <c r="L8" s="24" t="str">
        <f t="shared" si="4"/>
        <v/>
      </c>
      <c r="M8" s="24" t="str">
        <f t="shared" si="5"/>
        <v/>
      </c>
      <c r="N8" s="24" t="str">
        <f t="shared" si="6"/>
        <v/>
      </c>
      <c r="O8" s="21">
        <f t="shared" si="7"/>
        <v>0</v>
      </c>
      <c r="P8" s="24" t="str">
        <f t="shared" si="8"/>
        <v/>
      </c>
    </row>
    <row r="9">
      <c r="A9" s="32">
        <f t="shared" si="9"/>
        <v>46235</v>
      </c>
      <c r="B9" s="33" t="str">
        <f t="shared" si="1"/>
        <v>2026-08</v>
      </c>
      <c r="C9" s="21">
        <f>SUMIFS('Daily Ops'!$H$2:$H$401,'Daily Ops'!$AJ$2:$AJ$401,$B9)</f>
        <v>0</v>
      </c>
      <c r="D9" s="21">
        <f>SUMIFS('Daily Ops'!$I$2:$I$401,'Daily Ops'!$AJ$2:$AJ$401,$B9)</f>
        <v>0</v>
      </c>
      <c r="E9" s="21">
        <f>SUMIFS('Daily Ops'!$J$2:$J$401,'Daily Ops'!$AJ$2:$AJ$401,$B9)</f>
        <v>0</v>
      </c>
      <c r="F9" s="23">
        <f>SUMIFS('Daily Ops'!$U$2:$U$401,'Daily Ops'!$AJ$2:$AJ$401,$B9)</f>
        <v>0</v>
      </c>
      <c r="G9" s="21">
        <f>SUMIFS('Daily Ops'!$Y$2:$Y$401,'Daily Ops'!$AJ$2:$AJ$401,$B9)</f>
        <v>0</v>
      </c>
      <c r="H9" s="21">
        <f>SUMIFS('Daily Ops'!$AA$2:$AA$401,'Daily Ops'!$AJ$2:$AJ$401,$B9)</f>
        <v>0</v>
      </c>
      <c r="I9" s="21">
        <f>SUMIFS('Daily Ops'!$AB$2:$AB$401,'Daily Ops'!$AJ$2:$AJ$401,$B9)</f>
        <v>0</v>
      </c>
      <c r="J9" s="21">
        <f t="shared" si="2"/>
        <v>0</v>
      </c>
      <c r="K9" s="21" t="str">
        <f t="shared" si="3"/>
        <v/>
      </c>
      <c r="L9" s="24" t="str">
        <f t="shared" si="4"/>
        <v/>
      </c>
      <c r="M9" s="24" t="str">
        <f t="shared" si="5"/>
        <v/>
      </c>
      <c r="N9" s="24" t="str">
        <f t="shared" si="6"/>
        <v/>
      </c>
      <c r="O9" s="21">
        <f t="shared" si="7"/>
        <v>0</v>
      </c>
      <c r="P9" s="24" t="str">
        <f t="shared" si="8"/>
        <v/>
      </c>
    </row>
    <row r="10">
      <c r="A10" s="32">
        <f t="shared" si="9"/>
        <v>46266</v>
      </c>
      <c r="B10" s="33" t="str">
        <f t="shared" si="1"/>
        <v>2026-09</v>
      </c>
      <c r="C10" s="21">
        <f>SUMIFS('Daily Ops'!$H$2:$H$401,'Daily Ops'!$AJ$2:$AJ$401,$B10)</f>
        <v>0</v>
      </c>
      <c r="D10" s="21">
        <f>SUMIFS('Daily Ops'!$I$2:$I$401,'Daily Ops'!$AJ$2:$AJ$401,$B10)</f>
        <v>0</v>
      </c>
      <c r="E10" s="21">
        <f>SUMIFS('Daily Ops'!$J$2:$J$401,'Daily Ops'!$AJ$2:$AJ$401,$B10)</f>
        <v>0</v>
      </c>
      <c r="F10" s="23">
        <f>SUMIFS('Daily Ops'!$U$2:$U$401,'Daily Ops'!$AJ$2:$AJ$401,$B10)</f>
        <v>0</v>
      </c>
      <c r="G10" s="21">
        <f>SUMIFS('Daily Ops'!$Y$2:$Y$401,'Daily Ops'!$AJ$2:$AJ$401,$B10)</f>
        <v>0</v>
      </c>
      <c r="H10" s="21">
        <f>SUMIFS('Daily Ops'!$AA$2:$AA$401,'Daily Ops'!$AJ$2:$AJ$401,$B10)</f>
        <v>0</v>
      </c>
      <c r="I10" s="21">
        <f>SUMIFS('Daily Ops'!$AB$2:$AB$401,'Daily Ops'!$AJ$2:$AJ$401,$B10)</f>
        <v>0</v>
      </c>
      <c r="J10" s="21">
        <f t="shared" si="2"/>
        <v>0</v>
      </c>
      <c r="K10" s="21" t="str">
        <f t="shared" si="3"/>
        <v/>
      </c>
      <c r="L10" s="24" t="str">
        <f t="shared" si="4"/>
        <v/>
      </c>
      <c r="M10" s="24" t="str">
        <f t="shared" si="5"/>
        <v/>
      </c>
      <c r="N10" s="24" t="str">
        <f t="shared" si="6"/>
        <v/>
      </c>
      <c r="O10" s="21">
        <f t="shared" si="7"/>
        <v>0</v>
      </c>
      <c r="P10" s="24" t="str">
        <f t="shared" si="8"/>
        <v/>
      </c>
    </row>
    <row r="11">
      <c r="A11" s="32">
        <f t="shared" si="9"/>
        <v>46296</v>
      </c>
      <c r="B11" s="33" t="str">
        <f t="shared" si="1"/>
        <v>2026-10</v>
      </c>
      <c r="C11" s="21">
        <f>SUMIFS('Daily Ops'!$H$2:$H$401,'Daily Ops'!$AJ$2:$AJ$401,$B11)</f>
        <v>0</v>
      </c>
      <c r="D11" s="21">
        <f>SUMIFS('Daily Ops'!$I$2:$I$401,'Daily Ops'!$AJ$2:$AJ$401,$B11)</f>
        <v>0</v>
      </c>
      <c r="E11" s="21">
        <f>SUMIFS('Daily Ops'!$J$2:$J$401,'Daily Ops'!$AJ$2:$AJ$401,$B11)</f>
        <v>0</v>
      </c>
      <c r="F11" s="23">
        <f>SUMIFS('Daily Ops'!$U$2:$U$401,'Daily Ops'!$AJ$2:$AJ$401,$B11)</f>
        <v>0</v>
      </c>
      <c r="G11" s="21">
        <f>SUMIFS('Daily Ops'!$Y$2:$Y$401,'Daily Ops'!$AJ$2:$AJ$401,$B11)</f>
        <v>0</v>
      </c>
      <c r="H11" s="21">
        <f>SUMIFS('Daily Ops'!$AA$2:$AA$401,'Daily Ops'!$AJ$2:$AJ$401,$B11)</f>
        <v>0</v>
      </c>
      <c r="I11" s="21">
        <f>SUMIFS('Daily Ops'!$AB$2:$AB$401,'Daily Ops'!$AJ$2:$AJ$401,$B11)</f>
        <v>0</v>
      </c>
      <c r="J11" s="21">
        <f t="shared" si="2"/>
        <v>0</v>
      </c>
      <c r="K11" s="21" t="str">
        <f t="shared" si="3"/>
        <v/>
      </c>
      <c r="L11" s="24" t="str">
        <f t="shared" si="4"/>
        <v/>
      </c>
      <c r="M11" s="24" t="str">
        <f t="shared" si="5"/>
        <v/>
      </c>
      <c r="N11" s="24" t="str">
        <f t="shared" si="6"/>
        <v/>
      </c>
      <c r="O11" s="21">
        <f t="shared" si="7"/>
        <v>0</v>
      </c>
      <c r="P11" s="24" t="str">
        <f t="shared" si="8"/>
        <v/>
      </c>
    </row>
    <row r="12">
      <c r="A12" s="32">
        <f t="shared" si="9"/>
        <v>46327</v>
      </c>
      <c r="B12" s="33" t="str">
        <f t="shared" si="1"/>
        <v>2026-11</v>
      </c>
      <c r="C12" s="21">
        <f>SUMIFS('Daily Ops'!$H$2:$H$401,'Daily Ops'!$AJ$2:$AJ$401,$B12)</f>
        <v>0</v>
      </c>
      <c r="D12" s="21">
        <f>SUMIFS('Daily Ops'!$I$2:$I$401,'Daily Ops'!$AJ$2:$AJ$401,$B12)</f>
        <v>0</v>
      </c>
      <c r="E12" s="21">
        <f>SUMIFS('Daily Ops'!$J$2:$J$401,'Daily Ops'!$AJ$2:$AJ$401,$B12)</f>
        <v>0</v>
      </c>
      <c r="F12" s="23">
        <f>SUMIFS('Daily Ops'!$U$2:$U$401,'Daily Ops'!$AJ$2:$AJ$401,$B12)</f>
        <v>0</v>
      </c>
      <c r="G12" s="21">
        <f>SUMIFS('Daily Ops'!$Y$2:$Y$401,'Daily Ops'!$AJ$2:$AJ$401,$B12)</f>
        <v>0</v>
      </c>
      <c r="H12" s="21">
        <f>SUMIFS('Daily Ops'!$AA$2:$AA$401,'Daily Ops'!$AJ$2:$AJ$401,$B12)</f>
        <v>0</v>
      </c>
      <c r="I12" s="21">
        <f>SUMIFS('Daily Ops'!$AB$2:$AB$401,'Daily Ops'!$AJ$2:$AJ$401,$B12)</f>
        <v>0</v>
      </c>
      <c r="J12" s="21">
        <f t="shared" si="2"/>
        <v>0</v>
      </c>
      <c r="K12" s="21" t="str">
        <f t="shared" si="3"/>
        <v/>
      </c>
      <c r="L12" s="24" t="str">
        <f t="shared" si="4"/>
        <v/>
      </c>
      <c r="M12" s="24" t="str">
        <f t="shared" si="5"/>
        <v/>
      </c>
      <c r="N12" s="24" t="str">
        <f t="shared" si="6"/>
        <v/>
      </c>
      <c r="O12" s="21">
        <f t="shared" si="7"/>
        <v>0</v>
      </c>
      <c r="P12" s="24" t="str">
        <f t="shared" si="8"/>
        <v/>
      </c>
    </row>
    <row r="13">
      <c r="A13" s="32">
        <f t="shared" si="9"/>
        <v>46357</v>
      </c>
      <c r="B13" s="33" t="str">
        <f t="shared" si="1"/>
        <v>2026-12</v>
      </c>
      <c r="C13" s="21">
        <f>SUMIFS('Daily Ops'!$H$2:$H$401,'Daily Ops'!$AJ$2:$AJ$401,$B13)</f>
        <v>0</v>
      </c>
      <c r="D13" s="21">
        <f>SUMIFS('Daily Ops'!$I$2:$I$401,'Daily Ops'!$AJ$2:$AJ$401,$B13)</f>
        <v>0</v>
      </c>
      <c r="E13" s="21">
        <f>SUMIFS('Daily Ops'!$J$2:$J$401,'Daily Ops'!$AJ$2:$AJ$401,$B13)</f>
        <v>0</v>
      </c>
      <c r="F13" s="23">
        <f>SUMIFS('Daily Ops'!$U$2:$U$401,'Daily Ops'!$AJ$2:$AJ$401,$B13)</f>
        <v>0</v>
      </c>
      <c r="G13" s="21">
        <f>SUMIFS('Daily Ops'!$Y$2:$Y$401,'Daily Ops'!$AJ$2:$AJ$401,$B13)</f>
        <v>0</v>
      </c>
      <c r="H13" s="21">
        <f>SUMIFS('Daily Ops'!$AA$2:$AA$401,'Daily Ops'!$AJ$2:$AJ$401,$B13)</f>
        <v>0</v>
      </c>
      <c r="I13" s="21">
        <f>SUMIFS('Daily Ops'!$AB$2:$AB$401,'Daily Ops'!$AJ$2:$AJ$401,$B13)</f>
        <v>0</v>
      </c>
      <c r="J13" s="21">
        <f t="shared" si="2"/>
        <v>0</v>
      </c>
      <c r="K13" s="21" t="str">
        <f t="shared" si="3"/>
        <v/>
      </c>
      <c r="L13" s="24" t="str">
        <f t="shared" si="4"/>
        <v/>
      </c>
      <c r="M13" s="24" t="str">
        <f t="shared" si="5"/>
        <v/>
      </c>
      <c r="N13" s="24" t="str">
        <f t="shared" si="6"/>
        <v/>
      </c>
      <c r="O13" s="21">
        <f t="shared" si="7"/>
        <v>0</v>
      </c>
      <c r="P13" s="24" t="str">
        <f t="shared" si="8"/>
        <v/>
      </c>
    </row>
    <row r="14">
      <c r="A14" s="32">
        <f t="shared" si="9"/>
        <v>46388</v>
      </c>
      <c r="B14" s="33" t="str">
        <f t="shared" si="1"/>
        <v>2027-01</v>
      </c>
      <c r="C14" s="21">
        <f>SUMIFS('Daily Ops'!$H$2:$H$401,'Daily Ops'!$AJ$2:$AJ$401,$B14)</f>
        <v>0</v>
      </c>
      <c r="D14" s="21">
        <f>SUMIFS('Daily Ops'!$I$2:$I$401,'Daily Ops'!$AJ$2:$AJ$401,$B14)</f>
        <v>0</v>
      </c>
      <c r="E14" s="21">
        <f>SUMIFS('Daily Ops'!$J$2:$J$401,'Daily Ops'!$AJ$2:$AJ$401,$B14)</f>
        <v>0</v>
      </c>
      <c r="F14" s="23">
        <f>SUMIFS('Daily Ops'!$U$2:$U$401,'Daily Ops'!$AJ$2:$AJ$401,$B14)</f>
        <v>0</v>
      </c>
      <c r="G14" s="21">
        <f>SUMIFS('Daily Ops'!$Y$2:$Y$401,'Daily Ops'!$AJ$2:$AJ$401,$B14)</f>
        <v>0</v>
      </c>
      <c r="H14" s="21">
        <f>SUMIFS('Daily Ops'!$AA$2:$AA$401,'Daily Ops'!$AJ$2:$AJ$401,$B14)</f>
        <v>0</v>
      </c>
      <c r="I14" s="21">
        <f>SUMIFS('Daily Ops'!$AB$2:$AB$401,'Daily Ops'!$AJ$2:$AJ$401,$B14)</f>
        <v>0</v>
      </c>
      <c r="J14" s="21">
        <f t="shared" si="2"/>
        <v>0</v>
      </c>
      <c r="K14" s="21" t="str">
        <f t="shared" si="3"/>
        <v/>
      </c>
      <c r="L14" s="24" t="str">
        <f t="shared" si="4"/>
        <v/>
      </c>
      <c r="M14" s="24" t="str">
        <f t="shared" si="5"/>
        <v/>
      </c>
      <c r="N14" s="24" t="str">
        <f t="shared" si="6"/>
        <v/>
      </c>
      <c r="O14" s="21">
        <f t="shared" si="7"/>
        <v>0</v>
      </c>
      <c r="P14" s="24" t="str">
        <f t="shared" si="8"/>
        <v/>
      </c>
    </row>
    <row r="15">
      <c r="A15" s="32">
        <f t="shared" si="9"/>
        <v>46419</v>
      </c>
      <c r="B15" s="33" t="str">
        <f t="shared" si="1"/>
        <v>2027-02</v>
      </c>
      <c r="C15" s="21">
        <f>SUMIFS('Daily Ops'!$H$2:$H$401,'Daily Ops'!$AJ$2:$AJ$401,$B15)</f>
        <v>0</v>
      </c>
      <c r="D15" s="21">
        <f>SUMIFS('Daily Ops'!$I$2:$I$401,'Daily Ops'!$AJ$2:$AJ$401,$B15)</f>
        <v>0</v>
      </c>
      <c r="E15" s="21">
        <f>SUMIFS('Daily Ops'!$J$2:$J$401,'Daily Ops'!$AJ$2:$AJ$401,$B15)</f>
        <v>0</v>
      </c>
      <c r="F15" s="23">
        <f>SUMIFS('Daily Ops'!$U$2:$U$401,'Daily Ops'!$AJ$2:$AJ$401,$B15)</f>
        <v>0</v>
      </c>
      <c r="G15" s="21">
        <f>SUMIFS('Daily Ops'!$Y$2:$Y$401,'Daily Ops'!$AJ$2:$AJ$401,$B15)</f>
        <v>0</v>
      </c>
      <c r="H15" s="21">
        <f>SUMIFS('Daily Ops'!$AA$2:$AA$401,'Daily Ops'!$AJ$2:$AJ$401,$B15)</f>
        <v>0</v>
      </c>
      <c r="I15" s="21">
        <f>SUMIFS('Daily Ops'!$AB$2:$AB$401,'Daily Ops'!$AJ$2:$AJ$401,$B15)</f>
        <v>0</v>
      </c>
      <c r="J15" s="21">
        <f t="shared" si="2"/>
        <v>0</v>
      </c>
      <c r="K15" s="21" t="str">
        <f t="shared" si="3"/>
        <v/>
      </c>
      <c r="L15" s="24" t="str">
        <f t="shared" si="4"/>
        <v/>
      </c>
      <c r="M15" s="24" t="str">
        <f t="shared" si="5"/>
        <v/>
      </c>
      <c r="N15" s="24" t="str">
        <f t="shared" si="6"/>
        <v/>
      </c>
      <c r="O15" s="21">
        <f t="shared" si="7"/>
        <v>0</v>
      </c>
      <c r="P15" s="24" t="str">
        <f t="shared" si="8"/>
        <v/>
      </c>
    </row>
    <row r="16">
      <c r="A16" s="32">
        <f t="shared" si="9"/>
        <v>46447</v>
      </c>
      <c r="B16" s="33" t="str">
        <f t="shared" si="1"/>
        <v>2027-03</v>
      </c>
      <c r="C16" s="21">
        <f>SUMIFS('Daily Ops'!$H$2:$H$401,'Daily Ops'!$AJ$2:$AJ$401,$B16)</f>
        <v>0</v>
      </c>
      <c r="D16" s="21">
        <f>SUMIFS('Daily Ops'!$I$2:$I$401,'Daily Ops'!$AJ$2:$AJ$401,$B16)</f>
        <v>0</v>
      </c>
      <c r="E16" s="21">
        <f>SUMIFS('Daily Ops'!$J$2:$J$401,'Daily Ops'!$AJ$2:$AJ$401,$B16)</f>
        <v>0</v>
      </c>
      <c r="F16" s="23">
        <f>SUMIFS('Daily Ops'!$U$2:$U$401,'Daily Ops'!$AJ$2:$AJ$401,$B16)</f>
        <v>0</v>
      </c>
      <c r="G16" s="21">
        <f>SUMIFS('Daily Ops'!$Y$2:$Y$401,'Daily Ops'!$AJ$2:$AJ$401,$B16)</f>
        <v>0</v>
      </c>
      <c r="H16" s="21">
        <f>SUMIFS('Daily Ops'!$AA$2:$AA$401,'Daily Ops'!$AJ$2:$AJ$401,$B16)</f>
        <v>0</v>
      </c>
      <c r="I16" s="21">
        <f>SUMIFS('Daily Ops'!$AB$2:$AB$401,'Daily Ops'!$AJ$2:$AJ$401,$B16)</f>
        <v>0</v>
      </c>
      <c r="J16" s="21">
        <f t="shared" si="2"/>
        <v>0</v>
      </c>
      <c r="K16" s="21" t="str">
        <f t="shared" si="3"/>
        <v/>
      </c>
      <c r="L16" s="24" t="str">
        <f t="shared" si="4"/>
        <v/>
      </c>
      <c r="M16" s="24" t="str">
        <f t="shared" si="5"/>
        <v/>
      </c>
      <c r="N16" s="24" t="str">
        <f t="shared" si="6"/>
        <v/>
      </c>
      <c r="O16" s="21">
        <f t="shared" si="7"/>
        <v>0</v>
      </c>
      <c r="P16" s="24" t="str">
        <f t="shared" si="8"/>
        <v/>
      </c>
    </row>
    <row r="17">
      <c r="A17" s="32">
        <f t="shared" si="9"/>
        <v>46478</v>
      </c>
      <c r="B17" s="33" t="str">
        <f t="shared" si="1"/>
        <v>2027-04</v>
      </c>
      <c r="C17" s="21">
        <f>SUMIFS('Daily Ops'!$H$2:$H$401,'Daily Ops'!$AJ$2:$AJ$401,$B17)</f>
        <v>0</v>
      </c>
      <c r="D17" s="21">
        <f>SUMIFS('Daily Ops'!$I$2:$I$401,'Daily Ops'!$AJ$2:$AJ$401,$B17)</f>
        <v>0</v>
      </c>
      <c r="E17" s="21">
        <f>SUMIFS('Daily Ops'!$J$2:$J$401,'Daily Ops'!$AJ$2:$AJ$401,$B17)</f>
        <v>0</v>
      </c>
      <c r="F17" s="23">
        <f>SUMIFS('Daily Ops'!$U$2:$U$401,'Daily Ops'!$AJ$2:$AJ$401,$B17)</f>
        <v>0</v>
      </c>
      <c r="G17" s="21">
        <f>SUMIFS('Daily Ops'!$Y$2:$Y$401,'Daily Ops'!$AJ$2:$AJ$401,$B17)</f>
        <v>0</v>
      </c>
      <c r="H17" s="21">
        <f>SUMIFS('Daily Ops'!$AA$2:$AA$401,'Daily Ops'!$AJ$2:$AJ$401,$B17)</f>
        <v>0</v>
      </c>
      <c r="I17" s="21">
        <f>SUMIFS('Daily Ops'!$AB$2:$AB$401,'Daily Ops'!$AJ$2:$AJ$401,$B17)</f>
        <v>0</v>
      </c>
      <c r="J17" s="21">
        <f t="shared" si="2"/>
        <v>0</v>
      </c>
      <c r="K17" s="21" t="str">
        <f t="shared" si="3"/>
        <v/>
      </c>
      <c r="L17" s="24" t="str">
        <f t="shared" si="4"/>
        <v/>
      </c>
      <c r="M17" s="24" t="str">
        <f t="shared" si="5"/>
        <v/>
      </c>
      <c r="N17" s="24" t="str">
        <f t="shared" si="6"/>
        <v/>
      </c>
      <c r="O17" s="21">
        <f t="shared" si="7"/>
        <v>0</v>
      </c>
      <c r="P17" s="24" t="str">
        <f t="shared" si="8"/>
        <v/>
      </c>
    </row>
    <row r="18">
      <c r="A18" s="32">
        <f t="shared" si="9"/>
        <v>46508</v>
      </c>
      <c r="B18" s="33" t="str">
        <f t="shared" si="1"/>
        <v>2027-05</v>
      </c>
      <c r="C18" s="21">
        <f>SUMIFS('Daily Ops'!$H$2:$H$401,'Daily Ops'!$AJ$2:$AJ$401,$B18)</f>
        <v>0</v>
      </c>
      <c r="D18" s="21">
        <f>SUMIFS('Daily Ops'!$I$2:$I$401,'Daily Ops'!$AJ$2:$AJ$401,$B18)</f>
        <v>0</v>
      </c>
      <c r="E18" s="21">
        <f>SUMIFS('Daily Ops'!$J$2:$J$401,'Daily Ops'!$AJ$2:$AJ$401,$B18)</f>
        <v>0</v>
      </c>
      <c r="F18" s="23">
        <f>SUMIFS('Daily Ops'!$U$2:$U$401,'Daily Ops'!$AJ$2:$AJ$401,$B18)</f>
        <v>0</v>
      </c>
      <c r="G18" s="21">
        <f>SUMIFS('Daily Ops'!$Y$2:$Y$401,'Daily Ops'!$AJ$2:$AJ$401,$B18)</f>
        <v>0</v>
      </c>
      <c r="H18" s="21">
        <f>SUMIFS('Daily Ops'!$AA$2:$AA$401,'Daily Ops'!$AJ$2:$AJ$401,$B18)</f>
        <v>0</v>
      </c>
      <c r="I18" s="21">
        <f>SUMIFS('Daily Ops'!$AB$2:$AB$401,'Daily Ops'!$AJ$2:$AJ$401,$B18)</f>
        <v>0</v>
      </c>
      <c r="J18" s="21">
        <f t="shared" si="2"/>
        <v>0</v>
      </c>
      <c r="K18" s="21" t="str">
        <f t="shared" si="3"/>
        <v/>
      </c>
      <c r="L18" s="24" t="str">
        <f t="shared" si="4"/>
        <v/>
      </c>
      <c r="M18" s="24" t="str">
        <f t="shared" si="5"/>
        <v/>
      </c>
      <c r="N18" s="24" t="str">
        <f t="shared" si="6"/>
        <v/>
      </c>
      <c r="O18" s="21">
        <f t="shared" si="7"/>
        <v>0</v>
      </c>
      <c r="P18" s="24" t="str">
        <f t="shared" si="8"/>
        <v/>
      </c>
    </row>
    <row r="19">
      <c r="A19" s="32">
        <f t="shared" si="9"/>
        <v>46539</v>
      </c>
      <c r="B19" s="33" t="str">
        <f t="shared" si="1"/>
        <v>2027-06</v>
      </c>
      <c r="C19" s="21">
        <f>SUMIFS('Daily Ops'!$H$2:$H$401,'Daily Ops'!$AJ$2:$AJ$401,$B19)</f>
        <v>0</v>
      </c>
      <c r="D19" s="21">
        <f>SUMIFS('Daily Ops'!$I$2:$I$401,'Daily Ops'!$AJ$2:$AJ$401,$B19)</f>
        <v>0</v>
      </c>
      <c r="E19" s="21">
        <f>SUMIFS('Daily Ops'!$J$2:$J$401,'Daily Ops'!$AJ$2:$AJ$401,$B19)</f>
        <v>0</v>
      </c>
      <c r="F19" s="23">
        <f>SUMIFS('Daily Ops'!$U$2:$U$401,'Daily Ops'!$AJ$2:$AJ$401,$B19)</f>
        <v>0</v>
      </c>
      <c r="G19" s="21">
        <f>SUMIFS('Daily Ops'!$Y$2:$Y$401,'Daily Ops'!$AJ$2:$AJ$401,$B19)</f>
        <v>0</v>
      </c>
      <c r="H19" s="21">
        <f>SUMIFS('Daily Ops'!$AA$2:$AA$401,'Daily Ops'!$AJ$2:$AJ$401,$B19)</f>
        <v>0</v>
      </c>
      <c r="I19" s="21">
        <f>SUMIFS('Daily Ops'!$AB$2:$AB$401,'Daily Ops'!$AJ$2:$AJ$401,$B19)</f>
        <v>0</v>
      </c>
      <c r="J19" s="21">
        <f t="shared" si="2"/>
        <v>0</v>
      </c>
      <c r="K19" s="21" t="str">
        <f t="shared" si="3"/>
        <v/>
      </c>
      <c r="L19" s="24" t="str">
        <f t="shared" si="4"/>
        <v/>
      </c>
      <c r="M19" s="24" t="str">
        <f t="shared" si="5"/>
        <v/>
      </c>
      <c r="N19" s="24" t="str">
        <f t="shared" si="6"/>
        <v/>
      </c>
      <c r="O19" s="21">
        <f t="shared" si="7"/>
        <v>0</v>
      </c>
      <c r="P19" s="24" t="str">
        <f t="shared" si="8"/>
        <v/>
      </c>
    </row>
    <row r="20">
      <c r="A20" s="32">
        <f t="shared" si="9"/>
        <v>46569</v>
      </c>
      <c r="B20" s="33" t="str">
        <f t="shared" si="1"/>
        <v>2027-07</v>
      </c>
      <c r="C20" s="21">
        <f>SUMIFS('Daily Ops'!$H$2:$H$401,'Daily Ops'!$AJ$2:$AJ$401,$B20)</f>
        <v>0</v>
      </c>
      <c r="D20" s="21">
        <f>SUMIFS('Daily Ops'!$I$2:$I$401,'Daily Ops'!$AJ$2:$AJ$401,$B20)</f>
        <v>0</v>
      </c>
      <c r="E20" s="21">
        <f>SUMIFS('Daily Ops'!$J$2:$J$401,'Daily Ops'!$AJ$2:$AJ$401,$B20)</f>
        <v>0</v>
      </c>
      <c r="F20" s="23">
        <f>SUMIFS('Daily Ops'!$U$2:$U$401,'Daily Ops'!$AJ$2:$AJ$401,$B20)</f>
        <v>0</v>
      </c>
      <c r="G20" s="21">
        <f>SUMIFS('Daily Ops'!$Y$2:$Y$401,'Daily Ops'!$AJ$2:$AJ$401,$B20)</f>
        <v>0</v>
      </c>
      <c r="H20" s="21">
        <f>SUMIFS('Daily Ops'!$AA$2:$AA$401,'Daily Ops'!$AJ$2:$AJ$401,$B20)</f>
        <v>0</v>
      </c>
      <c r="I20" s="21">
        <f>SUMIFS('Daily Ops'!$AB$2:$AB$401,'Daily Ops'!$AJ$2:$AJ$401,$B20)</f>
        <v>0</v>
      </c>
      <c r="J20" s="21">
        <f t="shared" si="2"/>
        <v>0</v>
      </c>
      <c r="K20" s="21" t="str">
        <f t="shared" si="3"/>
        <v/>
      </c>
      <c r="L20" s="24" t="str">
        <f t="shared" si="4"/>
        <v/>
      </c>
      <c r="M20" s="24" t="str">
        <f t="shared" si="5"/>
        <v/>
      </c>
      <c r="N20" s="24" t="str">
        <f t="shared" si="6"/>
        <v/>
      </c>
      <c r="O20" s="21">
        <f t="shared" si="7"/>
        <v>0</v>
      </c>
      <c r="P20" s="24" t="str">
        <f t="shared" si="8"/>
        <v/>
      </c>
    </row>
    <row r="21" ht="15.75" customHeight="1">
      <c r="A21" s="32">
        <f t="shared" si="9"/>
        <v>46600</v>
      </c>
      <c r="B21" s="33" t="str">
        <f t="shared" si="1"/>
        <v>2027-08</v>
      </c>
      <c r="C21" s="21">
        <f>SUMIFS('Daily Ops'!$H$2:$H$401,'Daily Ops'!$AJ$2:$AJ$401,$B21)</f>
        <v>0</v>
      </c>
      <c r="D21" s="21">
        <f>SUMIFS('Daily Ops'!$I$2:$I$401,'Daily Ops'!$AJ$2:$AJ$401,$B21)</f>
        <v>0</v>
      </c>
      <c r="E21" s="21">
        <f>SUMIFS('Daily Ops'!$J$2:$J$401,'Daily Ops'!$AJ$2:$AJ$401,$B21)</f>
        <v>0</v>
      </c>
      <c r="F21" s="23">
        <f>SUMIFS('Daily Ops'!$U$2:$U$401,'Daily Ops'!$AJ$2:$AJ$401,$B21)</f>
        <v>0</v>
      </c>
      <c r="G21" s="21">
        <f>SUMIFS('Daily Ops'!$Y$2:$Y$401,'Daily Ops'!$AJ$2:$AJ$401,$B21)</f>
        <v>0</v>
      </c>
      <c r="H21" s="21">
        <f>SUMIFS('Daily Ops'!$AA$2:$AA$401,'Daily Ops'!$AJ$2:$AJ$401,$B21)</f>
        <v>0</v>
      </c>
      <c r="I21" s="21">
        <f>SUMIFS('Daily Ops'!$AB$2:$AB$401,'Daily Ops'!$AJ$2:$AJ$401,$B21)</f>
        <v>0</v>
      </c>
      <c r="J21" s="21">
        <f t="shared" si="2"/>
        <v>0</v>
      </c>
      <c r="K21" s="21" t="str">
        <f t="shared" si="3"/>
        <v/>
      </c>
      <c r="L21" s="24" t="str">
        <f t="shared" si="4"/>
        <v/>
      </c>
      <c r="M21" s="24" t="str">
        <f t="shared" si="5"/>
        <v/>
      </c>
      <c r="N21" s="24" t="str">
        <f t="shared" si="6"/>
        <v/>
      </c>
      <c r="O21" s="21">
        <f t="shared" si="7"/>
        <v>0</v>
      </c>
      <c r="P21" s="24" t="str">
        <f t="shared" si="8"/>
        <v/>
      </c>
    </row>
    <row r="22" ht="15.75" customHeight="1">
      <c r="A22" s="32">
        <f t="shared" si="9"/>
        <v>46631</v>
      </c>
      <c r="B22" s="33" t="str">
        <f t="shared" si="1"/>
        <v>2027-09</v>
      </c>
      <c r="C22" s="21">
        <f>SUMIFS('Daily Ops'!$H$2:$H$401,'Daily Ops'!$AJ$2:$AJ$401,$B22)</f>
        <v>0</v>
      </c>
      <c r="D22" s="21">
        <f>SUMIFS('Daily Ops'!$I$2:$I$401,'Daily Ops'!$AJ$2:$AJ$401,$B22)</f>
        <v>0</v>
      </c>
      <c r="E22" s="21">
        <f>SUMIFS('Daily Ops'!$J$2:$J$401,'Daily Ops'!$AJ$2:$AJ$401,$B22)</f>
        <v>0</v>
      </c>
      <c r="F22" s="23">
        <f>SUMIFS('Daily Ops'!$U$2:$U$401,'Daily Ops'!$AJ$2:$AJ$401,$B22)</f>
        <v>0</v>
      </c>
      <c r="G22" s="21">
        <f>SUMIFS('Daily Ops'!$Y$2:$Y$401,'Daily Ops'!$AJ$2:$AJ$401,$B22)</f>
        <v>0</v>
      </c>
      <c r="H22" s="21">
        <f>SUMIFS('Daily Ops'!$AA$2:$AA$401,'Daily Ops'!$AJ$2:$AJ$401,$B22)</f>
        <v>0</v>
      </c>
      <c r="I22" s="21">
        <f>SUMIFS('Daily Ops'!$AB$2:$AB$401,'Daily Ops'!$AJ$2:$AJ$401,$B22)</f>
        <v>0</v>
      </c>
      <c r="J22" s="21">
        <f t="shared" si="2"/>
        <v>0</v>
      </c>
      <c r="K22" s="21" t="str">
        <f t="shared" si="3"/>
        <v/>
      </c>
      <c r="L22" s="24" t="str">
        <f t="shared" si="4"/>
        <v/>
      </c>
      <c r="M22" s="24" t="str">
        <f t="shared" si="5"/>
        <v/>
      </c>
      <c r="N22" s="24" t="str">
        <f t="shared" si="6"/>
        <v/>
      </c>
      <c r="O22" s="21">
        <f t="shared" si="7"/>
        <v>0</v>
      </c>
      <c r="P22" s="24" t="str">
        <f t="shared" si="8"/>
        <v/>
      </c>
    </row>
    <row r="23" ht="15.75" customHeight="1">
      <c r="A23" s="32">
        <f t="shared" si="9"/>
        <v>46661</v>
      </c>
      <c r="B23" s="33" t="str">
        <f t="shared" si="1"/>
        <v>2027-10</v>
      </c>
      <c r="C23" s="21">
        <f>SUMIFS('Daily Ops'!$H$2:$H$401,'Daily Ops'!$AJ$2:$AJ$401,$B23)</f>
        <v>0</v>
      </c>
      <c r="D23" s="21">
        <f>SUMIFS('Daily Ops'!$I$2:$I$401,'Daily Ops'!$AJ$2:$AJ$401,$B23)</f>
        <v>0</v>
      </c>
      <c r="E23" s="21">
        <f>SUMIFS('Daily Ops'!$J$2:$J$401,'Daily Ops'!$AJ$2:$AJ$401,$B23)</f>
        <v>0</v>
      </c>
      <c r="F23" s="23">
        <f>SUMIFS('Daily Ops'!$U$2:$U$401,'Daily Ops'!$AJ$2:$AJ$401,$B23)</f>
        <v>0</v>
      </c>
      <c r="G23" s="21">
        <f>SUMIFS('Daily Ops'!$Y$2:$Y$401,'Daily Ops'!$AJ$2:$AJ$401,$B23)</f>
        <v>0</v>
      </c>
      <c r="H23" s="21">
        <f>SUMIFS('Daily Ops'!$AA$2:$AA$401,'Daily Ops'!$AJ$2:$AJ$401,$B23)</f>
        <v>0</v>
      </c>
      <c r="I23" s="21">
        <f>SUMIFS('Daily Ops'!$AB$2:$AB$401,'Daily Ops'!$AJ$2:$AJ$401,$B23)</f>
        <v>0</v>
      </c>
      <c r="J23" s="21">
        <f t="shared" si="2"/>
        <v>0</v>
      </c>
      <c r="K23" s="21" t="str">
        <f t="shared" si="3"/>
        <v/>
      </c>
      <c r="L23" s="24" t="str">
        <f t="shared" si="4"/>
        <v/>
      </c>
      <c r="M23" s="24" t="str">
        <f t="shared" si="5"/>
        <v/>
      </c>
      <c r="N23" s="24" t="str">
        <f t="shared" si="6"/>
        <v/>
      </c>
      <c r="O23" s="21">
        <f t="shared" si="7"/>
        <v>0</v>
      </c>
      <c r="P23" s="24" t="str">
        <f t="shared" si="8"/>
        <v/>
      </c>
    </row>
    <row r="24" ht="15.75" customHeight="1">
      <c r="A24" s="32">
        <f t="shared" si="9"/>
        <v>46692</v>
      </c>
      <c r="B24" s="33" t="str">
        <f t="shared" si="1"/>
        <v>2027-11</v>
      </c>
      <c r="C24" s="21">
        <f>SUMIFS('Daily Ops'!$H$2:$H$401,'Daily Ops'!$AJ$2:$AJ$401,$B24)</f>
        <v>0</v>
      </c>
      <c r="D24" s="21">
        <f>SUMIFS('Daily Ops'!$I$2:$I$401,'Daily Ops'!$AJ$2:$AJ$401,$B24)</f>
        <v>0</v>
      </c>
      <c r="E24" s="21">
        <f>SUMIFS('Daily Ops'!$J$2:$J$401,'Daily Ops'!$AJ$2:$AJ$401,$B24)</f>
        <v>0</v>
      </c>
      <c r="F24" s="23">
        <f>SUMIFS('Daily Ops'!$U$2:$U$401,'Daily Ops'!$AJ$2:$AJ$401,$B24)</f>
        <v>0</v>
      </c>
      <c r="G24" s="21">
        <f>SUMIFS('Daily Ops'!$Y$2:$Y$401,'Daily Ops'!$AJ$2:$AJ$401,$B24)</f>
        <v>0</v>
      </c>
      <c r="H24" s="21">
        <f>SUMIFS('Daily Ops'!$AA$2:$AA$401,'Daily Ops'!$AJ$2:$AJ$401,$B24)</f>
        <v>0</v>
      </c>
      <c r="I24" s="21">
        <f>SUMIFS('Daily Ops'!$AB$2:$AB$401,'Daily Ops'!$AJ$2:$AJ$401,$B24)</f>
        <v>0</v>
      </c>
      <c r="J24" s="21">
        <f t="shared" si="2"/>
        <v>0</v>
      </c>
      <c r="K24" s="21" t="str">
        <f t="shared" si="3"/>
        <v/>
      </c>
      <c r="L24" s="24" t="str">
        <f t="shared" si="4"/>
        <v/>
      </c>
      <c r="M24" s="24" t="str">
        <f t="shared" si="5"/>
        <v/>
      </c>
      <c r="N24" s="24" t="str">
        <f t="shared" si="6"/>
        <v/>
      </c>
      <c r="O24" s="21">
        <f t="shared" si="7"/>
        <v>0</v>
      </c>
      <c r="P24" s="24" t="str">
        <f t="shared" si="8"/>
        <v/>
      </c>
    </row>
    <row r="25" ht="15.75" customHeight="1">
      <c r="A25" s="32">
        <f t="shared" si="9"/>
        <v>46722</v>
      </c>
      <c r="B25" s="33" t="str">
        <f t="shared" si="1"/>
        <v>2027-12</v>
      </c>
      <c r="C25" s="21">
        <f>SUMIFS('Daily Ops'!$H$2:$H$401,'Daily Ops'!$AJ$2:$AJ$401,$B25)</f>
        <v>0</v>
      </c>
      <c r="D25" s="21">
        <f>SUMIFS('Daily Ops'!$I$2:$I$401,'Daily Ops'!$AJ$2:$AJ$401,$B25)</f>
        <v>0</v>
      </c>
      <c r="E25" s="21">
        <f>SUMIFS('Daily Ops'!$J$2:$J$401,'Daily Ops'!$AJ$2:$AJ$401,$B25)</f>
        <v>0</v>
      </c>
      <c r="F25" s="23">
        <f>SUMIFS('Daily Ops'!$U$2:$U$401,'Daily Ops'!$AJ$2:$AJ$401,$B25)</f>
        <v>0</v>
      </c>
      <c r="G25" s="21">
        <f>SUMIFS('Daily Ops'!$Y$2:$Y$401,'Daily Ops'!$AJ$2:$AJ$401,$B25)</f>
        <v>0</v>
      </c>
      <c r="H25" s="21">
        <f>SUMIFS('Daily Ops'!$AA$2:$AA$401,'Daily Ops'!$AJ$2:$AJ$401,$B25)</f>
        <v>0</v>
      </c>
      <c r="I25" s="21">
        <f>SUMIFS('Daily Ops'!$AB$2:$AB$401,'Daily Ops'!$AJ$2:$AJ$401,$B25)</f>
        <v>0</v>
      </c>
      <c r="J25" s="21">
        <f t="shared" si="2"/>
        <v>0</v>
      </c>
      <c r="K25" s="21" t="str">
        <f t="shared" si="3"/>
        <v/>
      </c>
      <c r="L25" s="24" t="str">
        <f t="shared" si="4"/>
        <v/>
      </c>
      <c r="M25" s="24" t="str">
        <f t="shared" si="5"/>
        <v/>
      </c>
      <c r="N25" s="24" t="str">
        <f t="shared" si="6"/>
        <v/>
      </c>
      <c r="O25" s="21">
        <f t="shared" si="7"/>
        <v>0</v>
      </c>
      <c r="P25" s="24" t="str">
        <f t="shared" si="8"/>
        <v/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62.0"/>
    <col customWidth="1" min="4" max="4" width="12.0"/>
    <col customWidth="1" min="5" max="26" width="8.71"/>
  </cols>
  <sheetData>
    <row r="1">
      <c r="A1" s="1" t="s">
        <v>82</v>
      </c>
    </row>
    <row r="3">
      <c r="A3" s="17" t="s">
        <v>83</v>
      </c>
      <c r="B3" s="17" t="s">
        <v>84</v>
      </c>
      <c r="C3" s="17" t="s">
        <v>33</v>
      </c>
    </row>
    <row r="4">
      <c r="A4" s="10" t="s">
        <v>85</v>
      </c>
      <c r="B4" s="34" t="s">
        <v>86</v>
      </c>
      <c r="C4" s="16"/>
    </row>
    <row r="5">
      <c r="A5" s="10" t="s">
        <v>87</v>
      </c>
      <c r="B5" s="35">
        <v>46023.0</v>
      </c>
      <c r="C5" s="16" t="s">
        <v>88</v>
      </c>
    </row>
    <row r="6">
      <c r="A6" s="10" t="s">
        <v>89</v>
      </c>
      <c r="B6" s="35">
        <v>46023.0</v>
      </c>
      <c r="C6" s="16" t="s">
        <v>90</v>
      </c>
    </row>
    <row r="7">
      <c r="A7" s="10" t="s">
        <v>91</v>
      </c>
      <c r="B7" s="36">
        <v>0.6</v>
      </c>
      <c r="C7" s="16" t="s">
        <v>92</v>
      </c>
    </row>
    <row r="8">
      <c r="A8" s="10" t="s">
        <v>93</v>
      </c>
      <c r="B8" s="36">
        <v>0.4</v>
      </c>
      <c r="C8" s="16" t="s">
        <v>94</v>
      </c>
    </row>
    <row r="9">
      <c r="A9" s="10" t="s">
        <v>95</v>
      </c>
      <c r="B9" s="36">
        <v>0.03</v>
      </c>
      <c r="C9" s="16" t="s">
        <v>96</v>
      </c>
    </row>
    <row r="10">
      <c r="A10" s="10" t="s">
        <v>97</v>
      </c>
      <c r="B10" s="36">
        <v>0.25</v>
      </c>
      <c r="C10" s="16" t="s">
        <v>98</v>
      </c>
    </row>
    <row r="11">
      <c r="A11" s="10" t="s">
        <v>99</v>
      </c>
      <c r="B11" s="36">
        <v>0.2</v>
      </c>
      <c r="C11" s="16" t="s">
        <v>100</v>
      </c>
    </row>
    <row r="12">
      <c r="A12" s="10" t="s">
        <v>101</v>
      </c>
      <c r="B12" s="36">
        <v>0.15</v>
      </c>
      <c r="C12" s="16" t="s">
        <v>102</v>
      </c>
    </row>
    <row r="13">
      <c r="A13" s="10" t="s">
        <v>103</v>
      </c>
      <c r="B13" s="36">
        <v>0.45</v>
      </c>
      <c r="C13" s="16" t="s">
        <v>104</v>
      </c>
    </row>
    <row r="14">
      <c r="A14" s="10" t="s">
        <v>105</v>
      </c>
      <c r="B14" s="36">
        <v>0.0</v>
      </c>
      <c r="C14" s="16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2026-01-07T03:35:08Z</dcterms:created>
  <dc:creator>openpyxl</dc:creator>
</cp:coreProperties>
</file>