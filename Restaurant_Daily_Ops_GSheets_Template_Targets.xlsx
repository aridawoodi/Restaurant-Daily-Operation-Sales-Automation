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588" yWindow="528" windowWidth="21822" windowHeight="8856"/>
  </bookViews>
  <sheets>
    <sheet name="Dashboard" sheetId="1" r:id="rId1"/>
    <sheet name="Sales_Payments" sheetId="2" r:id="rId2"/>
    <sheet name="Sales_Revenue" sheetId="3" r:id="rId3"/>
    <sheet name="Sales_Category" sheetId="4" r:id="rId4"/>
    <sheet name="Sales_Daypart" sheetId="5" r:id="rId5"/>
    <sheet name="Labor_Input" sheetId="6" r:id="rId6"/>
    <sheet name="COGS_Input" sheetId="7" r:id="rId7"/>
    <sheet name="Direct_NonControllable" sheetId="8" r:id="rId8"/>
    <sheet name="Targets_Reference" sheetId="9" r:id="rId9"/>
    <sheet name="COGS_Vendor_Lookup" sheetId="10" r:id="rId10"/>
    <sheet name="Job_Classification_Lookup" sheetId="11" r:id="rId11"/>
    <sheet name="Data_Aggregation" sheetId="12" r:id="rId12"/>
  </sheets>
  <calcPr calcId="145621"/>
</workbook>
</file>

<file path=xl/calcChain.xml><?xml version="1.0" encoding="utf-8"?>
<calcChain xmlns="http://schemas.openxmlformats.org/spreadsheetml/2006/main">
  <c r="D35" i="1" l="1"/>
  <c r="C35" i="1"/>
  <c r="B35" i="1"/>
  <c r="A2" i="12" l="1"/>
  <c r="P2" i="12" s="1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H20" i="7"/>
  <c r="G20" i="7"/>
  <c r="A20" i="7"/>
  <c r="H19" i="7"/>
  <c r="G19" i="7"/>
  <c r="A19" i="7"/>
  <c r="H18" i="7"/>
  <c r="G18" i="7"/>
  <c r="A18" i="7"/>
  <c r="H17" i="7"/>
  <c r="G17" i="7"/>
  <c r="A17" i="7"/>
  <c r="H16" i="7"/>
  <c r="G16" i="7"/>
  <c r="A16" i="7"/>
  <c r="H15" i="7"/>
  <c r="G15" i="7"/>
  <c r="A15" i="7"/>
  <c r="H14" i="7"/>
  <c r="G14" i="7"/>
  <c r="A14" i="7"/>
  <c r="H13" i="7"/>
  <c r="G13" i="7"/>
  <c r="A13" i="7"/>
  <c r="H12" i="7"/>
  <c r="G12" i="7"/>
  <c r="A12" i="7"/>
  <c r="H11" i="7"/>
  <c r="G11" i="7"/>
  <c r="A11" i="7"/>
  <c r="H10" i="7"/>
  <c r="G10" i="7"/>
  <c r="A10" i="7"/>
  <c r="H9" i="7"/>
  <c r="G9" i="7"/>
  <c r="A9" i="7"/>
  <c r="H8" i="7"/>
  <c r="G8" i="7"/>
  <c r="A8" i="7"/>
  <c r="H7" i="7"/>
  <c r="G7" i="7"/>
  <c r="A7" i="7"/>
  <c r="H6" i="7"/>
  <c r="G6" i="7"/>
  <c r="A6" i="7"/>
  <c r="H5" i="7"/>
  <c r="G5" i="7"/>
  <c r="A5" i="7"/>
  <c r="H4" i="7"/>
  <c r="G4" i="7"/>
  <c r="A4" i="7"/>
  <c r="B50" i="1"/>
  <c r="B49" i="1"/>
  <c r="B48" i="1"/>
  <c r="B47" i="1"/>
  <c r="B46" i="1"/>
  <c r="B42" i="1"/>
  <c r="D42" i="1" s="1"/>
  <c r="D37" i="1"/>
  <c r="C37" i="1"/>
  <c r="B37" i="1"/>
  <c r="F37" i="1" s="1"/>
  <c r="G36" i="1"/>
  <c r="D36" i="1"/>
  <c r="C36" i="1"/>
  <c r="B36" i="1"/>
  <c r="G35" i="1"/>
  <c r="G34" i="1"/>
  <c r="D34" i="1"/>
  <c r="C34" i="1"/>
  <c r="B34" i="1"/>
  <c r="G33" i="1"/>
  <c r="D33" i="1"/>
  <c r="C33" i="1"/>
  <c r="B33" i="1"/>
  <c r="G32" i="1"/>
  <c r="D32" i="1"/>
  <c r="C32" i="1"/>
  <c r="B32" i="1"/>
  <c r="G31" i="1"/>
  <c r="D31" i="1"/>
  <c r="C31" i="1"/>
  <c r="B31" i="1"/>
  <c r="G30" i="1"/>
  <c r="D30" i="1"/>
  <c r="C30" i="1"/>
  <c r="B30" i="1"/>
  <c r="D25" i="1"/>
  <c r="C25" i="1"/>
  <c r="B25" i="1"/>
  <c r="F25" i="1" s="1"/>
  <c r="D24" i="1"/>
  <c r="C24" i="1"/>
  <c r="B24" i="1"/>
  <c r="F24" i="1" s="1"/>
  <c r="G24" i="1" s="1"/>
  <c r="D23" i="1"/>
  <c r="C23" i="1"/>
  <c r="B23" i="1"/>
  <c r="F23" i="1" s="1"/>
  <c r="G23" i="1" s="1"/>
  <c r="D22" i="1"/>
  <c r="C22" i="1"/>
  <c r="B22" i="1"/>
  <c r="F22" i="1" s="1"/>
  <c r="G22" i="1" s="1"/>
  <c r="D21" i="1"/>
  <c r="C21" i="1"/>
  <c r="B21" i="1"/>
  <c r="F21" i="1" s="1"/>
  <c r="G21" i="1" s="1"/>
  <c r="E17" i="1"/>
  <c r="D16" i="1"/>
  <c r="C16" i="1"/>
  <c r="B16" i="1"/>
  <c r="F16" i="1" s="1"/>
  <c r="H16" i="1" s="1"/>
  <c r="D15" i="1"/>
  <c r="C15" i="1"/>
  <c r="B15" i="1"/>
  <c r="F15" i="1" s="1"/>
  <c r="D14" i="1"/>
  <c r="C14" i="1"/>
  <c r="B14" i="1"/>
  <c r="F14" i="1" s="1"/>
  <c r="H14" i="1" s="1"/>
  <c r="D13" i="1"/>
  <c r="C13" i="1"/>
  <c r="B13" i="1"/>
  <c r="F13" i="1" s="1"/>
  <c r="D12" i="1"/>
  <c r="C12" i="1"/>
  <c r="B12" i="1"/>
  <c r="F12" i="1" s="1"/>
  <c r="H12" i="1" s="1"/>
  <c r="D11" i="1"/>
  <c r="C11" i="1"/>
  <c r="B11" i="1"/>
  <c r="F11" i="1" s="1"/>
  <c r="D10" i="1"/>
  <c r="C10" i="1"/>
  <c r="B10" i="1"/>
  <c r="F10" i="1" s="1"/>
  <c r="M9" i="1"/>
  <c r="K9" i="1"/>
  <c r="K10" i="1" s="1"/>
  <c r="D9" i="1"/>
  <c r="C9" i="1"/>
  <c r="B9" i="1"/>
  <c r="F9" i="1" s="1"/>
  <c r="G25" i="1" l="1"/>
  <c r="N6" i="1"/>
  <c r="D17" i="1"/>
  <c r="C17" i="1"/>
  <c r="H10" i="1"/>
  <c r="G10" i="1"/>
  <c r="P6" i="1"/>
  <c r="E42" i="1"/>
  <c r="H15" i="1"/>
  <c r="G15" i="1"/>
  <c r="G13" i="1"/>
  <c r="H13" i="1"/>
  <c r="O6" i="1"/>
  <c r="G37" i="1"/>
  <c r="F17" i="1"/>
  <c r="H9" i="1"/>
  <c r="G9" i="1"/>
  <c r="H11" i="1"/>
  <c r="G11" i="1"/>
  <c r="I2" i="12"/>
  <c r="Q2" i="12"/>
  <c r="G12" i="1"/>
  <c r="G16" i="1"/>
  <c r="B2" i="12"/>
  <c r="J2" i="12"/>
  <c r="A3" i="12"/>
  <c r="C2" i="12"/>
  <c r="K2" i="12"/>
  <c r="B17" i="1"/>
  <c r="D2" i="12"/>
  <c r="L2" i="12"/>
  <c r="E2" i="12"/>
  <c r="M2" i="12"/>
  <c r="G14" i="1"/>
  <c r="F2" i="12"/>
  <c r="N2" i="12"/>
  <c r="G2" i="12"/>
  <c r="H2" i="12"/>
  <c r="O2" i="12" l="1"/>
  <c r="G3" i="12"/>
  <c r="N3" i="12"/>
  <c r="F3" i="12"/>
  <c r="M3" i="12"/>
  <c r="E3" i="12"/>
  <c r="L3" i="12"/>
  <c r="D3" i="12"/>
  <c r="K3" i="12"/>
  <c r="C3" i="12"/>
  <c r="A4" i="12"/>
  <c r="J3" i="12"/>
  <c r="B3" i="12"/>
  <c r="Q3" i="12"/>
  <c r="I3" i="12"/>
  <c r="P3" i="12"/>
  <c r="H3" i="12"/>
  <c r="G17" i="1"/>
  <c r="J6" i="1"/>
  <c r="K6" i="1"/>
  <c r="M6" i="1"/>
  <c r="L6" i="1"/>
  <c r="O3" i="12" l="1"/>
  <c r="N4" i="12"/>
  <c r="F4" i="12"/>
  <c r="M4" i="12"/>
  <c r="E4" i="12"/>
  <c r="L4" i="12"/>
  <c r="D4" i="12"/>
  <c r="K4" i="12"/>
  <c r="C4" i="12"/>
  <c r="A5" i="12"/>
  <c r="J4" i="12"/>
  <c r="B4" i="12"/>
  <c r="Q4" i="12"/>
  <c r="I4" i="12"/>
  <c r="P4" i="12"/>
  <c r="H4" i="12"/>
  <c r="G4" i="12"/>
  <c r="O4" i="12" l="1"/>
  <c r="M5" i="12"/>
  <c r="E5" i="12"/>
  <c r="L5" i="12"/>
  <c r="D5" i="12"/>
  <c r="K5" i="12"/>
  <c r="C5" i="12"/>
  <c r="A6" i="12"/>
  <c r="J5" i="12"/>
  <c r="B5" i="12"/>
  <c r="Q5" i="12"/>
  <c r="I5" i="12"/>
  <c r="P5" i="12"/>
  <c r="H5" i="12"/>
  <c r="G5" i="12"/>
  <c r="N5" i="12"/>
  <c r="F5" i="12"/>
  <c r="O5" i="12" l="1"/>
  <c r="L6" i="12"/>
  <c r="D6" i="12"/>
  <c r="K6" i="12"/>
  <c r="C6" i="12"/>
  <c r="A7" i="12"/>
  <c r="J6" i="12"/>
  <c r="B6" i="12"/>
  <c r="Q6" i="12"/>
  <c r="I6" i="12"/>
  <c r="P6" i="12"/>
  <c r="H6" i="12"/>
  <c r="G6" i="12"/>
  <c r="N6" i="12"/>
  <c r="F6" i="12"/>
  <c r="M6" i="12"/>
  <c r="E6" i="12"/>
  <c r="O6" i="12" l="1"/>
  <c r="K7" i="12"/>
  <c r="C7" i="12"/>
  <c r="A8" i="12"/>
  <c r="J7" i="12"/>
  <c r="B7" i="12"/>
  <c r="Q7" i="12"/>
  <c r="I7" i="12"/>
  <c r="P7" i="12"/>
  <c r="H7" i="12"/>
  <c r="G7" i="12"/>
  <c r="N7" i="12"/>
  <c r="F7" i="12"/>
  <c r="M7" i="12"/>
  <c r="E7" i="12"/>
  <c r="L7" i="12"/>
  <c r="D7" i="12"/>
  <c r="O7" i="12" l="1"/>
  <c r="A9" i="12"/>
  <c r="J8" i="12"/>
  <c r="B8" i="12"/>
  <c r="Q8" i="12"/>
  <c r="I8" i="12"/>
  <c r="P8" i="12"/>
  <c r="H8" i="12"/>
  <c r="G8" i="12"/>
  <c r="N8" i="12"/>
  <c r="F8" i="12"/>
  <c r="M8" i="12"/>
  <c r="E8" i="12"/>
  <c r="L8" i="12"/>
  <c r="D8" i="12"/>
  <c r="K8" i="12"/>
  <c r="C8" i="12"/>
  <c r="O8" i="12" l="1"/>
  <c r="Q9" i="12"/>
  <c r="I9" i="12"/>
  <c r="P9" i="12"/>
  <c r="H9" i="12"/>
  <c r="G9" i="12"/>
  <c r="N9" i="12"/>
  <c r="F9" i="12"/>
  <c r="M9" i="12"/>
  <c r="E9" i="12"/>
  <c r="L9" i="12"/>
  <c r="D9" i="12"/>
  <c r="K9" i="12"/>
  <c r="C9" i="12"/>
  <c r="J9" i="12"/>
  <c r="B9" i="12"/>
  <c r="O9" i="12" l="1"/>
</calcChain>
</file>

<file path=xl/sharedStrings.xml><?xml version="1.0" encoding="utf-8"?>
<sst xmlns="http://schemas.openxmlformats.org/spreadsheetml/2006/main" count="580" uniqueCount="237">
  <si>
    <t>Restaurant Weekly Operations Dashboard</t>
  </si>
  <si>
    <t>Instructions:</t>
  </si>
  <si>
    <t>Week Start:</t>
  </si>
  <si>
    <t>Update B4 (start) and B5 (end) with date range</t>
  </si>
  <si>
    <t>Week End:</t>
  </si>
  <si>
    <t>Dashboard will auto-calculate comparisons</t>
  </si>
  <si>
    <t>Net Sales</t>
  </si>
  <si>
    <t>vs Last Week</t>
  </si>
  <si>
    <t>vs Last Year</t>
  </si>
  <si>
    <t>Sales/Labor Hr</t>
  </si>
  <si>
    <t>COGS %</t>
  </si>
  <si>
    <t>Labor %</t>
  </si>
  <si>
    <t>Prime Cost %</t>
  </si>
  <si>
    <t>NET SALES BY CATEGORY</t>
  </si>
  <si>
    <t>Category</t>
  </si>
  <si>
    <t>This Week</t>
  </si>
  <si>
    <t>Last Week</t>
  </si>
  <si>
    <t>Last Year Same Week</t>
  </si>
  <si>
    <t>Target %</t>
  </si>
  <si>
    <t>Actual %</t>
  </si>
  <si>
    <t>% vs Target</t>
  </si>
  <si>
    <t>Status</t>
  </si>
  <si>
    <t>Monthly Cost Snapshot</t>
  </si>
  <si>
    <t>Food</t>
  </si>
  <si>
    <t>Last Closed Month</t>
  </si>
  <si>
    <t>Total</t>
  </si>
  <si>
    <t>Liquor (Incl. Wine)</t>
  </si>
  <si>
    <t>YTD Total</t>
  </si>
  <si>
    <t>Bottled Beer</t>
  </si>
  <si>
    <t>NA Beverage</t>
  </si>
  <si>
    <t>Retail</t>
  </si>
  <si>
    <t>Non-Grat Service Charges</t>
  </si>
  <si>
    <t>Custom Amounts</t>
  </si>
  <si>
    <t>Uncategorized</t>
  </si>
  <si>
    <t>COST OF GOODS SOLD</t>
  </si>
  <si>
    <t>Last Year</t>
  </si>
  <si>
    <t>Food Cost</t>
  </si>
  <si>
    <t>Liquor Cost</t>
  </si>
  <si>
    <t>Beer Cost</t>
  </si>
  <si>
    <t>Retail Cost</t>
  </si>
  <si>
    <t>Total COGS</t>
  </si>
  <si>
    <t>LABOR COST</t>
  </si>
  <si>
    <t>FOH Labor</t>
  </si>
  <si>
    <t>BOH Labor</t>
  </si>
  <si>
    <t>Management</t>
  </si>
  <si>
    <t>Security</t>
  </si>
  <si>
    <t>Labor Tax</t>
  </si>
  <si>
    <t>Compensation</t>
  </si>
  <si>
    <t>Other</t>
  </si>
  <si>
    <t>Total Labor</t>
  </si>
  <si>
    <t>PRIME COST</t>
  </si>
  <si>
    <t>Metric</t>
  </si>
  <si>
    <t>SUMMARY METRICS</t>
  </si>
  <si>
    <t>Gross Sales</t>
  </si>
  <si>
    <t>Total Discounts</t>
  </si>
  <si>
    <t>Total Refunds</t>
  </si>
  <si>
    <t>Total Tax</t>
  </si>
  <si>
    <t>Date</t>
  </si>
  <si>
    <t>Payment type</t>
  </si>
  <si>
    <t>Payment sub type</t>
  </si>
  <si>
    <t>Count</t>
  </si>
  <si>
    <t>Amount</t>
  </si>
  <si>
    <t>Tips</t>
  </si>
  <si>
    <t>Grat</t>
  </si>
  <si>
    <t>Tax amount</t>
  </si>
  <si>
    <t>Refunds</t>
  </si>
  <si>
    <t>Tip refunds</t>
  </si>
  <si>
    <t>Legacy tips</t>
  </si>
  <si>
    <t>Tips/Grat %</t>
  </si>
  <si>
    <t>Cash</t>
  </si>
  <si>
    <t>Credit/debit</t>
  </si>
  <si>
    <t>AMEX</t>
  </si>
  <si>
    <t>DISCOVER</t>
  </si>
  <si>
    <t>MASTERCARD</t>
  </si>
  <si>
    <t>VISA</t>
  </si>
  <si>
    <t>Gift Card</t>
  </si>
  <si>
    <t>inkind</t>
  </si>
  <si>
    <t>Subtotal</t>
  </si>
  <si>
    <t>Deposit Sales Collected</t>
  </si>
  <si>
    <t>Net sales</t>
  </si>
  <si>
    <t>Gratuity</t>
  </si>
  <si>
    <t>Fundraising Contributions</t>
  </si>
  <si>
    <t>Fundraising Contribution Refunds</t>
  </si>
  <si>
    <t>Deferred (gift cards)</t>
  </si>
  <si>
    <t>Deferred (house accounts)</t>
  </si>
  <si>
    <t>Deferred (other)</t>
  </si>
  <si>
    <t>deferredTaxAmount</t>
  </si>
  <si>
    <t>Paid in total</t>
  </si>
  <si>
    <t>Sales category</t>
  </si>
  <si>
    <t>Items</t>
  </si>
  <si>
    <t>Discount amount</t>
  </si>
  <si>
    <t>Refund amount</t>
  </si>
  <si>
    <t>Gross sales</t>
  </si>
  <si>
    <t>Liquor</t>
  </si>
  <si>
    <t>Non-Grat Svc Charges</t>
  </si>
  <si>
    <t>Wine</t>
  </si>
  <si>
    <t>No Sales Category Assigned</t>
  </si>
  <si>
    <t>Service / day part</t>
  </si>
  <si>
    <t>Orders</t>
  </si>
  <si>
    <t>Dinner</t>
  </si>
  <si>
    <t>Late Night</t>
  </si>
  <si>
    <t>No Service</t>
  </si>
  <si>
    <t>Brunch</t>
  </si>
  <si>
    <t>Employee</t>
  </si>
  <si>
    <t>Job Title</t>
  </si>
  <si>
    <t>Clasification</t>
  </si>
  <si>
    <t>Regular Hours</t>
  </si>
  <si>
    <t>Overtime Hours</t>
  </si>
  <si>
    <t>Hourly Rate</t>
  </si>
  <si>
    <t>Regular Pay</t>
  </si>
  <si>
    <t>Overtime Pay</t>
  </si>
  <si>
    <t>Total Pay</t>
  </si>
  <si>
    <t>Week_Ending_Date</t>
  </si>
  <si>
    <t>Vendor</t>
  </si>
  <si>
    <t>Beginning_Inventory</t>
  </si>
  <si>
    <t>Purchases</t>
  </si>
  <si>
    <t>Ending_Inventory</t>
  </si>
  <si>
    <t>Total_Cost</t>
  </si>
  <si>
    <t>Helper_Key</t>
  </si>
  <si>
    <t>Match_Row</t>
  </si>
  <si>
    <t>Select Week Ending Date:</t>
  </si>
  <si>
    <t>(Format: YYYY-MM-DD or use Excel date picker)</t>
  </si>
  <si>
    <t>Food + NA Beverage</t>
  </si>
  <si>
    <t>Sysco</t>
  </si>
  <si>
    <t>Creation Garden (WOW)</t>
  </si>
  <si>
    <t>Restaurant Depot</t>
  </si>
  <si>
    <t>Others</t>
  </si>
  <si>
    <t>Liquor + Wine</t>
  </si>
  <si>
    <t>Athens</t>
  </si>
  <si>
    <t>Lipman Brothers</t>
  </si>
  <si>
    <t>Best Brands</t>
  </si>
  <si>
    <t>Tennessee Distributors</t>
  </si>
  <si>
    <t>Empire</t>
  </si>
  <si>
    <t>Beer</t>
  </si>
  <si>
    <t>DET</t>
  </si>
  <si>
    <t>Ajax Turner</t>
  </si>
  <si>
    <t>Bounty Bev</t>
  </si>
  <si>
    <t>Paper Goods</t>
  </si>
  <si>
    <t>Barnes Supply</t>
  </si>
  <si>
    <t>INSTRUCTIONS: 1) Select/enter week ending date in cell I2  2) Enter values in template rows 4-20  3) Select rows 4-20 (template), Copy  4) Scroll to week section below, find/create week section, Paste as VALUES  5) To edit existing week: Select that week date in I2, copy week data back to template, edit, then paste back</t>
  </si>
  <si>
    <t>[COPY TEMPLATE →] Then paste below in appropriate week section</t>
  </si>
  <si>
    <t>Week Ending: 2026-01-12</t>
  </si>
  <si>
    <t>Week Ending: 2026-01-05</t>
  </si>
  <si>
    <t>Month</t>
  </si>
  <si>
    <t>Accounting and legal Services</t>
  </si>
  <si>
    <t>Admin and General</t>
  </si>
  <si>
    <t>Administrative</t>
  </si>
  <si>
    <t>Advertising &amp; Marketing</t>
  </si>
  <si>
    <t>Auto Chlor / dishwasher</t>
  </si>
  <si>
    <t>Bank Charges &amp; Fees</t>
  </si>
  <si>
    <t>Car &amp; Truck/ Gas, Parking expenses</t>
  </si>
  <si>
    <t>Comcast/ Internet</t>
  </si>
  <si>
    <t>Credit Card Fees</t>
  </si>
  <si>
    <t>Credit Card Processing Fees</t>
  </si>
  <si>
    <t>Electricity</t>
  </si>
  <si>
    <t>Facility expenses</t>
  </si>
  <si>
    <t>Fintech Charges</t>
  </si>
  <si>
    <t>Fire inspection/Hood cleaning</t>
  </si>
  <si>
    <t>Insurance</t>
  </si>
  <si>
    <t>Job Supplies bar and kitchen</t>
  </si>
  <si>
    <t>Lenin</t>
  </si>
  <si>
    <t>Licenses and permits</t>
  </si>
  <si>
    <t>Live Band</t>
  </si>
  <si>
    <t>Meals &amp; Entertainment</t>
  </si>
  <si>
    <t>Music and Entertainments</t>
  </si>
  <si>
    <t>Nca Alarm Co.</t>
  </si>
  <si>
    <t>Non Controllable expenses</t>
  </si>
  <si>
    <t>Occupancy</t>
  </si>
  <si>
    <t>Office Supplies &amp; Software</t>
  </si>
  <si>
    <t>Operating Expenses</t>
  </si>
  <si>
    <t>Over Draft Fees</t>
  </si>
  <si>
    <t>QuickBooks Payments Fees</t>
  </si>
  <si>
    <t>Rent &amp; Lease</t>
  </si>
  <si>
    <t>Repairs &amp; Maintenance/ Renovation</t>
  </si>
  <si>
    <t>Sp+ Property tax + Water+Trash</t>
  </si>
  <si>
    <t>Toast Pos Software Monthly fee</t>
  </si>
  <si>
    <t>Total for Direct Operation Expences(DOE)</t>
  </si>
  <si>
    <t>Total for Income Taxes Paid</t>
  </si>
  <si>
    <t>Total for Non Controllable expenses</t>
  </si>
  <si>
    <t>Total for Occupancy</t>
  </si>
  <si>
    <t>Travel</t>
  </si>
  <si>
    <t>Uncategorized Expense</t>
  </si>
  <si>
    <t>Utilities</t>
  </si>
  <si>
    <t>Window Cleaning</t>
  </si>
  <si>
    <t>Target_Value</t>
  </si>
  <si>
    <t>Unit</t>
  </si>
  <si>
    <t>Food_Cost_Pct</t>
  </si>
  <si>
    <t>Percent</t>
  </si>
  <si>
    <t>Liquor_Cost_Pct</t>
  </si>
  <si>
    <t>Beer_Cost_Pct</t>
  </si>
  <si>
    <t>COGS_Pct</t>
  </si>
  <si>
    <t>Labor_Pct</t>
  </si>
  <si>
    <t>FOH_Pct</t>
  </si>
  <si>
    <t>BOH_Pct</t>
  </si>
  <si>
    <t>Management_Pct</t>
  </si>
  <si>
    <t>Prime_Cost_Pct</t>
  </si>
  <si>
    <t>Active</t>
  </si>
  <si>
    <t>Y</t>
  </si>
  <si>
    <t>Job_Title</t>
  </si>
  <si>
    <t>Classification</t>
  </si>
  <si>
    <t>Cook</t>
  </si>
  <si>
    <t>BOH</t>
  </si>
  <si>
    <t>Dishwasher</t>
  </si>
  <si>
    <t>BOH Support</t>
  </si>
  <si>
    <t>Kitchen Manager</t>
  </si>
  <si>
    <t>Server</t>
  </si>
  <si>
    <t>FOH</t>
  </si>
  <si>
    <t>Bartender</t>
  </si>
  <si>
    <t>Event Server</t>
  </si>
  <si>
    <t>Event Bartender</t>
  </si>
  <si>
    <t>Event bartender</t>
  </si>
  <si>
    <t>Floor Manager</t>
  </si>
  <si>
    <t>Shift Manager</t>
  </si>
  <si>
    <t>Late Night Event Server</t>
  </si>
  <si>
    <t>Late Night Security</t>
  </si>
  <si>
    <t>Host</t>
  </si>
  <si>
    <t>Server Assist</t>
  </si>
  <si>
    <t>Lead Server</t>
  </si>
  <si>
    <t>General Manager</t>
  </si>
  <si>
    <t>GM</t>
  </si>
  <si>
    <t>Net_Sales_Total</t>
  </si>
  <si>
    <t>Food_Sales</t>
  </si>
  <si>
    <t>Liquor_Sales</t>
  </si>
  <si>
    <t>Beer_Sales</t>
  </si>
  <si>
    <t>Food_COGS</t>
  </si>
  <si>
    <t>Liquor_COGS</t>
  </si>
  <si>
    <t>Beer_COGS</t>
  </si>
  <si>
    <t>Total_COGS</t>
  </si>
  <si>
    <t>FOH_Labor</t>
  </si>
  <si>
    <t>BOH_Labor</t>
  </si>
  <si>
    <t>Management_Labor</t>
  </si>
  <si>
    <t>Security_Labor</t>
  </si>
  <si>
    <t>Labor_Tax</t>
  </si>
  <si>
    <t>Total_Labor</t>
  </si>
  <si>
    <t>Week_Number</t>
  </si>
  <si>
    <t>Year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</si>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</sst>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yyyy\-mm\-dd"/>
    <numFmt numFmtId="165" formatCode="\$#,##0.00"/>
    <numFmt numFmtId="166" formatCode="&quot;$&quot;#,##0.00"/>
    <numFmt numFmtId="167" formatCode="\$#,##0"/>
    <numFmt numFmtId="168" formatCode="0.0%"/>
    <numFmt numFmtId="169" formatCode="yyyy\-mm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8"/>
      <color rgb="FF666666"/>
      <name val="Calibri"/>
    </font>
    <font>
      <b/>
      <i/>
      <sz val="11"/>
      <name val="Calibri"/>
    </font>
    <font>
      <i/>
      <sz val="9"/>
      <name val="Calibri"/>
    </font>
    <font>
      <b/>
      <sz val="11"/>
      <color rgb="FF004085"/>
      <name val="Calibri"/>
    </font>
    <font>
      <b/>
      <sz val="11"/>
      <name val="Calibri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1"/>
      <name val="Calibri"/>
      <family val="2"/>
    </font>
    <font>
      <b/>
      <sz val="11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4B084"/>
        <bgColor rgb="FFF4B084"/>
      </patternFill>
    </fill>
    <fill>
      <patternFill patternType="solid">
        <fgColor rgb="FF666666"/>
        <bgColor rgb="FF666666"/>
      </patternFill>
    </fill>
    <fill>
      <patternFill patternType="solid">
        <fgColor rgb="FF5B9BD5"/>
        <bgColor rgb="FF5B9BD5"/>
      </patternFill>
    </fill>
    <fill>
      <patternFill patternType="solid">
        <fgColor rgb="FFED7D31"/>
        <bgColor rgb="FFED7D31"/>
      </patternFill>
    </fill>
    <fill>
      <patternFill patternType="solid">
        <fgColor rgb="FFE2A76F"/>
        <bgColor rgb="FFE2A76F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A9D08E"/>
      </patternFill>
    </fill>
    <fill>
      <patternFill patternType="solid">
        <fgColor rgb="FF9F4F96"/>
        <bgColor rgb="FF9F4F96"/>
      </patternFill>
    </fill>
    <fill>
      <patternFill patternType="solid">
        <fgColor rgb="FFC183C0"/>
        <bgColor rgb="FFC183C0"/>
      </patternFill>
    </fill>
    <fill>
      <patternFill patternType="solid">
        <fgColor rgb="FFD9E1F2"/>
        <bgColor rgb="FFF4B084"/>
      </patternFill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10" fontId="0" fillId="0" borderId="0" xfId="0" applyNumberFormat="1"/>
    <xf numFmtId="0" fontId="2" fillId="0" borderId="0" xfId="0" applyFont="1"/>
    <xf numFmtId="3" fontId="0" fillId="0" borderId="0" xfId="0" applyNumberFormat="1"/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0" fillId="16" borderId="1" xfId="0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0" fillId="17" borderId="1" xfId="0" applyFill="1" applyBorder="1"/>
    <xf numFmtId="169" fontId="0" fillId="17" borderId="1" xfId="0" applyNumberFormat="1" applyFill="1" applyBorder="1"/>
    <xf numFmtId="1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1" xfId="0" applyNumberFormat="1" applyBorder="1" applyAlignment="1">
      <alignment horizontal="center"/>
    </xf>
    <xf numFmtId="165" fontId="0" fillId="0" borderId="0" xfId="0" applyNumberFormat="1"/>
    <xf numFmtId="165" fontId="0" fillId="17" borderId="1" xfId="0" applyNumberFormat="1" applyFill="1" applyBorder="1"/>
    <xf numFmtId="164" fontId="6" fillId="6" borderId="0" xfId="0" applyNumberFormat="1" applyFont="1" applyFill="1" applyAlignment="1">
      <alignment horizontal="center"/>
    </xf>
    <xf numFmtId="166" fontId="0" fillId="0" borderId="0" xfId="0" applyNumberFormat="1"/>
    <xf numFmtId="164" fontId="0" fillId="18" borderId="0" xfId="0" applyNumberFormat="1" applyFill="1"/>
    <xf numFmtId="0" fontId="8" fillId="2" borderId="0" xfId="0" applyFont="1" applyFill="1" applyAlignment="1">
      <alignment horizontal="center"/>
    </xf>
    <xf numFmtId="0" fontId="0" fillId="0" borderId="0" xfId="0"/>
    <xf numFmtId="0" fontId="8" fillId="11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/>
    </xf>
    <xf numFmtId="0" fontId="9" fillId="1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Net Sales (Last 8 Weeks)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Data_Aggregation!$B$1</c:f>
              <c:strCache>
                <c:ptCount val="1"/>
                <c:pt idx="0">
                  <c:v>Net_Sales_Total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Data_Aggregation!$A$2:$A$9</c:f>
              <c:numCache>
                <c:formatCode>yyyy\-mm\-dd</c:formatCode>
                <c:ptCount val="8"/>
                <c:pt idx="0">
                  <c:v>45984</c:v>
                </c:pt>
                <c:pt idx="1">
                  <c:v>45991</c:v>
                </c:pt>
                <c:pt idx="2">
                  <c:v>45998</c:v>
                </c:pt>
                <c:pt idx="3">
                  <c:v>46005</c:v>
                </c:pt>
                <c:pt idx="4">
                  <c:v>46012</c:v>
                </c:pt>
                <c:pt idx="5">
                  <c:v>46019</c:v>
                </c:pt>
                <c:pt idx="6">
                  <c:v>46026</c:v>
                </c:pt>
                <c:pt idx="7">
                  <c:v>46033</c:v>
                </c:pt>
              </c:numCache>
            </c:numRef>
          </c:cat>
          <c:val>
            <c:numRef>
              <c:f>Data_Aggregation!$B$2:$B$9</c:f>
              <c:numCache>
                <c:formatCode>\$#,##0.00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27470.020000000004</c:v>
                </c:pt>
                <c:pt idx="7">
                  <c:v>7201.42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745216"/>
        <c:axId val="166747136"/>
      </c:lineChart>
      <c:dateAx>
        <c:axId val="166745216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Ending</a:t>
                </a:r>
              </a:p>
            </c:rich>
          </c:tx>
          <c:layout/>
          <c:overlay val="1"/>
        </c:title>
        <c:numFmt formatCode="yyyy\-mm\-dd" sourceLinked="1"/>
        <c:majorTickMark val="none"/>
        <c:minorTickMark val="none"/>
        <c:tickLblPos val="nextTo"/>
        <c:crossAx val="166747136"/>
        <c:crosses val="autoZero"/>
        <c:auto val="1"/>
        <c:lblOffset val="100"/>
        <c:baseTimeUnit val="days"/>
      </c:dateAx>
      <c:valAx>
        <c:axId val="166747136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layout/>
          <c:overlay val="1"/>
        </c:title>
        <c:numFmt formatCode="\$#,##0.00" sourceLinked="1"/>
        <c:majorTickMark val="none"/>
        <c:minorTickMark val="none"/>
        <c:tickLblPos val="nextTo"/>
        <c:crossAx val="16674521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vs Labor (Last 8 Weeks)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Data_Aggregation!$B$1</c:f>
              <c:strCache>
                <c:ptCount val="1"/>
                <c:pt idx="0">
                  <c:v>Net_Sales_Total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Data_Aggregation!$A$2:$A$9</c:f>
              <c:numCache>
                <c:formatCode>yyyy\-mm\-dd</c:formatCode>
                <c:ptCount val="8"/>
                <c:pt idx="0">
                  <c:v>45984</c:v>
                </c:pt>
                <c:pt idx="1">
                  <c:v>45991</c:v>
                </c:pt>
                <c:pt idx="2">
                  <c:v>45998</c:v>
                </c:pt>
                <c:pt idx="3">
                  <c:v>46005</c:v>
                </c:pt>
                <c:pt idx="4">
                  <c:v>46012</c:v>
                </c:pt>
                <c:pt idx="5">
                  <c:v>46019</c:v>
                </c:pt>
                <c:pt idx="6">
                  <c:v>46026</c:v>
                </c:pt>
                <c:pt idx="7">
                  <c:v>46033</c:v>
                </c:pt>
              </c:numCache>
            </c:numRef>
          </c:cat>
          <c:val>
            <c:numRef>
              <c:f>Data_Aggregation!$B$2:$B$9</c:f>
              <c:numCache>
                <c:formatCode>\$#,##0.00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27470.020000000004</c:v>
                </c:pt>
                <c:pt idx="7">
                  <c:v>7201.42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Data_Aggregation!$O$1</c:f>
              <c:strCache>
                <c:ptCount val="1"/>
                <c:pt idx="0">
                  <c:v>Total_Labor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Data_Aggregation!$A$2:$A$9</c:f>
              <c:numCache>
                <c:formatCode>yyyy\-mm\-dd</c:formatCode>
                <c:ptCount val="8"/>
                <c:pt idx="0">
                  <c:v>45984</c:v>
                </c:pt>
                <c:pt idx="1">
                  <c:v>45991</c:v>
                </c:pt>
                <c:pt idx="2">
                  <c:v>45998</c:v>
                </c:pt>
                <c:pt idx="3">
                  <c:v>46005</c:v>
                </c:pt>
                <c:pt idx="4">
                  <c:v>46012</c:v>
                </c:pt>
                <c:pt idx="5">
                  <c:v>46019</c:v>
                </c:pt>
                <c:pt idx="6">
                  <c:v>46026</c:v>
                </c:pt>
                <c:pt idx="7">
                  <c:v>46033</c:v>
                </c:pt>
              </c:numCache>
            </c:numRef>
          </c:cat>
          <c:val>
            <c:numRef>
              <c:f>Data_Aggregation!$O$2:$O$9</c:f>
              <c:numCache>
                <c:formatCode>\$#,##0.00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781312"/>
        <c:axId val="166782848"/>
      </c:lineChart>
      <c:dateAx>
        <c:axId val="166781312"/>
        <c:scaling>
          <c:orientation val="minMax"/>
        </c:scaling>
        <c:delete val="1"/>
        <c:axPos val="b"/>
        <c:numFmt formatCode="yyyy\-mm\-dd" sourceLinked="1"/>
        <c:majorTickMark val="none"/>
        <c:minorTickMark val="none"/>
        <c:tickLblPos val="nextTo"/>
        <c:crossAx val="166782848"/>
        <c:crosses val="autoZero"/>
        <c:auto val="1"/>
        <c:lblOffset val="100"/>
        <c:baseTimeUnit val="days"/>
      </c:dateAx>
      <c:valAx>
        <c:axId val="16678284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Dollars</a:t>
                </a:r>
              </a:p>
            </c:rich>
          </c:tx>
          <c:layout/>
          <c:overlay val="1"/>
        </c:title>
        <c:numFmt formatCode="\$#,##0.00" sourceLinked="1"/>
        <c:majorTickMark val="none"/>
        <c:minorTickMark val="none"/>
        <c:tickLblPos val="nextTo"/>
        <c:crossAx val="166781312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Mix (This Week)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Dashboard!$A$9:$A$16</c:f>
              <c:strCache>
                <c:ptCount val="8"/>
                <c:pt idx="0">
                  <c:v>Food</c:v>
                </c:pt>
                <c:pt idx="1">
                  <c:v>Liquor (Incl. Wine)</c:v>
                </c:pt>
                <c:pt idx="2">
                  <c:v>Bottled Beer</c:v>
                </c:pt>
                <c:pt idx="3">
                  <c:v>NA Beverage</c:v>
                </c:pt>
                <c:pt idx="4">
                  <c:v>Retail</c:v>
                </c:pt>
                <c:pt idx="5">
                  <c:v>Non-Grat Service Charges</c:v>
                </c:pt>
                <c:pt idx="6">
                  <c:v>Custom Amounts</c:v>
                </c:pt>
                <c:pt idx="7">
                  <c:v>Uncategorized</c:v>
                </c:pt>
              </c:strCache>
            </c:strRef>
          </c:cat>
          <c:val>
            <c:numRef>
              <c:f>Dashboard!$F$9:$F$16</c:f>
              <c:numCache>
                <c:formatCode>0.00%</c:formatCode>
                <c:ptCount val="8"/>
                <c:pt idx="0">
                  <c:v>0.25323339008140061</c:v>
                </c:pt>
                <c:pt idx="1">
                  <c:v>0.55950076512687774</c:v>
                </c:pt>
                <c:pt idx="2">
                  <c:v>0.16954989432639675</c:v>
                </c:pt>
                <c:pt idx="3">
                  <c:v>4.8601525810187439E-3</c:v>
                </c:pt>
                <c:pt idx="4">
                  <c:v>0</c:v>
                </c:pt>
                <c:pt idx="5">
                  <c:v>1.1855995067639439E-2</c:v>
                </c:pt>
                <c:pt idx="6">
                  <c:v>0</c:v>
                </c:pt>
                <c:pt idx="7">
                  <c:v>9.9980281666671314E-4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5760000" cy="21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25</xdr:row>
      <xdr:rowOff>0</xdr:rowOff>
    </xdr:from>
    <xdr:ext cx="5760000" cy="216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39</xdr:row>
      <xdr:rowOff>0</xdr:rowOff>
    </xdr:from>
    <xdr:ext cx="3600000" cy="216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P50"/>
  <sheetViews>
    <sheetView tabSelected="1" workbookViewId="0">
      <pane xSplit="1" ySplit="7" topLeftCell="F8" activePane="bottomRight" state="frozen"/>
      <selection pane="topRight"/>
      <selection pane="bottomLeft"/>
      <selection pane="bottomRight" activeCell="O12" sqref="O12"/>
    </sheetView>
  </sheetViews>
  <sheetFormatPr defaultRowHeight="14.4"/>
  <cols>
    <col min="1" max="1" width="25" style="16" customWidth="1"/>
    <col min="2" max="3" width="15" style="16" customWidth="1"/>
    <col min="4" max="4" width="34.734375" style="16" bestFit="1" customWidth="1"/>
    <col min="5" max="8" width="15" style="16" customWidth="1"/>
    <col min="10" max="10" width="19.68359375" style="16" bestFit="1" customWidth="1"/>
    <col min="11" max="15" width="15" style="16" customWidth="1"/>
    <col min="16" max="16" width="15" style="16" bestFit="1" customWidth="1"/>
  </cols>
  <sheetData>
    <row r="1" spans="1:16" ht="30" customHeight="1">
      <c r="A1" s="29" t="s">
        <v>0</v>
      </c>
      <c r="B1" s="25"/>
      <c r="C1" s="25"/>
      <c r="D1" s="25"/>
      <c r="E1" s="25"/>
      <c r="F1" s="25"/>
      <c r="G1" s="25"/>
      <c r="H1" s="25"/>
    </row>
    <row r="3" spans="1:16">
      <c r="B3" s="17"/>
      <c r="D3" t="s">
        <v>1</v>
      </c>
    </row>
    <row r="4" spans="1:16">
      <c r="A4" t="s">
        <v>2</v>
      </c>
      <c r="B4" s="23">
        <v>46027</v>
      </c>
      <c r="D4" t="s">
        <v>3</v>
      </c>
    </row>
    <row r="5" spans="1:16">
      <c r="A5" t="s">
        <v>4</v>
      </c>
      <c r="B5" s="23">
        <v>46033</v>
      </c>
      <c r="D5" t="s">
        <v>5</v>
      </c>
      <c r="J5" s="10" t="s">
        <v>6</v>
      </c>
      <c r="K5" s="10" t="s">
        <v>7</v>
      </c>
      <c r="L5" s="10" t="s">
        <v>8</v>
      </c>
      <c r="M5" s="10" t="s">
        <v>9</v>
      </c>
      <c r="N5" s="10" t="s">
        <v>10</v>
      </c>
      <c r="O5" s="10" t="s">
        <v>11</v>
      </c>
      <c r="P5" s="10" t="s">
        <v>12</v>
      </c>
    </row>
    <row r="6" spans="1:16">
      <c r="J6" s="11">
        <f>B17</f>
        <v>7201.42</v>
      </c>
      <c r="K6" s="12">
        <f>IFERROR(B17/C17-1,0)</f>
        <v>-0.73784438453266499</v>
      </c>
      <c r="L6" s="12">
        <f>IFERROR(B17/D17-1,0)</f>
        <v>0</v>
      </c>
      <c r="M6" s="18">
        <f ca="1">IFERROR(B17/(SUMIFS(Labor_Input!$E$2:$E$2, Labor_Input!$A$2:$A$2, "&gt;="&amp;$B$4, Labor_Input!$A$2:$A$2, "&lt;="&amp;$B$5)+SUMIFS(Labor_Input!$F$2:$F$2, Labor_Input!$A$2:$A$2, "&gt;="&amp;$B$4, Labor_Input!$A$2:$A$2, "&lt;="&amp;$B$5)),0)</f>
        <v>0</v>
      </c>
      <c r="N6" s="12">
        <f>F25</f>
        <v>9.1648591527782024E-3</v>
      </c>
      <c r="O6" s="12">
        <f>F37</f>
        <v>0</v>
      </c>
      <c r="P6" s="12">
        <f>D42</f>
        <v>9.1648591527782024E-3</v>
      </c>
    </row>
    <row r="7" spans="1:16" ht="15.6" customHeight="1">
      <c r="A7" s="24" t="s">
        <v>13</v>
      </c>
      <c r="B7" s="25"/>
      <c r="C7" s="25"/>
      <c r="D7" s="25"/>
      <c r="E7" s="25"/>
      <c r="F7" s="25"/>
      <c r="G7" s="25"/>
      <c r="H7" s="25"/>
    </row>
    <row r="8" spans="1:16">
      <c r="A8" s="6" t="s">
        <v>14</v>
      </c>
      <c r="B8" s="6" t="s">
        <v>15</v>
      </c>
      <c r="C8" s="6" t="s">
        <v>16</v>
      </c>
      <c r="D8" s="6" t="s">
        <v>17</v>
      </c>
      <c r="E8" s="6" t="s">
        <v>18</v>
      </c>
      <c r="F8" s="6" t="s">
        <v>19</v>
      </c>
      <c r="G8" s="6" t="s">
        <v>20</v>
      </c>
      <c r="H8" s="6" t="s">
        <v>21</v>
      </c>
      <c r="J8" s="10" t="s">
        <v>22</v>
      </c>
      <c r="K8" s="10"/>
      <c r="L8" s="10"/>
      <c r="M8" s="10"/>
    </row>
    <row r="9" spans="1:16">
      <c r="A9" t="s">
        <v>23</v>
      </c>
      <c r="B9" s="19">
        <f>IFERROR(SUMIFS(Sales_Category!$D:$D, Sales_Category!$A:$A, "&gt;="&amp;$B$4, Sales_Category!$A:$A, "&lt;="&amp;$B$5, Sales_Category!$B:$B, "Food"), 0)</f>
        <v>1823.6399999999999</v>
      </c>
      <c r="C9" s="19">
        <f>IFERROR(SUMIFS(Sales_Category!$D:$D, Sales_Category!$A:$A, "&gt;="&amp;($B$4-7), Sales_Category!$A:$A, "&lt;="&amp;($B$5-7), Sales_Category!$B:$B, "Food"), 0)</f>
        <v>7325.85</v>
      </c>
      <c r="D9" s="19">
        <f>IFERROR(SUMIFS(Sales_Category!$D:$D, Sales_Category!$A:$A, "&gt;="&amp;IF(ISNUMBER($B$4), (IF(ISNUMBER($B$4),DATE(YEAR($B$4-WEEKDAY($B$4,2)+4)-1,1,4)-WEEKDAY(DATE(YEAR($B$4-WEEKDAY($B$4,2)+4)-1,1,4),2)+1+7*(WEEKNUM($B$4-WEEKDAY($B$4,2)+4,2)-1),"")), ""), Sales_Category!$A:$A, "&lt;="&amp;IF(ISNUMBER($B$5), (IF(ISNUMBER($B$5),DATE(YEAR($B$5-WEEKDAY($B$5,2)+4)-1,1,4)-WEEKDAY(DATE(YEAR($B$5-WEEKDAY($B$5,2)+4)-1,1,4),2)+1+7*(WEEKNUM($B$5-WEEKDAY($B$5,2)+4,2)-1)+6,"")), ""), Sales_Category!$B:$B, "Food"), 0)</f>
        <v>0</v>
      </c>
      <c r="E9" s="2">
        <v>0.6</v>
      </c>
      <c r="F9" s="2">
        <f>IFERROR(B9/SUMIFS(Sales_Category!$D:$D, Sales_Category!$A:$A, "&gt;="&amp;$B$4, Sales_Category!$A:$A, "&lt;="&amp;$B$5), 0)</f>
        <v>0.25323339008140061</v>
      </c>
      <c r="G9" s="2">
        <f t="shared" ref="G9:G16" si="0">IFERROR(F9-E9, 0)</f>
        <v>-0.34676660991859937</v>
      </c>
      <c r="H9" t="str">
        <f t="shared" ref="H9:H16" si="1">IF(AND(F9&lt;&gt;"", E9&lt;&gt;""), IF(F9&lt;=E9*1.05, "OK", IF(F9&lt;=E9*1.15, "WARNING", "OFF")), "")</f>
        <v>OK</v>
      </c>
      <c r="J9" s="13" t="s">
        <v>24</v>
      </c>
      <c r="K9" s="14" t="str">
        <f>IFERROR(LOOKUP(2,1/(Direct_NonControllable!$A$2:$A$2&lt;&gt;""),Direct_NonControllable!$A$2:$A$2),"")</f>
        <v/>
      </c>
      <c r="L9" s="13" t="s">
        <v>25</v>
      </c>
      <c r="M9" s="20" t="str">
        <f>IF($K$9="","",SUMPRODUCT((Direct_NonControllable!$A$2:$A$2=$K$9)*Direct_NonControllable!$B$2:$AP$2))</f>
        <v/>
      </c>
    </row>
    <row r="10" spans="1:16">
      <c r="A10" t="s">
        <v>26</v>
      </c>
      <c r="B10" s="19">
        <f>IFERROR(SUMIFS(Sales_Category!$D:$D, Sales_Category!$A:$A, "&gt;="&amp;$B$4, Sales_Category!$A:$A, "&lt;="&amp;$B$5, Sales_Category!$B:$B, "Liquor") + SUMIFS(Sales_Category!$D:$D, Sales_Category!$A:$A, "&gt;="&amp;$B$4, Sales_Category!$A:$A, "&lt;="&amp;$B$5, Sales_Category!$B:$B, "Wine"), 0)</f>
        <v>4029.2</v>
      </c>
      <c r="C10" s="19">
        <f>IFERROR(SUMIFS(Sales_Category!$D:$D, Sales_Category!$A:$A, "&gt;="&amp;($B$4-7), Sales_Category!$A:$A, "&lt;="&amp;($B$5-7), Sales_Category!$B:$B, "Liquor") + SUMIFS(Sales_Category!$D:$D, Sales_Category!$A:$A, "&gt;="&amp;($B$4-7), Sales_Category!$A:$A, "&lt;="&amp;($B$5-7), Sales_Category!$B:$B, "Wine"), 0)</f>
        <v>16756.25</v>
      </c>
      <c r="D10" s="19">
        <f>IFERROR(SUMIFS(Sales_Category!$D:$D, Sales_Category!$A:$A, "&gt;="&amp;IF(ISNUMBER($B$4), (IF(ISNUMBER($B$4),DATE(YEAR($B$4-WEEKDAY($B$4,2)+4)-1,1,4)-WEEKDAY(DATE(YEAR($B$4-WEEKDAY($B$4,2)+4)-1,1,4),2)+1+7*(WEEKNUM($B$4-WEEKDAY($B$4,2)+4,2)-1),"")), ""), Sales_Category!$A:$A, "&lt;="&amp;IF(ISNUMBER($B$5), (IF(ISNUMBER($B$5),DATE(YEAR($B$5-WEEKDAY($B$5,2)+4)-1,1,4)-WEEKDAY(DATE(YEAR($B$5-WEEKDAY($B$5,2)+4)-1,1,4),2)+1+7*(WEEKNUM($B$5-WEEKDAY($B$5,2)+4,2)-1)+6,"")), ""), Sales_Category!$B:$B, "Liquor") + SUMIFS(Sales_Category!$D:$D, Sales_Category!$A:$A, "&gt;="&amp;IF(ISNUMBER($B$4), (IF(ISNUMBER($B$4),DATE(YEAR($B$4-WEEKDAY($B$4,2)+4)-1,1,4)-WEEKDAY(DATE(YEAR($B$4-WEEKDAY($B$4,2)+4)-1,1,4),2)+1+7*(WEEKNUM($B$4-WEEKDAY($B$4,2)+4,2)-1),"")), ""), Sales_Category!$A:$A, "&lt;="&amp;IF(ISNUMBER($B$5), (IF(ISNUMBER($B$5),DATE(YEAR($B$5-WEEKDAY($B$5,2)+4)-1,1,4)-WEEKDAY(DATE(YEAR($B$5-WEEKDAY($B$5,2)+4)-1,1,4),2)+1+7*(WEEKNUM($B$5-WEEKDAY($B$5,2)+4,2)-1)+6,"")), ""), Sales_Category!$B:$B, "Wine"), 0)</f>
        <v>0</v>
      </c>
      <c r="E10" s="2">
        <v>0.4</v>
      </c>
      <c r="F10" s="2">
        <f>IFERROR(B10/SUMIFS(Sales_Category!$D:$D, Sales_Category!$A:$A, "&gt;="&amp;$B$4, Sales_Category!$A:$A, "&lt;="&amp;$B$5), 0)</f>
        <v>0.55950076512687774</v>
      </c>
      <c r="G10" s="2">
        <f t="shared" si="0"/>
        <v>0.15950076512687772</v>
      </c>
      <c r="H10" t="str">
        <f t="shared" si="1"/>
        <v>OFF</v>
      </c>
      <c r="J10" s="13" t="s">
        <v>27</v>
      </c>
      <c r="K10" s="20" t="str">
        <f>IF($K$9="","",SUMPRODUCT((YEAR(Direct_NonControllable!$A$2:$A$2)=YEAR($K$9))*Direct_NonControllable!$B$2:$AP$2))</f>
        <v/>
      </c>
      <c r="L10" s="13"/>
      <c r="M10" s="13"/>
    </row>
    <row r="11" spans="1:16">
      <c r="A11" t="s">
        <v>28</v>
      </c>
      <c r="B11" s="19">
        <f>IFERROR(SUMIFS(Sales_Category!$D:$D, Sales_Category!$A:$A, "&gt;="&amp;$B$4, Sales_Category!$A:$A, "&lt;="&amp;$B$5, Sales_Category!$B:$B, "Bottled Beer"), 0)</f>
        <v>1221</v>
      </c>
      <c r="C11" s="19">
        <f>IFERROR(SUMIFS(Sales_Category!$D:$D, Sales_Category!$A:$A, "&gt;="&amp;($B$4-7), Sales_Category!$A:$A, "&lt;="&amp;($B$5-7), Sales_Category!$B:$B, "Bottled Beer"), 0)</f>
        <v>2942</v>
      </c>
      <c r="D11" s="19">
        <f>IFERROR(SUMIFS(Sales_Category!$D:$D, Sales_Category!$A:$A, "&gt;="&amp;IF(ISNUMBER($B$4), (IF(ISNUMBER($B$4),DATE(YEAR($B$4-WEEKDAY($B$4,2)+4)-1,1,4)-WEEKDAY(DATE(YEAR($B$4-WEEKDAY($B$4,2)+4)-1,1,4),2)+1+7*(WEEKNUM($B$4-WEEKDAY($B$4,2)+4,2)-1),"")), ""), Sales_Category!$A:$A, "&lt;="&amp;IF(ISNUMBER($B$5), (IF(ISNUMBER($B$5),DATE(YEAR($B$5-WEEKDAY($B$5,2)+4)-1,1,4)-WEEKDAY(DATE(YEAR($B$5-WEEKDAY($B$5,2)+4)-1,1,4),2)+1+7*(WEEKNUM($B$5-WEEKDAY($B$5,2)+4,2)-1)+6,"")), ""), Sales_Category!$B:$B, "Bottled Beer"), 0)</f>
        <v>0</v>
      </c>
      <c r="E11" s="2">
        <v>0</v>
      </c>
      <c r="F11" s="2">
        <f>IFERROR(B11/SUMIFS(Sales_Category!$D:$D, Sales_Category!$A:$A, "&gt;="&amp;$B$4, Sales_Category!$A:$A, "&lt;="&amp;$B$5), 0)</f>
        <v>0.16954989432639675</v>
      </c>
      <c r="G11" s="2">
        <f t="shared" si="0"/>
        <v>0.16954989432639675</v>
      </c>
      <c r="H11" t="str">
        <f t="shared" si="1"/>
        <v>OFF</v>
      </c>
    </row>
    <row r="12" spans="1:16">
      <c r="A12" t="s">
        <v>29</v>
      </c>
      <c r="B12" s="19">
        <f>IFERROR(SUMIFS(Sales_Category!$D:$D, Sales_Category!$A:$A, "&gt;="&amp;$B$4, Sales_Category!$A:$A, "&lt;="&amp;$B$5, Sales_Category!$B:$B, "NA Beverage"), 0)</f>
        <v>35</v>
      </c>
      <c r="C12" s="19">
        <f>IFERROR(SUMIFS(Sales_Category!$D:$D, Sales_Category!$A:$A, "&gt;="&amp;($B$4-7), Sales_Category!$A:$A, "&lt;="&amp;($B$5-7), Sales_Category!$B:$B, "NA Beverage"), 0)</f>
        <v>80</v>
      </c>
      <c r="D12" s="19">
        <f>IFERROR(SUMIFS(Sales_Category!$D:$D, Sales_Category!$A:$A, "&gt;="&amp;IF(ISNUMBER($B$4), (IF(ISNUMBER($B$4),DATE(YEAR($B$4-WEEKDAY($B$4,2)+4)-1,1,4)-WEEKDAY(DATE(YEAR($B$4-WEEKDAY($B$4,2)+4)-1,1,4),2)+1+7*(WEEKNUM($B$4-WEEKDAY($B$4,2)+4,2)-1),"")), ""), Sales_Category!$A:$A, "&lt;="&amp;IF(ISNUMBER($B$5), (IF(ISNUMBER($B$5),DATE(YEAR($B$5-WEEKDAY($B$5,2)+4)-1,1,4)-WEEKDAY(DATE(YEAR($B$5-WEEKDAY($B$5,2)+4)-1,1,4),2)+1+7*(WEEKNUM($B$5-WEEKDAY($B$5,2)+4,2)-1)+6,"")), ""), Sales_Category!$B:$B, "NA Beverage"), 0)</f>
        <v>0</v>
      </c>
      <c r="E12" s="2">
        <v>0</v>
      </c>
      <c r="F12" s="2">
        <f>IFERROR(B12/SUMIFS(Sales_Category!$D:$D, Sales_Category!$A:$A, "&gt;="&amp;$B$4, Sales_Category!$A:$A, "&lt;="&amp;$B$5), 0)</f>
        <v>4.8601525810187439E-3</v>
      </c>
      <c r="G12" s="2">
        <f t="shared" si="0"/>
        <v>4.8601525810187439E-3</v>
      </c>
      <c r="H12" t="str">
        <f t="shared" si="1"/>
        <v>OFF</v>
      </c>
    </row>
    <row r="13" spans="1:16">
      <c r="A13" t="s">
        <v>30</v>
      </c>
      <c r="B13" s="19">
        <f>IFERROR(SUMIFS(Sales_Category!$D:$D, Sales_Category!$A:$A, "&gt;="&amp;$B$4, Sales_Category!$A:$A, "&lt;="&amp;$B$5, Sales_Category!$B:$B, "Retail"), 0)</f>
        <v>0</v>
      </c>
      <c r="C13" s="19">
        <f>IFERROR(SUMIFS(Sales_Category!$D:$D, Sales_Category!$A:$A, "&gt;="&amp;($B$4-7), Sales_Category!$A:$A, "&lt;="&amp;($B$5-7), Sales_Category!$B:$B, "Retail"), 0)</f>
        <v>0</v>
      </c>
      <c r="D13" s="19">
        <f>IFERROR(SUMIFS(Sales_Category!$D:$D, Sales_Category!$A:$A, "&gt;="&amp;IF(ISNUMBER($B$4), (IF(ISNUMBER($B$4),DATE(YEAR($B$4-WEEKDAY($B$4,2)+4)-1,1,4)-WEEKDAY(DATE(YEAR($B$4-WEEKDAY($B$4,2)+4)-1,1,4),2)+1+7*(WEEKNUM($B$4-WEEKDAY($B$4,2)+4,2)-1),"")), ""), Sales_Category!$A:$A, "&lt;="&amp;IF(ISNUMBER($B$5), (IF(ISNUMBER($B$5),DATE(YEAR($B$5-WEEKDAY($B$5,2)+4)-1,1,4)-WEEKDAY(DATE(YEAR($B$5-WEEKDAY($B$5,2)+4)-1,1,4),2)+1+7*(WEEKNUM($B$5-WEEKDAY($B$5,2)+4,2)-1)+6,"")), ""), Sales_Category!$B:$B, "Retail"), 0)</f>
        <v>0</v>
      </c>
      <c r="E13" s="2">
        <v>0</v>
      </c>
      <c r="F13" s="2">
        <f>IFERROR(B13/SUMIFS(Sales_Category!$D:$D, Sales_Category!$A:$A, "&gt;="&amp;$B$4, Sales_Category!$A:$A, "&lt;="&amp;$B$5), 0)</f>
        <v>0</v>
      </c>
      <c r="G13" s="2">
        <f t="shared" si="0"/>
        <v>0</v>
      </c>
      <c r="H13" t="str">
        <f t="shared" si="1"/>
        <v>OK</v>
      </c>
    </row>
    <row r="14" spans="1:16">
      <c r="A14" t="s">
        <v>31</v>
      </c>
      <c r="B14" s="19">
        <f>IFERROR(SUMIFS(Sales_Category!$D:$D, Sales_Category!$A:$A, "&gt;="&amp;$B$4, Sales_Category!$A:$A, "&lt;="&amp;$B$5, Sales_Category!$B:$B, "Non-Grat Svc Charges"), 0)</f>
        <v>85.38</v>
      </c>
      <c r="C14" s="19">
        <f>IFERROR(SUMIFS(Sales_Category!$D:$D, Sales_Category!$A:$A, "&gt;="&amp;($B$4-7), Sales_Category!$A:$A, "&lt;="&amp;($B$5-7), Sales_Category!$B:$B, "Non-Grat Svc Charges"), 0)</f>
        <v>365.91999999999996</v>
      </c>
      <c r="D14" s="19">
        <f>IFERROR(SUMIFS(Sales_Category!$D:$D, Sales_Category!$A:$A, "&gt;="&amp;IF(ISNUMBER($B$4), (IF(ISNUMBER($B$4),DATE(YEAR($B$4-WEEKDAY($B$4,2)+4)-1,1,4)-WEEKDAY(DATE(YEAR($B$4-WEEKDAY($B$4,2)+4)-1,1,4),2)+1+7*(WEEKNUM($B$4-WEEKDAY($B$4,2)+4,2)-1),"")), ""), Sales_Category!$A:$A, "&lt;="&amp;IF(ISNUMBER($B$5), (IF(ISNUMBER($B$5),DATE(YEAR($B$5-WEEKDAY($B$5,2)+4)-1,1,4)-WEEKDAY(DATE(YEAR($B$5-WEEKDAY($B$5,2)+4)-1,1,4),2)+1+7*(WEEKNUM($B$5-WEEKDAY($B$5,2)+4,2)-1)+6,"")), ""), Sales_Category!$B:$B, "Non-Grat Svc Charges"), 0)</f>
        <v>0</v>
      </c>
      <c r="E14" s="2">
        <v>0</v>
      </c>
      <c r="F14" s="2">
        <f>IFERROR(B14/SUMIFS(Sales_Category!$D:$D, Sales_Category!$A:$A, "&gt;="&amp;$B$4, Sales_Category!$A:$A, "&lt;="&amp;$B$5), 0)</f>
        <v>1.1855995067639439E-2</v>
      </c>
      <c r="G14" s="2">
        <f t="shared" si="0"/>
        <v>1.1855995067639439E-2</v>
      </c>
      <c r="H14" t="str">
        <f t="shared" si="1"/>
        <v>OFF</v>
      </c>
    </row>
    <row r="15" spans="1:16">
      <c r="A15" t="s">
        <v>32</v>
      </c>
      <c r="B15" s="19">
        <f>IFERROR(SUMIFS(Sales_Category!$D:$D, Sales_Category!$A:$A, "&gt;="&amp;$B$4, Sales_Category!$A:$A, "&lt;="&amp;$B$5, Sales_Category!$B:$B, "Custom Amounts"), 0)</f>
        <v>0</v>
      </c>
      <c r="C15" s="19">
        <f>IFERROR(SUMIFS(Sales_Category!$D:$D, Sales_Category!$A:$A, "&gt;="&amp;($B$4-7), Sales_Category!$A:$A, "&lt;="&amp;($B$5-7), Sales_Category!$B:$B, "Custom Amounts"), 0)</f>
        <v>0</v>
      </c>
      <c r="D15" s="19">
        <f>IFERROR(SUMIFS(Sales_Category!$D:$D, Sales_Category!$A:$A, "&gt;="&amp;IF(ISNUMBER($B$4), (IF(ISNUMBER($B$4),DATE(YEAR($B$4-WEEKDAY($B$4,2)+4)-1,1,4)-WEEKDAY(DATE(YEAR($B$4-WEEKDAY($B$4,2)+4)-1,1,4),2)+1+7*(WEEKNUM($B$4-WEEKDAY($B$4,2)+4,2)-1),"")), ""), Sales_Category!$A:$A, "&lt;="&amp;IF(ISNUMBER($B$5), (IF(ISNUMBER($B$5),DATE(YEAR($B$5-WEEKDAY($B$5,2)+4)-1,1,4)-WEEKDAY(DATE(YEAR($B$5-WEEKDAY($B$5,2)+4)-1,1,4),2)+1+7*(WEEKNUM($B$5-WEEKDAY($B$5,2)+4,2)-1)+6,"")), ""), Sales_Category!$B:$B, "Custom Amounts"), 0)</f>
        <v>0</v>
      </c>
      <c r="E15" s="2">
        <v>0</v>
      </c>
      <c r="F15" s="2">
        <f>IFERROR(B15/SUMIFS(Sales_Category!$D:$D, Sales_Category!$A:$A, "&gt;="&amp;$B$4, Sales_Category!$A:$A, "&lt;="&amp;$B$5), 0)</f>
        <v>0</v>
      </c>
      <c r="G15" s="2">
        <f t="shared" si="0"/>
        <v>0</v>
      </c>
      <c r="H15" t="str">
        <f t="shared" si="1"/>
        <v>OK</v>
      </c>
    </row>
    <row r="16" spans="1:16">
      <c r="A16" t="s">
        <v>33</v>
      </c>
      <c r="B16" s="19">
        <f>IFERROR(SUMIFS(Sales_Category!$D:$D, Sales_Category!$A:$A, "&gt;="&amp;$B$4, Sales_Category!$A:$A, "&lt;="&amp;$B$5, Sales_Category!$B:$B, "No Sales Category Assigned"), 0)</f>
        <v>7.2</v>
      </c>
      <c r="C16" s="19">
        <f>IFERROR(SUMIFS(Sales_Category!$D:$D, Sales_Category!$A:$A, "&gt;="&amp;($B$4-7), Sales_Category!$A:$A, "&lt;="&amp;($B$5-7), Sales_Category!$B:$B, "No Sales Category Assigned"), 0)</f>
        <v>0</v>
      </c>
      <c r="D16" s="19">
        <f>IFERROR(SUMIFS(Sales_Category!$D:$D, Sales_Category!$A:$A, "&gt;="&amp;IF(ISNUMBER($B$4), (IF(ISNUMBER($B$4),DATE(YEAR($B$4-WEEKDAY($B$4,2)+4)-1,1,4)-WEEKDAY(DATE(YEAR($B$4-WEEKDAY($B$4,2)+4)-1,1,4),2)+1+7*(WEEKNUM($B$4-WEEKDAY($B$4,2)+4,2)-1),"")), ""), Sales_Category!$A:$A, "&lt;="&amp;IF(ISNUMBER($B$5), (IF(ISNUMBER($B$5),DATE(YEAR($B$5-WEEKDAY($B$5,2)+4)-1,1,4)-WEEKDAY(DATE(YEAR($B$5-WEEKDAY($B$5,2)+4)-1,1,4),2)+1+7*(WEEKNUM($B$5-WEEKDAY($B$5,2)+4,2)-1)+6,"")), ""), Sales_Category!$B:$B, "No Sales Category Assigned"), 0)</f>
        <v>0</v>
      </c>
      <c r="E16" s="2">
        <v>0</v>
      </c>
      <c r="F16" s="2">
        <f>IFERROR(B16/SUMIFS(Sales_Category!$D:$D, Sales_Category!$A:$A, "&gt;="&amp;$B$4, Sales_Category!$A:$A, "&lt;="&amp;$B$5), 0)</f>
        <v>9.9980281666671314E-4</v>
      </c>
      <c r="G16" s="2">
        <f t="shared" si="0"/>
        <v>9.9980281666671314E-4</v>
      </c>
      <c r="H16" t="str">
        <f t="shared" si="1"/>
        <v>OFF</v>
      </c>
    </row>
    <row r="17" spans="1:8">
      <c r="A17" t="s">
        <v>25</v>
      </c>
      <c r="B17" s="19">
        <f t="shared" ref="B17:G17" si="2">SUM(B9:B16)</f>
        <v>7201.42</v>
      </c>
      <c r="C17" s="19">
        <f t="shared" si="2"/>
        <v>27470.019999999997</v>
      </c>
      <c r="D17" s="19">
        <f t="shared" si="2"/>
        <v>0</v>
      </c>
      <c r="E17" s="19">
        <f t="shared" si="2"/>
        <v>1</v>
      </c>
      <c r="F17" s="19">
        <f t="shared" si="2"/>
        <v>1</v>
      </c>
      <c r="G17" s="19">
        <f t="shared" si="2"/>
        <v>-3.0357660829594124E-18</v>
      </c>
    </row>
    <row r="19" spans="1:8" ht="15.6" customHeight="1">
      <c r="A19" s="27" t="s">
        <v>34</v>
      </c>
      <c r="B19" s="25"/>
      <c r="C19" s="25"/>
      <c r="D19" s="25"/>
      <c r="E19" s="25"/>
      <c r="F19" s="25"/>
      <c r="G19" s="25"/>
      <c r="H19" s="25"/>
    </row>
    <row r="20" spans="1:8">
      <c r="A20" s="7" t="s">
        <v>14</v>
      </c>
      <c r="B20" s="7" t="s">
        <v>15</v>
      </c>
      <c r="C20" s="7" t="s">
        <v>16</v>
      </c>
      <c r="D20" s="7" t="s">
        <v>35</v>
      </c>
      <c r="E20" s="7" t="s">
        <v>18</v>
      </c>
      <c r="F20" s="7" t="s">
        <v>19</v>
      </c>
      <c r="G20" s="7" t="s">
        <v>21</v>
      </c>
    </row>
    <row r="21" spans="1:8">
      <c r="A21" t="s">
        <v>36</v>
      </c>
      <c r="B21" s="19">
        <f>IFERROR(SUMIFS(COGS_Input!$G:$G, COGS_Input!$A:$A, "&gt;="&amp;$B$4, COGS_Input!$A:$A, "&lt;="&amp;$B$5, COGS_Input!$B:$B, "Food + NA Beverage"), 0)</f>
        <v>66</v>
      </c>
      <c r="C21" s="19">
        <f>IFERROR(SUMIFS(COGS_Input!$G:$G, COGS_Input!$A:$A, "&gt;="&amp;($B$4-7), COGS_Input!$A:$A, "&lt;="&amp;($B$5-7), COGS_Input!$B:$B, "Food + NA Beverage"), 0)</f>
        <v>0</v>
      </c>
      <c r="D21" s="19">
        <f>IFERROR(SUMIFS(COGS_Input!$G:$G, COGS_Input!$A:$A, "&gt;="&amp;IF(ISNUMBER($B$4), (IF(ISNUMBER($B$4),DATE(YEAR($B$4-WEEKDAY($B$4,2)+4)-1,1,4)-WEEKDAY(DATE(YEAR($B$4-WEEKDAY($B$4,2)+4)-1,1,4),2)+1+7*(WEEKNUM($B$4-WEEKDAY($B$4,2)+4,2)-1),"")), ""), COGS_Input!$A:$A, "&lt;="&amp;IF(ISNUMBER($B$5), (IF(ISNUMBER($B$5),DATE(YEAR($B$5-WEEKDAY($B$5,2)+4)-1,1,4)-WEEKDAY(DATE(YEAR($B$5-WEEKDAY($B$5,2)+4)-1,1,4),2)+1+7*(WEEKNUM($B$5-WEEKDAY($B$5,2)+4,2)-1)+6,"")), ""), COGS_Input!$B:$B, "Food + NA Beverage"), 0)</f>
        <v>0</v>
      </c>
      <c r="E21" s="2">
        <v>0.25</v>
      </c>
      <c r="F21" s="2">
        <f>IFERROR(B21/SUMIFS(Sales_Category!$D:$D, Sales_Category!$A:$A, "&gt;="&amp;$B$4, Sales_Category!$A:$A, "&lt;="&amp;$B$5, Sales_Category!$B:$B, "Food"), 0)</f>
        <v>3.6191353556623021E-2</v>
      </c>
      <c r="G21" t="str">
        <f>IF(AND(F21&lt;&gt;"", E21&lt;&gt;""), IF(F21&lt;=E21*1.05, "OK", IF(F21&lt;=E21*1.15, "WARNING", "OFF")), "")</f>
        <v>OK</v>
      </c>
    </row>
    <row r="22" spans="1:8">
      <c r="A22" t="s">
        <v>37</v>
      </c>
      <c r="B22" s="19">
        <f>IFERROR(SUMIFS(COGS_Input!$G:$G, COGS_Input!$A:$A, "&gt;="&amp;$B$4, COGS_Input!$A:$A, "&lt;="&amp;$B$5, COGS_Input!$B:$B, "Liquor + Wine"), 0)</f>
        <v>0</v>
      </c>
      <c r="C22" s="19">
        <f>IFERROR(SUMIFS(COGS_Input!$G:$G, COGS_Input!$A:$A, "&gt;="&amp;($B$4-7), COGS_Input!$A:$A, "&lt;="&amp;($B$5-7), COGS_Input!$B:$B, "Liquor + Wine"), 0)</f>
        <v>0</v>
      </c>
      <c r="D22" s="19">
        <f>IFERROR(SUMIFS(COGS_Input!$G:$G, COGS_Input!$A:$A, "&gt;="&amp;IF(ISNUMBER($B$4), (IF(ISNUMBER($B$4),DATE(YEAR($B$4-WEEKDAY($B$4,2)+4)-1,1,4)-WEEKDAY(DATE(YEAR($B$4-WEEKDAY($B$4,2)+4)-1,1,4),2)+1+7*(WEEKNUM($B$4-WEEKDAY($B$4,2)+4,2)-1),"")), ""), COGS_Input!$A:$A, "&lt;="&amp;IF(ISNUMBER($B$5), (IF(ISNUMBER($B$5),DATE(YEAR($B$5-WEEKDAY($B$5,2)+4)-1,1,4)-WEEKDAY(DATE(YEAR($B$5-WEEKDAY($B$5,2)+4)-1,1,4),2)+1+7*(WEEKNUM($B$5-WEEKDAY($B$5,2)+4,2)-1)+6,"")), ""), COGS_Input!$B:$B, "Liquor + Wine"), 0)</f>
        <v>0</v>
      </c>
      <c r="E22" s="2">
        <v>0.12</v>
      </c>
      <c r="F22" s="2">
        <f>IFERROR(B22/SUMIFS(Sales_Category!$D:$D, Sales_Category!$A:$A, "&gt;="&amp;$B$4, Sales_Category!$A:$A, "&lt;="&amp;$B$5, Sales_Category!$B:$B, "Liquor"), 0)</f>
        <v>0</v>
      </c>
      <c r="G22" t="str">
        <f>IF(AND(F22&lt;&gt;"", E22&lt;&gt;""), IF(F22&lt;=E22*1.05, "OK", IF(F22&lt;=E22*1.15, "WARNING", "OFF")), "")</f>
        <v>OK</v>
      </c>
    </row>
    <row r="23" spans="1:8">
      <c r="A23" t="s">
        <v>38</v>
      </c>
      <c r="B23" s="19">
        <f>IFERROR(SUMIFS(COGS_Input!$G:$G, COGS_Input!$A:$A, "&gt;="&amp;$B$4, COGS_Input!$A:$A, "&lt;="&amp;$B$5, COGS_Input!$B:$B, "Beer"), 0)</f>
        <v>0</v>
      </c>
      <c r="C23" s="19">
        <f>IFERROR(SUMIFS(COGS_Input!$G:$G, COGS_Input!$A:$A, "&gt;="&amp;($B$4-7), COGS_Input!$A:$A, "&lt;="&amp;($B$5-7), COGS_Input!$B:$B, "Beer"), 0)</f>
        <v>0</v>
      </c>
      <c r="D23" s="19">
        <f>IFERROR(SUMIFS(COGS_Input!$G:$G, COGS_Input!$A:$A, "&gt;="&amp;IF(ISNUMBER($B$4), (IF(ISNUMBER($B$4),DATE(YEAR($B$4-WEEKDAY($B$4,2)+4)-1,1,4)-WEEKDAY(DATE(YEAR($B$4-WEEKDAY($B$4,2)+4)-1,1,4),2)+1+7*(WEEKNUM($B$4-WEEKDAY($B$4,2)+4,2)-1),"")), ""), COGS_Input!$A:$A, "&lt;="&amp;IF(ISNUMBER($B$5), (IF(ISNUMBER($B$5),DATE(YEAR($B$5-WEEKDAY($B$5,2)+4)-1,1,4)-WEEKDAY(DATE(YEAR($B$5-WEEKDAY($B$5,2)+4)-1,1,4),2)+1+7*(WEEKNUM($B$5-WEEKDAY($B$5,2)+4,2)-1)+6,"")), ""), COGS_Input!$B:$B, "Beer"), 0)</f>
        <v>0</v>
      </c>
      <c r="E23" s="2">
        <v>0.15</v>
      </c>
      <c r="F23" s="2">
        <f>IFERROR(B23/SUMIFS(Sales_Category!$D:$D, Sales_Category!$A:$A, "&gt;="&amp;$B$4, Sales_Category!$A:$A, "&lt;="&amp;$B$5, Sales_Category!$B:$B, "Bottled Beer"), 0)</f>
        <v>0</v>
      </c>
      <c r="G23" t="str">
        <f>IF(AND(F23&lt;&gt;"", E23&lt;&gt;""), IF(F23&lt;=E23*1.05, "OK", IF(F23&lt;=E23*1.15, "WARNING", "OFF")), "")</f>
        <v>OK</v>
      </c>
    </row>
    <row r="24" spans="1:8">
      <c r="A24" t="s">
        <v>39</v>
      </c>
      <c r="B24" s="19">
        <f>IFERROR(SUMIFS(COGS_Input!$G:$G, COGS_Input!$A:$A, "&gt;="&amp;$B$4, COGS_Input!$A:$A, "&lt;="&amp;$B$5, COGS_Input!$B:$B, "Retail"), 0)</f>
        <v>0</v>
      </c>
      <c r="C24" s="19">
        <f>IFERROR(SUMIFS(COGS_Input!$G:$G, COGS_Input!$A:$A, "&gt;="&amp;($B$4-7), COGS_Input!$A:$A, "&lt;="&amp;($B$5-7), COGS_Input!$B:$B, "Retail"), 0)</f>
        <v>0</v>
      </c>
      <c r="D24" s="19">
        <f>IFERROR(SUMIFS(COGS_Input!$G:$G, COGS_Input!$A:$A, "&gt;="&amp;IF(ISNUMBER($B$4), (IF(ISNUMBER($B$4),DATE(YEAR($B$4-WEEKDAY($B$4,2)+4)-1,1,4)-WEEKDAY(DATE(YEAR($B$4-WEEKDAY($B$4,2)+4)-1,1,4),2)+1+7*(WEEKNUM($B$4-WEEKDAY($B$4,2)+4,2)-1),"")), ""), COGS_Input!$A:$A, "&lt;="&amp;IF(ISNUMBER($B$5), (IF(ISNUMBER($B$5),DATE(YEAR($B$5-WEEKDAY($B$5,2)+4)-1,1,4)-WEEKDAY(DATE(YEAR($B$5-WEEKDAY($B$5,2)+4)-1,1,4),2)+1+7*(WEEKNUM($B$5-WEEKDAY($B$5,2)+4,2)-1)+6,"")), ""), COGS_Input!$B:$B, "Retail"), 0)</f>
        <v>0</v>
      </c>
      <c r="E24" s="2">
        <v>0</v>
      </c>
      <c r="F24" s="2">
        <f>IFERROR(B24/SUMIFS(Sales_Category!$D:$D, Sales_Category!$A:$A, "&gt;="&amp;$B$4, Sales_Category!$A:$A, "&lt;="&amp;$B$5, Sales_Category!$B:$B, "Retail"), 0)</f>
        <v>0</v>
      </c>
      <c r="G24" t="str">
        <f>IF(AND(F24&lt;&gt;"", E24&lt;&gt;""), IF(F24&lt;=E24*1.05, "OK", IF(F24&lt;=E24*1.15, "WARNING", "OFF")), "")</f>
        <v>OK</v>
      </c>
    </row>
    <row r="25" spans="1:8">
      <c r="A25" t="s">
        <v>40</v>
      </c>
      <c r="B25" s="19">
        <f>IFERROR(SUMIFS(COGS_Input!$G:$G, COGS_Input!$A:$A, "&gt;="&amp;$B$4, COGS_Input!$A:$A, "&lt;="&amp;$B$5), 0)</f>
        <v>66</v>
      </c>
      <c r="C25" s="19">
        <f>IFERROR(SUMIFS(COGS_Input!$G:$G, COGS_Input!$A:$A, "&gt;="&amp;($B$4-7), COGS_Input!$A:$A, "&lt;="&amp;($B$5-7)), 0)</f>
        <v>0</v>
      </c>
      <c r="D25" s="19">
        <f>IFERROR(SUMIFS(COGS_Input!$G:$G, COGS_Input!$A:$A, "&gt;="&amp;IF(ISNUMBER($B$4), (IF(ISNUMBER($B$4),DATE(YEAR($B$4-WEEKDAY($B$4,2)+4)-1,1,4)-WEEKDAY(DATE(YEAR($B$4-WEEKDAY($B$4,2)+4)-1,1,4),2)+1+7*(WEEKNUM($B$4-WEEKDAY($B$4,2)+4,2)-1),"")), ""), COGS_Input!$A:$A, "&lt;="&amp;IF(ISNUMBER($B$5), (IF(ISNUMBER($B$5),DATE(YEAR($B$5-WEEKDAY($B$5,2)+4)-1,1,4)-WEEKDAY(DATE(YEAR($B$5-WEEKDAY($B$5,2)+4)-1,1,4),2)+1+7*(WEEKNUM($B$5-WEEKDAY($B$5,2)+4,2)-1)+6,"")), "")), 0)</f>
        <v>0</v>
      </c>
      <c r="E25" s="2">
        <v>0.15</v>
      </c>
      <c r="F25" s="2">
        <f>IFERROR(B25/SUMIFS(Sales_Category!$D:$D, Sales_Category!$A:$A, "&gt;="&amp;$B$4, Sales_Category!$A:$A, "&lt;="&amp;$B$5), 0)</f>
        <v>9.1648591527782024E-3</v>
      </c>
      <c r="G25" t="str">
        <f>IF(AND(F25&lt;&gt;"", E25&lt;&gt;""), IF(F25&lt;=E25*1.05, "OK", IF(F25&lt;=E25*1.15, "WARNING", "OFF")), "")</f>
        <v>OK</v>
      </c>
    </row>
    <row r="28" spans="1:8" ht="15.6" customHeight="1">
      <c r="A28" s="26" t="s">
        <v>41</v>
      </c>
      <c r="B28" s="25"/>
      <c r="C28" s="25"/>
      <c r="D28" s="25"/>
      <c r="E28" s="25"/>
      <c r="F28" s="25"/>
      <c r="G28" s="25"/>
      <c r="H28" s="25"/>
    </row>
    <row r="29" spans="1:8">
      <c r="A29" s="8" t="s">
        <v>14</v>
      </c>
      <c r="B29" s="8" t="s">
        <v>15</v>
      </c>
      <c r="C29" s="8" t="s">
        <v>16</v>
      </c>
      <c r="D29" s="8" t="s">
        <v>35</v>
      </c>
      <c r="E29" s="8" t="s">
        <v>18</v>
      </c>
      <c r="F29" s="8" t="s">
        <v>19</v>
      </c>
      <c r="G29" s="8" t="s">
        <v>21</v>
      </c>
    </row>
    <row r="30" spans="1:8">
      <c r="A30" t="s">
        <v>42</v>
      </c>
      <c r="B30" s="19">
        <f>IFERROR(SUMIFS(Labor_Input!$J:$J, Labor_Input!$A:$A, "&gt;="&amp;$B$4, Labor_Input!$A:$A, "&lt;="&amp;$B$5, Labor_Input!$D:$D, "FOH"), 0)</f>
        <v>0</v>
      </c>
      <c r="C30">
        <f>IFERROR(SUMIFS(Labor_Input!$J:$J, Labor_Input!$A:$A, "&gt;="&amp;($B$4-7), Labor_Input!$A:$A, "&lt;="&amp;($B$5-7), Labor_Input!$D:$D, "FOH"), 0)</f>
        <v>0</v>
      </c>
      <c r="D30">
        <f>IFERROR(SUMIFS(Labor_Input!$J:$J, Labor_Input!$A:$A, "&gt;="&amp;(IF(ISNUMBER($B$4),DATE(YEAR($B$4-WEEKDAY($B$4,2)+4)-1,1,4)-WEEKDAY(DATE(YEAR($B$4-WEEKDAY($B$4,2)+4)-1,1,4),2)+1+7*(WEEKNUM($B$4-WEEKDAY($B$4,2)+4,2)-1),"")), Labor_Input!$A:$A, "&lt;="&amp;(IF(ISNUMBER($B$5),DATE(YEAR($B$5-WEEKDAY($B$5,2)+4)-1,1,4)-WEEKDAY(DATE(YEAR($B$5-WEEKDAY($B$5,2)+4)-1,1,4),2)+1+7*(WEEKNUM($B$5-WEEKDAY($B$5,2)+4,2)-1)+6,"")), Labor_Input!$D:$D, "FOH"), 0)</f>
        <v>0</v>
      </c>
      <c r="E30" s="2">
        <v>0.1</v>
      </c>
      <c r="F30" s="2"/>
      <c r="G30" t="str">
        <f t="shared" ref="G30:G37" si="3">IF(AND(F30&lt;&gt;"", E30&lt;&gt;""), IF(F30&lt;=E30*1.05, "OK", IF(F30&lt;=E30*1.15, "WARNING", "OFF")), "")</f>
        <v/>
      </c>
    </row>
    <row r="31" spans="1:8">
      <c r="A31" t="s">
        <v>43</v>
      </c>
      <c r="B31" s="19">
        <f>IFERROR(SUMIFS(Labor_Input!$J:$J, Labor_Input!$A:$A, "&gt;="&amp;$B$4, Labor_Input!$A:$A, "&lt;="&amp;$B$5, Labor_Input!$D:$D, "BOH"), 0)</f>
        <v>0</v>
      </c>
      <c r="C31">
        <f>IFERROR(SUMIFS(Labor_Input!$J:$J, Labor_Input!$A:$A, "&gt;="&amp;($B$4-7), Labor_Input!$A:$A, "&lt;="&amp;($B$5-7), Labor_Input!$D:$D, "BOH"), 0)</f>
        <v>0</v>
      </c>
      <c r="D31">
        <f>IFERROR(SUMIFS(Labor_Input!$J:$J, Labor_Input!$A:$A, "&gt;="&amp;(IF(ISNUMBER($B$4),DATE(YEAR($B$4-WEEKDAY($B$4,2)+4)-1,1,4)-WEEKDAY(DATE(YEAR($B$4-WEEKDAY($B$4,2)+4)-1,1,4),2)+1+7*(WEEKNUM($B$4-WEEKDAY($B$4,2)+4,2)-1),"")), Labor_Input!$A:$A, "&lt;="&amp;(IF(ISNUMBER($B$5),DATE(YEAR($B$5-WEEKDAY($B$5,2)+4)-1,1,4)-WEEKDAY(DATE(YEAR($B$5-WEEKDAY($B$5,2)+4)-1,1,4),2)+1+7*(WEEKNUM($B$5-WEEKDAY($B$5,2)+4,2)-1)+6,"")), Labor_Input!$D:$D, "BOH"), 0)</f>
        <v>0</v>
      </c>
      <c r="E31" s="2">
        <v>0.1</v>
      </c>
      <c r="F31" s="2"/>
      <c r="G31" t="str">
        <f t="shared" si="3"/>
        <v/>
      </c>
    </row>
    <row r="32" spans="1:8">
      <c r="A32" t="s">
        <v>44</v>
      </c>
      <c r="B32" s="19">
        <f>IFERROR(SUMIFS(Labor_Input!$J:$J, Labor_Input!$A:$A, "&gt;="&amp;$B$4, Labor_Input!$A:$A, "&lt;="&amp;$B$5, Labor_Input!$D:$D, "Management"), 0)</f>
        <v>0</v>
      </c>
      <c r="C32">
        <f>IFERROR(SUMIFS(Labor_Input!$J:$J, Labor_Input!$A:$A, "&gt;="&amp;($B$4-7), Labor_Input!$A:$A, "&lt;="&amp;($B$5-7), Labor_Input!$D:$D, "Management"), 0)</f>
        <v>0</v>
      </c>
      <c r="D32">
        <f>IFERROR(SUMIFS(Labor_Input!$J:$J, Labor_Input!$A:$A, "&gt;="&amp;(IF(ISNUMBER($B$4),DATE(YEAR($B$4-WEEKDAY($B$4,2)+4)-1,1,4)-WEEKDAY(DATE(YEAR($B$4-WEEKDAY($B$4,2)+4)-1,1,4),2)+1+7*(WEEKNUM($B$4-WEEKDAY($B$4,2)+4,2)-1),"")), Labor_Input!$A:$A, "&lt;="&amp;(IF(ISNUMBER($B$5),DATE(YEAR($B$5-WEEKDAY($B$5,2)+4)-1,1,4)-WEEKDAY(DATE(YEAR($B$5-WEEKDAY($B$5,2)+4)-1,1,4),2)+1+7*(WEEKNUM($B$5-WEEKDAY($B$5,2)+4,2)-1)+6,"")), Labor_Input!$D:$D, "Management"), 0)</f>
        <v>0</v>
      </c>
      <c r="E32" s="2">
        <v>0.1</v>
      </c>
      <c r="F32" s="2"/>
      <c r="G32" t="str">
        <f t="shared" si="3"/>
        <v/>
      </c>
    </row>
    <row r="33" spans="1:7">
      <c r="A33" t="s">
        <v>45</v>
      </c>
      <c r="B33" s="19">
        <f>IFERROR(SUMIFS(Labor_Input!$J:$J, Labor_Input!$A:$A, "&gt;="&amp;$B$4, Labor_Input!$A:$A, "&lt;="&amp;$B$5, Labor_Input!$D:$D, "Security"), 0)</f>
        <v>0</v>
      </c>
      <c r="C33">
        <f>IFERROR(SUMIFS(Labor_Input!$J:$J, Labor_Input!$A:$A, "&gt;="&amp;($B$4-7), Labor_Input!$A:$A, "&lt;="&amp;($B$5-7), Labor_Input!$D:$D, "Security"), 0)</f>
        <v>0</v>
      </c>
      <c r="D33">
        <f>IFERROR(SUMIFS(Labor_Input!$J:$J, Labor_Input!$A:$A, "&gt;="&amp;(IF(ISNUMBER($B$4),DATE(YEAR($B$4-WEEKDAY($B$4,2)+4)-1,1,4)-WEEKDAY(DATE(YEAR($B$4-WEEKDAY($B$4,2)+4)-1,1,4),2)+1+7*(WEEKNUM($B$4-WEEKDAY($B$4,2)+4,2)-1),"")), Labor_Input!$A:$A, "&lt;="&amp;(IF(ISNUMBER($B$5),DATE(YEAR($B$5-WEEKDAY($B$5,2)+4)-1,1,4)-WEEKDAY(DATE(YEAR($B$5-WEEKDAY($B$5,2)+4)-1,1,4),2)+1+7*(WEEKNUM($B$5-WEEKDAY($B$5,2)+4,2)-1)+6,"")), Labor_Input!$D:$D, "Security"), 0)</f>
        <v>0</v>
      </c>
      <c r="E33" s="2">
        <v>0</v>
      </c>
      <c r="F33" s="2"/>
      <c r="G33" t="str">
        <f t="shared" si="3"/>
        <v/>
      </c>
    </row>
    <row r="34" spans="1:7">
      <c r="A34" t="s">
        <v>46</v>
      </c>
      <c r="B34" s="19">
        <f>IFERROR((SUMIFS(Labor_Input!$J:$J, Labor_Input!$A:$A, "&gt;="&amp;$B$4, Labor_Input!$A:$A, "&lt;="&amp;$B$5, Labor_Input!$D:$D, "FOH") + SUMIFS(Labor_Input!$J:$J, Labor_Input!$A:$A, "&gt;="&amp;$B$4, Labor_Input!$A:$A, "&lt;="&amp;$B$5, Labor_Input!$D:$D, "BOH") + SUMIFS(Labor_Input!$J:$J, Labor_Input!$A:$A, "&gt;="&amp;$B$4, Labor_Input!$A:$A, "&lt;="&amp;$B$5, Labor_Input!$D:$D, "Management")) * 0.15, 0)</f>
        <v>0</v>
      </c>
      <c r="C34">
        <f>IFERROR((SUMIFS(Labor_Input!$J:$J, Labor_Input!$A:$A, "&gt;="&amp;($B$4-7), Labor_Input!$A:$A, "&lt;="&amp;($B$5-7), Labor_Input!$D:$D, "FOH") + SUMIFS(Labor_Input!$J:$J, Labor_Input!$A:$A, "&gt;="&amp;($B$4-7), Labor_Input!$A:$A, "&lt;="&amp;($B$5-7), Labor_Input!$D:$D, "BOH") + SUMIFS(Labor_Input!$J:$J, Labor_Input!$A:$A, "&gt;="&amp;($B$4-7), Labor_Input!$A:$A, "&lt;="&amp;($B$5-7), Labor_Input!$D:$D, "Management")) * 0.15, 0)</f>
        <v>0</v>
      </c>
      <c r="D34">
        <f>IFERROR((SUMIFS(Labor_Input!$J:$J, Labor_Input!$A:$A, "&gt;="&amp;(IF(ISNUMBER($B$4),DATE(YEAR($B$4-WEEKDAY($B$4,2)+4)-1,1,4)-WEEKDAY(DATE(YEAR($B$4-WEEKDAY($B$4,2)+4)-1,1,4),2)+1+7*(WEEKNUM($B$4-WEEKDAY($B$4,2)+4,2)-1),"")), Labor_Input!$A:$A, "&lt;="&amp;(IF(ISNUMBER($B$5),DATE(YEAR($B$5-WEEKDAY($B$5,2)+4)-1,1,4)-WEEKDAY(DATE(YEAR($B$5-WEEKDAY($B$5,2)+4)-1,1,4),2)+1+7*(WEEKNUM($B$5-WEEKDAY($B$5,2)+4,2)-1)+6,"")), Labor_Input!$D:$D, "FOH") + SUMIFS(Labor_Input!$J:$J, Labor_Input!$A:$A, "&gt;="&amp;(IF(ISNUMBER($B$4),DATE(YEAR($B$4-WEEKDAY($B$4,2)+4)-1,1,4)-WEEKDAY(DATE(YEAR($B$4-WEEKDAY($B$4,2)+4)-1,1,4),2)+1+7*(WEEKNUM($B$4-WEEKDAY($B$4,2)+4,2)-1),"")), Labor_Input!$A:$A, "&lt;="&amp;(IF(ISNUMBER($B$5),DATE(YEAR($B$5-WEEKDAY($B$5,2)+4)-1,1,4)-WEEKDAY(DATE(YEAR($B$5-WEEKDAY($B$5,2)+4)-1,1,4),2)+1+7*(WEEKNUM($B$5-WEEKDAY($B$5,2)+4,2)-1)+6,"")), Labor_Input!$D:$D, "BOH") + SUMIFS(Labor_Input!$J:$J, Labor_Input!$A:$A, "&gt;="&amp;(IF(ISNUMBER($B$4),DATE(YEAR($B$4-WEEKDAY($B$4,2)+4)-1,1,4)-WEEKDAY(DATE(YEAR($B$4-WEEKDAY($B$4,2)+4)-1,1,4),2)+1+7*(WEEKNUM($B$4-WEEKDAY($B$4,2)+4,2)-1),"")), Labor_Input!$A:$A, "&lt;="&amp;(IF(ISNUMBER($B$5),DATE(YEAR($B$5-WEEKDAY($B$5,2)+4)-1,1,4)-WEEKDAY(DATE(YEAR($B$5-WEEKDAY($B$5,2)+4)-1,1,4),2)+1+7*(WEEKNUM($B$5-WEEKDAY($B$5,2)+4,2)-1)+6,"")), Labor_Input!$D:$D, "Management")) * 0.15, 0)</f>
        <v>0</v>
      </c>
      <c r="E34" s="2">
        <v>0</v>
      </c>
      <c r="F34" s="2"/>
      <c r="G34" t="str">
        <f t="shared" si="3"/>
        <v/>
      </c>
    </row>
    <row r="35" spans="1:7">
      <c r="A35" t="s">
        <v>47</v>
      </c>
      <c r="B35" s="19">
        <f>IFERROR(SUMIFS(Labor_Input!$J:$J, Labor_Input!$A:$A, "&gt;="&amp;$B$4, Labor_Input!$A:$A, "&lt;="&amp;$B$5, Labor_Input!$D:$D, "Compensation"), 0)</f>
        <v>0</v>
      </c>
      <c r="C35">
        <f>IFERROR(SUMIFS(Labor_Input!$J:$J, Labor_Input!$A:$A, "&gt;="&amp;($B$4-7), Labor_Input!$A:$A, "&lt;="&amp;($B$5-7), Labor_Input!$D:$D, "Compensation"), 0)</f>
        <v>0</v>
      </c>
      <c r="D35">
        <f>IFERROR(SUMIFS(Labor_Input!$J:$J, Labor_Input!$A:$A, "&gt;="&amp;(IF(ISNUMBER($B$4),DATE(YEAR($B$4-WEEKDAY($B$4,2)+4)-1,1,4)-WEEKDAY(DATE(YEAR($B$4-WEEKDAY($B$4,2)+4)-1,1,4),2)+1+7*(WEEKNUM($B$4-WEEKDAY($B$4,2)+4,2)-1),"")), Labor_Input!$A:$A, "&lt;="&amp;(IF(ISNUMBER($B$5),DATE(YEAR($B$5-WEEKDAY($B$5,2)+4)-1,1,4)-WEEKDAY(DATE(YEAR($B$5-WEEKDAY($B$5,2)+4)-1,1,4),2)+1+7*(WEEKNUM($B$5-WEEKDAY($B$5,2)+4,2)-1)+6,"")), Labor_Input!$D:$D, "Compensation"), 0)</f>
        <v>0</v>
      </c>
      <c r="E35" s="2">
        <v>0</v>
      </c>
      <c r="F35" s="2"/>
      <c r="G35" t="str">
        <f t="shared" si="3"/>
        <v/>
      </c>
    </row>
    <row r="36" spans="1:7">
      <c r="A36" t="s">
        <v>48</v>
      </c>
      <c r="B36" s="19">
        <f>IFERROR(SUMIFS(Labor_Input!$J:$J, Labor_Input!$A:$A, "&gt;="&amp;$B$4, Labor_Input!$A:$A, "&lt;="&amp;$B$5, Labor_Input!$D:$D, "Other"), 0)</f>
        <v>0</v>
      </c>
      <c r="C36">
        <f>IFERROR(SUMIFS(Labor_Input!$J:$J, Labor_Input!$A:$A, "&gt;="&amp;($B$4-7), Labor_Input!$A:$A, "&lt;="&amp;($B$5-7), Labor_Input!$D:$D, "Other"), 0)</f>
        <v>0</v>
      </c>
      <c r="D36">
        <f>IFERROR(SUMIFS(Labor_Input!$J:$J, Labor_Input!$A:$A, "&gt;="&amp;(IF(ISNUMBER($B$4),DATE(YEAR($B$4-WEEKDAY($B$4,2)+4)-1,1,4)-WEEKDAY(DATE(YEAR($B$4-WEEKDAY($B$4,2)+4)-1,1,4),2)+1+7*(WEEKNUM($B$4-WEEKDAY($B$4,2)+4,2)-1),"")), Labor_Input!$A:$A, "&lt;="&amp;(IF(ISNUMBER($B$5),DATE(YEAR($B$5-WEEKDAY($B$5,2)+4)-1,1,4)-WEEKDAY(DATE(YEAR($B$5-WEEKDAY($B$5,2)+4)-1,1,4),2)+1+7*(WEEKNUM($B$5-WEEKDAY($B$5,2)+4,2)-1)+6,"")), Labor_Input!$D:$D, "Other"), 0)</f>
        <v>0</v>
      </c>
      <c r="E36" s="2">
        <v>0</v>
      </c>
      <c r="F36" s="2"/>
      <c r="G36" t="str">
        <f t="shared" si="3"/>
        <v/>
      </c>
    </row>
    <row r="37" spans="1:7">
      <c r="A37" t="s">
        <v>49</v>
      </c>
      <c r="B37" s="19">
        <f>IFERROR(SUMIFS(Labor_Input!$J:$J, Labor_Input!$A:$A, "&gt;="&amp;$B$4, Labor_Input!$A:$A, "&lt;="&amp;$B$5), 0)</f>
        <v>0</v>
      </c>
      <c r="C37">
        <f>IFERROR(SUMIFS(Labor_Input!$J:$J, Labor_Input!$A:$A, "&gt;="&amp;($B$4-7), Labor_Input!$A:$A, "&lt;="&amp;($B$5-7)), 0)</f>
        <v>0</v>
      </c>
      <c r="D37">
        <f>IFERROR(SUMIFS(Labor_Input!$J:$J, Labor_Input!$A:$A, "&gt;="&amp;(IF(ISNUMBER($B$4),DATE(YEAR($B$4-WEEKDAY($B$4,2)+4)-1,1,4)-WEEKDAY(DATE(YEAR($B$4-WEEKDAY($B$4,2)+4)-1,1,4),2)+1+7*(WEEKNUM($B$4-WEEKDAY($B$4,2)+4,2)-1),"")), Labor_Input!$A:$A, "&lt;="&amp;(IF(ISNUMBER($B$5),DATE(YEAR($B$5-WEEKDAY($B$5,2)+4)-1,1,4)-WEEKDAY(DATE(YEAR($B$5-WEEKDAY($B$5,2)+4)-1,1,4),2)+1+7*(WEEKNUM($B$5-WEEKDAY($B$5,2)+4,2)-1)+6,""))), 0)</f>
        <v>0</v>
      </c>
      <c r="E37" s="2">
        <v>0.25</v>
      </c>
      <c r="F37" s="2">
        <f>IFERROR(B37/SUMIFS(Sales_Category!$D:$D, Sales_Category!$A:$A, "&gt;="&amp;$B$4, Sales_Category!$A:$A, "&lt;="&amp;$B$5), 0)</f>
        <v>0</v>
      </c>
      <c r="G37" t="str">
        <f t="shared" si="3"/>
        <v>OK</v>
      </c>
    </row>
    <row r="40" spans="1:7" ht="15.6" customHeight="1">
      <c r="A40" s="30" t="s">
        <v>50</v>
      </c>
      <c r="B40" s="25"/>
      <c r="C40" s="25"/>
      <c r="D40" s="25"/>
      <c r="E40" s="25"/>
    </row>
    <row r="41" spans="1:7">
      <c r="A41" s="9" t="s">
        <v>51</v>
      </c>
      <c r="B41" s="9" t="s">
        <v>15</v>
      </c>
      <c r="C41" s="9" t="s">
        <v>18</v>
      </c>
      <c r="D41" s="9" t="s">
        <v>19</v>
      </c>
      <c r="E41" s="9" t="s">
        <v>21</v>
      </c>
    </row>
    <row r="42" spans="1:7">
      <c r="A42" t="s">
        <v>12</v>
      </c>
      <c r="B42" s="19">
        <f>IFERROR(SUMIFS(COGS_Input!$G:$G, COGS_Input!$A:$A, "&gt;="&amp;$B$4, COGS_Input!$A:$A, "&lt;="&amp;$B$5) + SUMIFS(Labor_Input!$J:$J, Labor_Input!$A:$A, "&gt;="&amp;$B$4, Labor_Input!$A:$A, "&lt;="&amp;$B$5), 0)</f>
        <v>66</v>
      </c>
      <c r="C42" s="2">
        <v>0.45</v>
      </c>
      <c r="D42" s="2">
        <f>IFERROR(B42/SUMIFS(Sales_Category!$D:$D, Sales_Category!$A:$A, "&gt;="&amp;$B$4, Sales_Category!$A:$A, "&lt;="&amp;$B$5), 0)</f>
        <v>9.1648591527782024E-3</v>
      </c>
      <c r="E42" t="str">
        <f>IF(AND(D42&lt;&gt;"", C42&lt;&gt;""), IF(D42&lt;=C42*1.05, "OK", IF(D42&lt;=C42*1.15, "WARNING", "OFF")), "")</f>
        <v>OK</v>
      </c>
    </row>
    <row r="45" spans="1:7" ht="15.6" customHeight="1">
      <c r="A45" s="28" t="s">
        <v>52</v>
      </c>
      <c r="B45" s="25"/>
      <c r="C45" s="25"/>
      <c r="D45" s="25"/>
      <c r="E45" s="25"/>
    </row>
    <row r="46" spans="1:7">
      <c r="A46" t="s">
        <v>6</v>
      </c>
      <c r="B46" s="19">
        <f>SUMIFS(Sales_Category!$D:$D, Sales_Category!$A:$A, "&gt;="&amp;$B$4, Sales_Category!$A:$A, "&lt;="&amp;$B$5)</f>
        <v>7201.4199999999992</v>
      </c>
    </row>
    <row r="47" spans="1:7">
      <c r="A47" t="s">
        <v>53</v>
      </c>
      <c r="B47" s="19">
        <f>SUMIFS(Sales_Category!$G:$G, Sales_Category!$A:$A, "&gt;="&amp;$B$4, Sales_Category!$A:$A, "&lt;="&amp;$B$5)</f>
        <v>7877.8499999999995</v>
      </c>
    </row>
    <row r="48" spans="1:7">
      <c r="A48" t="s">
        <v>54</v>
      </c>
      <c r="B48" s="19">
        <f>SUMIFS(Sales_Category!$E:$E, Sales_Category!$A:$A, "&gt;="&amp;$B$4, Sales_Category!$A:$A, "&lt;="&amp;$B$5)</f>
        <v>676.43</v>
      </c>
    </row>
    <row r="49" spans="1:2">
      <c r="A49" t="s">
        <v>55</v>
      </c>
      <c r="B49" s="19">
        <f>SUMIFS(Sales_Category!$F:$F, Sales_Category!$A:$A, "&gt;="&amp;$B$4, Sales_Category!$A:$A, "&lt;="&amp;$B$5)</f>
        <v>0</v>
      </c>
    </row>
    <row r="50" spans="1:2">
      <c r="A50" t="s">
        <v>56</v>
      </c>
      <c r="B50" s="19">
        <f>SUMIFS(Sales_Category!$H:$H, Sales_Category!$A:$A, "&gt;="&amp;$B$4, Sales_Category!$A:$A, "&lt;="&amp;$B$5)</f>
        <v>1325.3799999999999</v>
      </c>
    </row>
  </sheetData>
  <mergeCells count="6">
    <mergeCell ref="A7:H7"/>
    <mergeCell ref="A28:H28"/>
    <mergeCell ref="A19:H19"/>
    <mergeCell ref="A45:E45"/>
    <mergeCell ref="A1:H1"/>
    <mergeCell ref="A40:E40"/>
  </mergeCells>
  <conditionalFormatting sqref="H9:H16">
    <cfRule type="expression" dxfId="2" priority="1">
      <formula>$H9="OK"</formula>
    </cfRule>
    <cfRule type="expression" dxfId="1" priority="2">
      <formula>$H9="WARNING"</formula>
    </cfRule>
    <cfRule type="expression" dxfId="0" priority="3">
      <formula>$H9="OFF"</formula>
    </cfRule>
  </conditionalFormatting>
  <dataValidations count="1">
    <dataValidation type="date" allowBlank="1" promptTitle="Select date" prompt="Pick a date" sqref="B4 B5">
      <formula1>DATE(2000,1,1)</formula1>
      <formula2>DATE(2099,12,31)</formula2>
    </dataValidation>
  </dataValidations>
  <pageMargins left="0.75" right="0.75" top="1" bottom="1" header="0.5" footer="0.5"/>
  <pageSetup orientation="portrait" horizontalDpi="1200" verticalDpi="12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69"/>
  <sheetViews>
    <sheetView workbookViewId="0">
      <pane ySplit="1" topLeftCell="A2" activePane="bottomLeft" state="frozen"/>
      <selection pane="bottomLeft" activeCell="C10" sqref="C10"/>
    </sheetView>
  </sheetViews>
  <sheetFormatPr defaultRowHeight="14.4"/>
  <cols>
    <col min="1" max="1" width="17.41796875" style="16" bestFit="1" customWidth="1"/>
    <col min="2" max="2" width="12.89453125" style="16" bestFit="1" customWidth="1"/>
    <col min="3" max="3" width="16.89453125" style="16" bestFit="1" customWidth="1"/>
    <col min="4" max="4" width="5.578125" style="16" bestFit="1" customWidth="1"/>
    <col min="5" max="5" width="7.26171875" style="16" bestFit="1" customWidth="1"/>
    <col min="6" max="7" width="7.68359375" style="16" bestFit="1" customWidth="1"/>
    <col min="8" max="8" width="11" style="16" bestFit="1" customWidth="1"/>
    <col min="9" max="9" width="7.3671875" style="16" bestFit="1" customWidth="1"/>
    <col min="10" max="10" width="10.7890625" style="16" bestFit="1" customWidth="1"/>
    <col min="11" max="11" width="10.3671875" style="16" bestFit="1" customWidth="1"/>
    <col min="12" max="12" width="8.68359375" style="16" bestFit="1" customWidth="1"/>
    <col min="13" max="13" width="11.9453125" style="16" bestFit="1" customWidth="1"/>
  </cols>
  <sheetData>
    <row r="1" spans="1:1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25</v>
      </c>
      <c r="M1" s="1" t="s">
        <v>68</v>
      </c>
    </row>
    <row r="2" spans="1:13">
      <c r="A2" s="17">
        <v>46032</v>
      </c>
      <c r="B2" t="s">
        <v>69</v>
      </c>
      <c r="D2">
        <v>22</v>
      </c>
      <c r="E2">
        <v>1031.7</v>
      </c>
      <c r="F2">
        <v>0</v>
      </c>
      <c r="G2">
        <v>64.63</v>
      </c>
      <c r="H2">
        <v>179.85</v>
      </c>
      <c r="I2">
        <v>0</v>
      </c>
      <c r="J2">
        <v>0</v>
      </c>
      <c r="K2">
        <v>0</v>
      </c>
      <c r="L2">
        <v>1096.33</v>
      </c>
      <c r="M2">
        <v>7.6</v>
      </c>
    </row>
    <row r="3" spans="1:13">
      <c r="A3" s="17">
        <v>46032</v>
      </c>
      <c r="B3" t="s">
        <v>70</v>
      </c>
      <c r="D3">
        <v>161</v>
      </c>
      <c r="E3">
        <v>6126.7</v>
      </c>
      <c r="F3">
        <v>504.41</v>
      </c>
      <c r="G3">
        <v>781.7</v>
      </c>
      <c r="H3">
        <v>964.16</v>
      </c>
      <c r="I3">
        <v>0</v>
      </c>
      <c r="J3">
        <v>0</v>
      </c>
      <c r="K3">
        <v>504.41</v>
      </c>
      <c r="L3">
        <v>7412.81</v>
      </c>
      <c r="M3">
        <v>24.8</v>
      </c>
    </row>
    <row r="4" spans="1:13">
      <c r="A4" s="17">
        <v>46032</v>
      </c>
      <c r="B4" t="s">
        <v>70</v>
      </c>
      <c r="C4" t="s">
        <v>71</v>
      </c>
      <c r="D4">
        <v>7</v>
      </c>
      <c r="E4">
        <v>301.45</v>
      </c>
      <c r="F4">
        <v>37.08</v>
      </c>
      <c r="G4">
        <v>41.58</v>
      </c>
      <c r="H4">
        <v>49.28</v>
      </c>
      <c r="I4">
        <v>0</v>
      </c>
      <c r="J4">
        <v>0</v>
      </c>
      <c r="K4">
        <v>37.08</v>
      </c>
      <c r="L4">
        <v>380.11</v>
      </c>
      <c r="M4">
        <v>31</v>
      </c>
    </row>
    <row r="5" spans="1:13">
      <c r="A5" s="17">
        <v>46032</v>
      </c>
      <c r="B5" t="s">
        <v>70</v>
      </c>
      <c r="C5" t="s">
        <v>72</v>
      </c>
      <c r="D5">
        <v>3</v>
      </c>
      <c r="E5">
        <v>68.83</v>
      </c>
      <c r="F5">
        <v>4.2</v>
      </c>
      <c r="G5">
        <v>7.43</v>
      </c>
      <c r="H5">
        <v>7.89</v>
      </c>
      <c r="I5">
        <v>0</v>
      </c>
      <c r="J5">
        <v>0</v>
      </c>
      <c r="K5">
        <v>4.2</v>
      </c>
      <c r="L5">
        <v>80.459999999999994</v>
      </c>
      <c r="M5">
        <v>19.100000000000001</v>
      </c>
    </row>
    <row r="6" spans="1:13">
      <c r="A6" s="17">
        <v>46032</v>
      </c>
      <c r="B6" t="s">
        <v>70</v>
      </c>
      <c r="C6" t="s">
        <v>73</v>
      </c>
      <c r="D6">
        <v>44</v>
      </c>
      <c r="E6">
        <v>1713.36</v>
      </c>
      <c r="F6">
        <v>68.08</v>
      </c>
      <c r="G6">
        <v>242.97</v>
      </c>
      <c r="H6">
        <v>264.3</v>
      </c>
      <c r="I6">
        <v>0</v>
      </c>
      <c r="J6">
        <v>0</v>
      </c>
      <c r="K6">
        <v>68.08</v>
      </c>
      <c r="L6">
        <v>2024.41</v>
      </c>
      <c r="M6">
        <v>21.5</v>
      </c>
    </row>
    <row r="7" spans="1:13">
      <c r="A7" s="17">
        <v>46032</v>
      </c>
      <c r="B7" t="s">
        <v>70</v>
      </c>
      <c r="C7" t="s">
        <v>74</v>
      </c>
      <c r="D7">
        <v>107</v>
      </c>
      <c r="E7">
        <v>4043.06</v>
      </c>
      <c r="F7">
        <v>395.05</v>
      </c>
      <c r="G7">
        <v>489.72</v>
      </c>
      <c r="H7">
        <v>642.69000000000005</v>
      </c>
      <c r="I7">
        <v>0</v>
      </c>
      <c r="J7">
        <v>0</v>
      </c>
      <c r="K7">
        <v>395.05</v>
      </c>
      <c r="L7">
        <v>4927.83</v>
      </c>
      <c r="M7">
        <v>25.9</v>
      </c>
    </row>
    <row r="8" spans="1:13">
      <c r="A8" s="17">
        <v>46032</v>
      </c>
      <c r="B8" t="s">
        <v>75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3">
      <c r="A9" s="17">
        <v>46032</v>
      </c>
      <c r="B9" t="s">
        <v>48</v>
      </c>
      <c r="D9">
        <v>2</v>
      </c>
      <c r="E9">
        <v>134.68</v>
      </c>
      <c r="F9">
        <v>10</v>
      </c>
      <c r="G9">
        <v>4</v>
      </c>
      <c r="H9">
        <v>19.73</v>
      </c>
      <c r="I9">
        <v>0</v>
      </c>
      <c r="J9">
        <v>0</v>
      </c>
      <c r="K9">
        <v>10</v>
      </c>
      <c r="L9">
        <v>148.68</v>
      </c>
      <c r="M9">
        <v>12.2</v>
      </c>
    </row>
    <row r="10" spans="1:13">
      <c r="A10" s="17">
        <v>46032</v>
      </c>
      <c r="B10" t="s">
        <v>48</v>
      </c>
      <c r="C10" t="s">
        <v>76</v>
      </c>
      <c r="D10">
        <v>2</v>
      </c>
      <c r="E10">
        <v>134.68</v>
      </c>
      <c r="F10">
        <v>10</v>
      </c>
      <c r="G10">
        <v>4</v>
      </c>
      <c r="H10">
        <v>19.73</v>
      </c>
      <c r="I10">
        <v>0</v>
      </c>
      <c r="J10">
        <v>0</v>
      </c>
      <c r="K10">
        <v>10</v>
      </c>
      <c r="L10">
        <v>148.68</v>
      </c>
      <c r="M10">
        <v>12.2</v>
      </c>
    </row>
    <row r="11" spans="1:13">
      <c r="A11" s="17">
        <v>46031</v>
      </c>
      <c r="B11" t="s">
        <v>69</v>
      </c>
      <c r="D11">
        <v>3</v>
      </c>
      <c r="E11">
        <v>290.81</v>
      </c>
      <c r="F11">
        <v>0</v>
      </c>
      <c r="G11">
        <v>0</v>
      </c>
      <c r="H11">
        <v>38.46</v>
      </c>
      <c r="I11">
        <v>0</v>
      </c>
      <c r="J11">
        <v>0</v>
      </c>
      <c r="K11">
        <v>0</v>
      </c>
      <c r="L11">
        <v>290.81</v>
      </c>
      <c r="M11">
        <v>0</v>
      </c>
    </row>
    <row r="12" spans="1:13">
      <c r="A12" s="17">
        <v>46031</v>
      </c>
      <c r="B12" t="s">
        <v>70</v>
      </c>
      <c r="D12">
        <v>14</v>
      </c>
      <c r="E12">
        <v>733.98</v>
      </c>
      <c r="F12">
        <v>44.58</v>
      </c>
      <c r="G12">
        <v>89.06</v>
      </c>
      <c r="H12">
        <v>97.1</v>
      </c>
      <c r="I12">
        <v>0</v>
      </c>
      <c r="J12">
        <v>0</v>
      </c>
      <c r="K12">
        <v>44.58</v>
      </c>
      <c r="L12">
        <v>867.62</v>
      </c>
      <c r="M12">
        <v>21</v>
      </c>
    </row>
    <row r="13" spans="1:13">
      <c r="A13" s="17">
        <v>46031</v>
      </c>
      <c r="B13" t="s">
        <v>70</v>
      </c>
      <c r="C13" t="s">
        <v>71</v>
      </c>
      <c r="D13">
        <v>1</v>
      </c>
      <c r="E13">
        <v>53.23</v>
      </c>
      <c r="F13">
        <v>0</v>
      </c>
      <c r="G13">
        <v>7.73</v>
      </c>
      <c r="H13">
        <v>8.76</v>
      </c>
      <c r="I13">
        <v>0</v>
      </c>
      <c r="J13">
        <v>0</v>
      </c>
      <c r="K13">
        <v>0</v>
      </c>
      <c r="L13">
        <v>60.96</v>
      </c>
      <c r="M13">
        <v>17.399999999999999</v>
      </c>
    </row>
    <row r="14" spans="1:13">
      <c r="A14" s="17">
        <v>46031</v>
      </c>
      <c r="B14" t="s">
        <v>70</v>
      </c>
      <c r="C14" t="s">
        <v>73</v>
      </c>
      <c r="D14">
        <v>7</v>
      </c>
      <c r="E14">
        <v>173.58</v>
      </c>
      <c r="F14">
        <v>5.58</v>
      </c>
      <c r="G14">
        <v>23.56</v>
      </c>
      <c r="H14">
        <v>22.81</v>
      </c>
      <c r="I14">
        <v>0</v>
      </c>
      <c r="J14">
        <v>0</v>
      </c>
      <c r="K14">
        <v>5.58</v>
      </c>
      <c r="L14">
        <v>202.72</v>
      </c>
      <c r="M14">
        <v>19.3</v>
      </c>
    </row>
    <row r="15" spans="1:13">
      <c r="A15" s="17">
        <v>46031</v>
      </c>
      <c r="B15" t="s">
        <v>70</v>
      </c>
      <c r="C15" t="s">
        <v>74</v>
      </c>
      <c r="D15">
        <v>6</v>
      </c>
      <c r="E15">
        <v>507.17</v>
      </c>
      <c r="F15">
        <v>39</v>
      </c>
      <c r="G15">
        <v>57.77</v>
      </c>
      <c r="H15">
        <v>65.53</v>
      </c>
      <c r="I15">
        <v>0</v>
      </c>
      <c r="J15">
        <v>0</v>
      </c>
      <c r="K15">
        <v>39</v>
      </c>
      <c r="L15">
        <v>603.94000000000005</v>
      </c>
      <c r="M15">
        <v>21.9</v>
      </c>
    </row>
    <row r="16" spans="1:13">
      <c r="A16" s="17">
        <v>46031</v>
      </c>
      <c r="B16" t="s">
        <v>75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3">
      <c r="A17" s="17">
        <v>46031</v>
      </c>
      <c r="B17" t="s">
        <v>48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3">
      <c r="A18" s="17">
        <v>46030</v>
      </c>
      <c r="B18" t="s">
        <v>69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3">
      <c r="A19" s="17">
        <v>46030</v>
      </c>
      <c r="B19" t="s">
        <v>70</v>
      </c>
      <c r="D19">
        <v>1</v>
      </c>
      <c r="E19">
        <v>15.53</v>
      </c>
      <c r="F19">
        <v>5</v>
      </c>
      <c r="G19">
        <v>0</v>
      </c>
      <c r="H19">
        <v>2.5299999999999998</v>
      </c>
      <c r="I19">
        <v>0</v>
      </c>
      <c r="J19">
        <v>0</v>
      </c>
      <c r="K19">
        <v>5</v>
      </c>
      <c r="L19">
        <v>20.53</v>
      </c>
      <c r="M19">
        <v>38.5</v>
      </c>
    </row>
    <row r="20" spans="1:13">
      <c r="A20" s="17">
        <v>46030</v>
      </c>
      <c r="B20" t="s">
        <v>70</v>
      </c>
      <c r="C20" t="s">
        <v>73</v>
      </c>
      <c r="D20">
        <v>1</v>
      </c>
      <c r="E20">
        <v>15.53</v>
      </c>
      <c r="F20">
        <v>5</v>
      </c>
      <c r="G20">
        <v>0</v>
      </c>
      <c r="H20">
        <v>2.5299999999999998</v>
      </c>
      <c r="I20">
        <v>0</v>
      </c>
      <c r="J20">
        <v>0</v>
      </c>
      <c r="K20">
        <v>5</v>
      </c>
      <c r="L20">
        <v>20.53</v>
      </c>
      <c r="M20">
        <v>38.5</v>
      </c>
    </row>
    <row r="21" spans="1:13">
      <c r="A21" s="17">
        <v>46030</v>
      </c>
      <c r="B21" t="s">
        <v>75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3">
      <c r="A22" s="17">
        <v>46030</v>
      </c>
      <c r="B22" t="s">
        <v>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3">
      <c r="A23" s="17">
        <v>46028</v>
      </c>
      <c r="B23" t="s">
        <v>69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3">
      <c r="A24" s="17">
        <v>46028</v>
      </c>
      <c r="B24" t="s">
        <v>70</v>
      </c>
      <c r="D24">
        <v>2</v>
      </c>
      <c r="E24">
        <v>193.4</v>
      </c>
      <c r="F24">
        <v>36</v>
      </c>
      <c r="G24">
        <v>0</v>
      </c>
      <c r="H24">
        <v>23.55</v>
      </c>
      <c r="I24">
        <v>0</v>
      </c>
      <c r="J24">
        <v>0</v>
      </c>
      <c r="K24">
        <v>36</v>
      </c>
      <c r="L24">
        <v>229.4</v>
      </c>
      <c r="M24">
        <v>21.2</v>
      </c>
    </row>
    <row r="25" spans="1:13">
      <c r="A25" s="17">
        <v>46028</v>
      </c>
      <c r="B25" t="s">
        <v>70</v>
      </c>
      <c r="C25" t="s">
        <v>74</v>
      </c>
      <c r="D25">
        <v>2</v>
      </c>
      <c r="E25">
        <v>193.4</v>
      </c>
      <c r="F25">
        <v>36</v>
      </c>
      <c r="G25">
        <v>0</v>
      </c>
      <c r="H25">
        <v>23.55</v>
      </c>
      <c r="I25">
        <v>0</v>
      </c>
      <c r="J25">
        <v>0</v>
      </c>
      <c r="K25">
        <v>36</v>
      </c>
      <c r="L25">
        <v>229.4</v>
      </c>
      <c r="M25">
        <v>21.2</v>
      </c>
    </row>
    <row r="26" spans="1:13">
      <c r="A26" s="17">
        <v>46028</v>
      </c>
      <c r="B26" t="s">
        <v>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3">
      <c r="A27" s="17">
        <v>46028</v>
      </c>
      <c r="B27" t="s">
        <v>48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3">
      <c r="A28" s="17">
        <v>46026</v>
      </c>
      <c r="B28" t="s">
        <v>69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3">
      <c r="A29" s="17">
        <v>46026</v>
      </c>
      <c r="B29" t="s">
        <v>70</v>
      </c>
      <c r="D29">
        <v>3</v>
      </c>
      <c r="E29">
        <v>493.72</v>
      </c>
      <c r="F29">
        <v>81.47</v>
      </c>
      <c r="G29">
        <v>0</v>
      </c>
      <c r="H29">
        <v>49.58</v>
      </c>
      <c r="I29">
        <v>0</v>
      </c>
      <c r="J29">
        <v>0</v>
      </c>
      <c r="K29">
        <v>81.47</v>
      </c>
      <c r="L29">
        <v>575.19000000000005</v>
      </c>
      <c r="M29">
        <v>18.3</v>
      </c>
    </row>
    <row r="30" spans="1:13">
      <c r="A30" s="17">
        <v>46026</v>
      </c>
      <c r="B30" t="s">
        <v>70</v>
      </c>
      <c r="C30" t="s">
        <v>72</v>
      </c>
      <c r="D30">
        <v>1</v>
      </c>
      <c r="E30">
        <v>169.03</v>
      </c>
      <c r="F30">
        <v>25</v>
      </c>
      <c r="G30">
        <v>0</v>
      </c>
      <c r="H30">
        <v>15.71</v>
      </c>
      <c r="I30">
        <v>0</v>
      </c>
      <c r="J30">
        <v>0</v>
      </c>
      <c r="K30">
        <v>25</v>
      </c>
      <c r="L30">
        <v>194.03</v>
      </c>
      <c r="M30">
        <v>16.3</v>
      </c>
    </row>
    <row r="31" spans="1:13">
      <c r="A31" s="17">
        <v>46026</v>
      </c>
      <c r="B31" t="s">
        <v>70</v>
      </c>
      <c r="C31" t="s">
        <v>74</v>
      </c>
      <c r="D31">
        <v>2</v>
      </c>
      <c r="E31">
        <v>324.69</v>
      </c>
      <c r="F31">
        <v>56.47</v>
      </c>
      <c r="G31">
        <v>0</v>
      </c>
      <c r="H31">
        <v>33.869999999999997</v>
      </c>
      <c r="I31">
        <v>0</v>
      </c>
      <c r="J31">
        <v>0</v>
      </c>
      <c r="K31">
        <v>56.47</v>
      </c>
      <c r="L31">
        <v>381.16</v>
      </c>
      <c r="M31">
        <v>19.399999999999999</v>
      </c>
    </row>
    <row r="32" spans="1:13">
      <c r="A32" s="17">
        <v>46026</v>
      </c>
      <c r="B32" t="s">
        <v>75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3">
      <c r="A33" s="17">
        <v>46026</v>
      </c>
      <c r="B33" t="s">
        <v>48</v>
      </c>
      <c r="D33">
        <v>3</v>
      </c>
      <c r="E33">
        <v>217.81</v>
      </c>
      <c r="F33">
        <v>44.56</v>
      </c>
      <c r="G33">
        <v>0</v>
      </c>
      <c r="H33">
        <v>24.86</v>
      </c>
      <c r="I33">
        <v>0</v>
      </c>
      <c r="J33">
        <v>0</v>
      </c>
      <c r="K33">
        <v>44.56</v>
      </c>
      <c r="L33">
        <v>262.37</v>
      </c>
      <c r="M33">
        <v>23.1</v>
      </c>
    </row>
    <row r="34" spans="1:13">
      <c r="A34" s="17">
        <v>46026</v>
      </c>
      <c r="B34" t="s">
        <v>48</v>
      </c>
      <c r="C34" t="s">
        <v>76</v>
      </c>
      <c r="D34">
        <v>3</v>
      </c>
      <c r="E34">
        <v>217.81</v>
      </c>
      <c r="F34">
        <v>44.56</v>
      </c>
      <c r="G34">
        <v>0</v>
      </c>
      <c r="H34">
        <v>24.86</v>
      </c>
      <c r="I34">
        <v>0</v>
      </c>
      <c r="J34">
        <v>0</v>
      </c>
      <c r="K34">
        <v>44.56</v>
      </c>
      <c r="L34">
        <v>262.37</v>
      </c>
      <c r="M34">
        <v>23.1</v>
      </c>
    </row>
    <row r="35" spans="1:13">
      <c r="A35" s="17">
        <v>46025</v>
      </c>
      <c r="B35" t="s">
        <v>69</v>
      </c>
      <c r="D35">
        <v>38</v>
      </c>
      <c r="E35">
        <v>1048.43</v>
      </c>
      <c r="F35">
        <v>0</v>
      </c>
      <c r="G35">
        <v>25.19</v>
      </c>
      <c r="H35">
        <v>182.74</v>
      </c>
      <c r="I35">
        <v>0</v>
      </c>
      <c r="J35">
        <v>0</v>
      </c>
      <c r="K35">
        <v>0</v>
      </c>
      <c r="L35">
        <v>1073.6199999999999</v>
      </c>
      <c r="M35">
        <v>2.9</v>
      </c>
    </row>
    <row r="36" spans="1:13">
      <c r="A36" s="17">
        <v>46025</v>
      </c>
      <c r="B36" t="s">
        <v>70</v>
      </c>
      <c r="D36">
        <v>166</v>
      </c>
      <c r="E36">
        <v>6678.02</v>
      </c>
      <c r="F36">
        <v>568.21</v>
      </c>
      <c r="G36">
        <v>843.78</v>
      </c>
      <c r="H36">
        <v>1115.0999999999999</v>
      </c>
      <c r="I36">
        <v>0</v>
      </c>
      <c r="J36">
        <v>0</v>
      </c>
      <c r="K36">
        <v>568.21</v>
      </c>
      <c r="L36">
        <v>8090.01</v>
      </c>
      <c r="M36">
        <v>25.4</v>
      </c>
    </row>
    <row r="37" spans="1:13">
      <c r="A37" s="17">
        <v>46025</v>
      </c>
      <c r="B37" t="s">
        <v>70</v>
      </c>
      <c r="C37" t="s">
        <v>71</v>
      </c>
      <c r="D37">
        <v>12</v>
      </c>
      <c r="E37">
        <v>1138.69</v>
      </c>
      <c r="F37">
        <v>97.14</v>
      </c>
      <c r="G37">
        <v>144.34</v>
      </c>
      <c r="H37">
        <v>224.88</v>
      </c>
      <c r="I37">
        <v>0</v>
      </c>
      <c r="J37">
        <v>0</v>
      </c>
      <c r="K37">
        <v>97.14</v>
      </c>
      <c r="L37">
        <v>1380.17</v>
      </c>
      <c r="M37">
        <v>26.4</v>
      </c>
    </row>
    <row r="38" spans="1:13">
      <c r="A38" s="17">
        <v>46025</v>
      </c>
      <c r="B38" t="s">
        <v>70</v>
      </c>
      <c r="C38" t="s">
        <v>72</v>
      </c>
      <c r="D38">
        <v>2</v>
      </c>
      <c r="E38">
        <v>102.78</v>
      </c>
      <c r="F38">
        <v>1</v>
      </c>
      <c r="G38">
        <v>16.5</v>
      </c>
      <c r="H38">
        <v>16.899999999999999</v>
      </c>
      <c r="I38">
        <v>0</v>
      </c>
      <c r="J38">
        <v>0</v>
      </c>
      <c r="K38">
        <v>1</v>
      </c>
      <c r="L38">
        <v>120.28</v>
      </c>
      <c r="M38">
        <v>20.399999999999999</v>
      </c>
    </row>
    <row r="39" spans="1:13">
      <c r="A39" s="17">
        <v>46025</v>
      </c>
      <c r="B39" t="s">
        <v>70</v>
      </c>
      <c r="C39" t="s">
        <v>73</v>
      </c>
      <c r="D39">
        <v>64</v>
      </c>
      <c r="E39">
        <v>2143.06</v>
      </c>
      <c r="F39">
        <v>205.19</v>
      </c>
      <c r="G39">
        <v>281.27</v>
      </c>
      <c r="H39">
        <v>360.58</v>
      </c>
      <c r="I39">
        <v>0</v>
      </c>
      <c r="J39">
        <v>0</v>
      </c>
      <c r="K39">
        <v>205.19</v>
      </c>
      <c r="L39">
        <v>2629.52</v>
      </c>
      <c r="M39">
        <v>27.3</v>
      </c>
    </row>
    <row r="40" spans="1:13">
      <c r="A40" s="17">
        <v>46025</v>
      </c>
      <c r="B40" t="s">
        <v>70</v>
      </c>
      <c r="C40" t="s">
        <v>74</v>
      </c>
      <c r="D40">
        <v>88</v>
      </c>
      <c r="E40">
        <v>3293.49</v>
      </c>
      <c r="F40">
        <v>264.88</v>
      </c>
      <c r="G40">
        <v>401.67</v>
      </c>
      <c r="H40">
        <v>512.74</v>
      </c>
      <c r="I40">
        <v>0</v>
      </c>
      <c r="J40">
        <v>0</v>
      </c>
      <c r="K40">
        <v>264.88</v>
      </c>
      <c r="L40">
        <v>3960.04</v>
      </c>
      <c r="M40">
        <v>24</v>
      </c>
    </row>
    <row r="41" spans="1:13">
      <c r="A41" s="17">
        <v>46025</v>
      </c>
      <c r="B41" t="s">
        <v>75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3">
      <c r="A42" s="17">
        <v>46025</v>
      </c>
      <c r="B42" t="s">
        <v>48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3">
      <c r="A43" s="17">
        <v>46024</v>
      </c>
      <c r="B43" t="s">
        <v>69</v>
      </c>
      <c r="D43">
        <v>1</v>
      </c>
      <c r="E43">
        <v>17.54</v>
      </c>
      <c r="F43">
        <v>0</v>
      </c>
      <c r="G43">
        <v>0</v>
      </c>
      <c r="H43">
        <v>3.54</v>
      </c>
      <c r="I43">
        <v>0</v>
      </c>
      <c r="J43">
        <v>0</v>
      </c>
      <c r="K43">
        <v>0</v>
      </c>
      <c r="L43">
        <v>17.54</v>
      </c>
      <c r="M43">
        <v>0</v>
      </c>
    </row>
    <row r="44" spans="1:13">
      <c r="A44" s="17">
        <v>46024</v>
      </c>
      <c r="B44" t="s">
        <v>70</v>
      </c>
      <c r="D44">
        <v>8</v>
      </c>
      <c r="E44">
        <v>1729.18</v>
      </c>
      <c r="F44">
        <v>191.48</v>
      </c>
      <c r="G44">
        <v>108.06</v>
      </c>
      <c r="H44">
        <v>213.87</v>
      </c>
      <c r="I44">
        <v>0</v>
      </c>
      <c r="J44">
        <v>0</v>
      </c>
      <c r="K44">
        <v>191.48</v>
      </c>
      <c r="L44">
        <v>2028.72</v>
      </c>
      <c r="M44">
        <v>19.8</v>
      </c>
    </row>
    <row r="45" spans="1:13">
      <c r="A45" s="17">
        <v>46024</v>
      </c>
      <c r="B45" t="s">
        <v>70</v>
      </c>
      <c r="C45" t="s">
        <v>71</v>
      </c>
      <c r="D45">
        <v>2</v>
      </c>
      <c r="E45">
        <v>841.97</v>
      </c>
      <c r="F45">
        <v>25.18</v>
      </c>
      <c r="G45">
        <v>108.06</v>
      </c>
      <c r="H45">
        <v>111.24</v>
      </c>
      <c r="I45">
        <v>0</v>
      </c>
      <c r="J45">
        <v>0</v>
      </c>
      <c r="K45">
        <v>25.18</v>
      </c>
      <c r="L45">
        <v>975.21</v>
      </c>
      <c r="M45">
        <v>18.2</v>
      </c>
    </row>
    <row r="46" spans="1:13">
      <c r="A46" s="17">
        <v>46024</v>
      </c>
      <c r="B46" t="s">
        <v>70</v>
      </c>
      <c r="C46" t="s">
        <v>73</v>
      </c>
      <c r="D46">
        <v>4</v>
      </c>
      <c r="E46">
        <v>563.26</v>
      </c>
      <c r="F46">
        <v>96.3</v>
      </c>
      <c r="G46">
        <v>0</v>
      </c>
      <c r="H46">
        <v>68.02</v>
      </c>
      <c r="I46">
        <v>0</v>
      </c>
      <c r="J46">
        <v>0</v>
      </c>
      <c r="K46">
        <v>96.3</v>
      </c>
      <c r="L46">
        <v>659.56</v>
      </c>
      <c r="M46">
        <v>19.399999999999999</v>
      </c>
    </row>
    <row r="47" spans="1:13">
      <c r="A47" s="17">
        <v>46024</v>
      </c>
      <c r="B47" t="s">
        <v>70</v>
      </c>
      <c r="C47" t="s">
        <v>74</v>
      </c>
      <c r="D47">
        <v>2</v>
      </c>
      <c r="E47">
        <v>323.95</v>
      </c>
      <c r="F47">
        <v>70</v>
      </c>
      <c r="G47">
        <v>0</v>
      </c>
      <c r="H47">
        <v>34.61</v>
      </c>
      <c r="I47">
        <v>0</v>
      </c>
      <c r="J47">
        <v>0</v>
      </c>
      <c r="K47">
        <v>70</v>
      </c>
      <c r="L47">
        <v>393.95</v>
      </c>
      <c r="M47">
        <v>24.2</v>
      </c>
    </row>
    <row r="48" spans="1:13">
      <c r="A48" s="17">
        <v>46024</v>
      </c>
      <c r="B48" t="s">
        <v>75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3">
      <c r="A49" s="17">
        <v>46024</v>
      </c>
      <c r="B49" t="s">
        <v>48</v>
      </c>
      <c r="D49">
        <v>2</v>
      </c>
      <c r="E49">
        <v>121.28</v>
      </c>
      <c r="F49">
        <v>24.2</v>
      </c>
      <c r="G49">
        <v>0</v>
      </c>
      <c r="H49">
        <v>11.28</v>
      </c>
      <c r="I49">
        <v>0</v>
      </c>
      <c r="J49">
        <v>0</v>
      </c>
      <c r="K49">
        <v>24.2</v>
      </c>
      <c r="L49">
        <v>145.47999999999999</v>
      </c>
      <c r="M49">
        <v>22</v>
      </c>
    </row>
    <row r="50" spans="1:13">
      <c r="A50" s="17">
        <v>46024</v>
      </c>
      <c r="B50" t="s">
        <v>48</v>
      </c>
      <c r="C50" t="s">
        <v>76</v>
      </c>
      <c r="D50">
        <v>2</v>
      </c>
      <c r="E50">
        <v>121.28</v>
      </c>
      <c r="F50">
        <v>24.2</v>
      </c>
      <c r="G50">
        <v>0</v>
      </c>
      <c r="H50">
        <v>11.28</v>
      </c>
      <c r="I50">
        <v>0</v>
      </c>
      <c r="J50">
        <v>0</v>
      </c>
      <c r="K50">
        <v>24.2</v>
      </c>
      <c r="L50">
        <v>145.47999999999999</v>
      </c>
      <c r="M50">
        <v>22</v>
      </c>
    </row>
    <row r="51" spans="1:13">
      <c r="A51" s="17">
        <v>46022</v>
      </c>
      <c r="B51" t="s">
        <v>69</v>
      </c>
      <c r="D51">
        <v>54</v>
      </c>
      <c r="E51">
        <v>2816.16</v>
      </c>
      <c r="F51">
        <v>0</v>
      </c>
      <c r="G51">
        <v>134</v>
      </c>
      <c r="H51">
        <v>472.73</v>
      </c>
      <c r="I51">
        <v>0</v>
      </c>
      <c r="J51">
        <v>0</v>
      </c>
      <c r="K51">
        <v>0</v>
      </c>
      <c r="L51">
        <v>2950.16</v>
      </c>
      <c r="M51">
        <v>5.7</v>
      </c>
    </row>
    <row r="52" spans="1:13">
      <c r="A52" s="17">
        <v>46022</v>
      </c>
      <c r="B52" t="s">
        <v>70</v>
      </c>
      <c r="D52">
        <v>319</v>
      </c>
      <c r="E52">
        <v>17291.93</v>
      </c>
      <c r="F52">
        <v>1284.0999999999999</v>
      </c>
      <c r="G52">
        <v>2013.58</v>
      </c>
      <c r="H52">
        <v>2743.74</v>
      </c>
      <c r="I52">
        <v>0</v>
      </c>
      <c r="J52">
        <v>0</v>
      </c>
      <c r="K52">
        <v>1284.0999999999999</v>
      </c>
      <c r="L52">
        <v>20589.61</v>
      </c>
      <c r="M52">
        <v>22.6</v>
      </c>
    </row>
    <row r="53" spans="1:13">
      <c r="A53" s="17">
        <v>46022</v>
      </c>
      <c r="B53" t="s">
        <v>70</v>
      </c>
      <c r="C53" t="s">
        <v>71</v>
      </c>
      <c r="D53">
        <v>12</v>
      </c>
      <c r="E53">
        <v>1274.56</v>
      </c>
      <c r="F53">
        <v>40.99</v>
      </c>
      <c r="G53">
        <v>193.54</v>
      </c>
      <c r="H53">
        <v>220.58</v>
      </c>
      <c r="I53">
        <v>0</v>
      </c>
      <c r="J53">
        <v>0</v>
      </c>
      <c r="K53">
        <v>40.99</v>
      </c>
      <c r="L53">
        <v>1509.09</v>
      </c>
      <c r="M53">
        <v>22.3</v>
      </c>
    </row>
    <row r="54" spans="1:13">
      <c r="A54" s="17">
        <v>46022</v>
      </c>
      <c r="B54" t="s">
        <v>70</v>
      </c>
      <c r="C54" t="s">
        <v>72</v>
      </c>
      <c r="D54">
        <v>10</v>
      </c>
      <c r="E54">
        <v>702.31</v>
      </c>
      <c r="F54">
        <v>43.65</v>
      </c>
      <c r="G54">
        <v>72.260000000000005</v>
      </c>
      <c r="H54">
        <v>94.92</v>
      </c>
      <c r="I54">
        <v>0</v>
      </c>
      <c r="J54">
        <v>0</v>
      </c>
      <c r="K54">
        <v>43.65</v>
      </c>
      <c r="L54">
        <v>818.22</v>
      </c>
      <c r="M54">
        <v>19.100000000000001</v>
      </c>
    </row>
    <row r="55" spans="1:13">
      <c r="A55" s="17">
        <v>46022</v>
      </c>
      <c r="B55" t="s">
        <v>70</v>
      </c>
      <c r="C55" t="s">
        <v>73</v>
      </c>
      <c r="D55">
        <v>96</v>
      </c>
      <c r="E55">
        <v>5250.16</v>
      </c>
      <c r="F55">
        <v>416.88</v>
      </c>
      <c r="G55">
        <v>637.45000000000005</v>
      </c>
      <c r="H55">
        <v>815.73</v>
      </c>
      <c r="I55">
        <v>0</v>
      </c>
      <c r="J55">
        <v>0</v>
      </c>
      <c r="K55">
        <v>416.88</v>
      </c>
      <c r="L55">
        <v>6304.49</v>
      </c>
      <c r="M55">
        <v>23.8</v>
      </c>
    </row>
    <row r="56" spans="1:13">
      <c r="A56" s="17">
        <v>46022</v>
      </c>
      <c r="B56" t="s">
        <v>70</v>
      </c>
      <c r="C56" t="s">
        <v>74</v>
      </c>
      <c r="D56">
        <v>201</v>
      </c>
      <c r="E56">
        <v>10064.9</v>
      </c>
      <c r="F56">
        <v>782.58</v>
      </c>
      <c r="G56">
        <v>1110.33</v>
      </c>
      <c r="H56">
        <v>1612.51</v>
      </c>
      <c r="I56">
        <v>0</v>
      </c>
      <c r="J56">
        <v>0</v>
      </c>
      <c r="K56">
        <v>782.58</v>
      </c>
      <c r="L56">
        <v>11957.81</v>
      </c>
      <c r="M56">
        <v>22.3</v>
      </c>
    </row>
    <row r="57" spans="1:13">
      <c r="A57" s="17">
        <v>46022</v>
      </c>
      <c r="B57" t="s">
        <v>75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3">
      <c r="A58" s="17">
        <v>46022</v>
      </c>
      <c r="B58" t="s">
        <v>48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3">
      <c r="A59" s="17">
        <v>46022</v>
      </c>
      <c r="B59" t="s">
        <v>77</v>
      </c>
      <c r="D59">
        <v>373</v>
      </c>
      <c r="E59">
        <v>20108.09</v>
      </c>
      <c r="F59">
        <v>1284.0999999999999</v>
      </c>
      <c r="G59">
        <v>2147.58</v>
      </c>
      <c r="H59">
        <v>3216.47</v>
      </c>
      <c r="I59">
        <v>0</v>
      </c>
      <c r="J59">
        <v>0</v>
      </c>
      <c r="K59">
        <v>1284.0999999999999</v>
      </c>
      <c r="L59">
        <v>23539.77</v>
      </c>
      <c r="M59">
        <v>20.3</v>
      </c>
    </row>
    <row r="60" spans="1:13">
      <c r="A60" s="17">
        <v>46022</v>
      </c>
      <c r="B60" t="s">
        <v>78</v>
      </c>
      <c r="L60">
        <v>100</v>
      </c>
    </row>
    <row r="61" spans="1:13">
      <c r="A61" s="17">
        <v>46021</v>
      </c>
      <c r="B61" t="s">
        <v>69</v>
      </c>
      <c r="D61">
        <v>2</v>
      </c>
      <c r="E61">
        <v>243.58</v>
      </c>
      <c r="F61">
        <v>0</v>
      </c>
      <c r="G61">
        <v>0</v>
      </c>
      <c r="H61">
        <v>24.68</v>
      </c>
      <c r="I61">
        <v>0</v>
      </c>
      <c r="J61">
        <v>0</v>
      </c>
      <c r="K61">
        <v>0</v>
      </c>
      <c r="L61">
        <v>243.58</v>
      </c>
      <c r="M61">
        <v>0</v>
      </c>
    </row>
    <row r="62" spans="1:13">
      <c r="A62" s="17">
        <v>46021</v>
      </c>
      <c r="B62" t="s">
        <v>70</v>
      </c>
      <c r="D62">
        <v>19</v>
      </c>
      <c r="E62">
        <v>1655.35</v>
      </c>
      <c r="F62">
        <v>178.83</v>
      </c>
      <c r="G62">
        <v>121.08</v>
      </c>
      <c r="H62">
        <v>193.71</v>
      </c>
      <c r="I62">
        <v>0</v>
      </c>
      <c r="J62">
        <v>0</v>
      </c>
      <c r="K62">
        <v>178.83</v>
      </c>
      <c r="L62">
        <v>1955.26</v>
      </c>
      <c r="M62">
        <v>20.5</v>
      </c>
    </row>
    <row r="63" spans="1:13">
      <c r="A63" s="17">
        <v>46021</v>
      </c>
      <c r="B63" t="s">
        <v>70</v>
      </c>
      <c r="C63" t="s">
        <v>71</v>
      </c>
      <c r="D63">
        <v>2</v>
      </c>
      <c r="E63">
        <v>217.07</v>
      </c>
      <c r="F63">
        <v>35</v>
      </c>
      <c r="G63">
        <v>7.51</v>
      </c>
      <c r="H63">
        <v>27.65</v>
      </c>
      <c r="I63">
        <v>0</v>
      </c>
      <c r="J63">
        <v>0</v>
      </c>
      <c r="K63">
        <v>35</v>
      </c>
      <c r="L63">
        <v>259.58</v>
      </c>
      <c r="M63">
        <v>22.4</v>
      </c>
    </row>
    <row r="64" spans="1:13">
      <c r="A64" s="17">
        <v>46021</v>
      </c>
      <c r="B64" t="s">
        <v>70</v>
      </c>
      <c r="C64" t="s">
        <v>72</v>
      </c>
      <c r="D64">
        <v>2</v>
      </c>
      <c r="E64">
        <v>165.41</v>
      </c>
      <c r="F64">
        <v>0</v>
      </c>
      <c r="G64">
        <v>25.68</v>
      </c>
      <c r="H64">
        <v>17.690000000000001</v>
      </c>
      <c r="I64">
        <v>0</v>
      </c>
      <c r="J64">
        <v>0</v>
      </c>
      <c r="K64">
        <v>0</v>
      </c>
      <c r="L64">
        <v>191.09</v>
      </c>
      <c r="M64">
        <v>17.399999999999999</v>
      </c>
    </row>
    <row r="65" spans="1:13">
      <c r="A65" s="17">
        <v>46021</v>
      </c>
      <c r="B65" t="s">
        <v>70</v>
      </c>
      <c r="C65" t="s">
        <v>73</v>
      </c>
      <c r="D65">
        <v>3</v>
      </c>
      <c r="E65">
        <v>128.88999999999999</v>
      </c>
      <c r="F65">
        <v>13</v>
      </c>
      <c r="G65">
        <v>8.64</v>
      </c>
      <c r="H65">
        <v>11.98</v>
      </c>
      <c r="I65">
        <v>0</v>
      </c>
      <c r="J65">
        <v>0</v>
      </c>
      <c r="K65">
        <v>13</v>
      </c>
      <c r="L65">
        <v>150.53</v>
      </c>
      <c r="M65">
        <v>18.5</v>
      </c>
    </row>
    <row r="66" spans="1:13">
      <c r="A66" s="17">
        <v>46021</v>
      </c>
      <c r="B66" t="s">
        <v>70</v>
      </c>
      <c r="C66" t="s">
        <v>74</v>
      </c>
      <c r="D66">
        <v>12</v>
      </c>
      <c r="E66">
        <v>1143.98</v>
      </c>
      <c r="F66">
        <v>130.83000000000001</v>
      </c>
      <c r="G66">
        <v>79.25</v>
      </c>
      <c r="H66">
        <v>136.38999999999999</v>
      </c>
      <c r="I66">
        <v>0</v>
      </c>
      <c r="J66">
        <v>0</v>
      </c>
      <c r="K66">
        <v>130.83000000000001</v>
      </c>
      <c r="L66">
        <v>1354.06</v>
      </c>
      <c r="M66">
        <v>20.8</v>
      </c>
    </row>
    <row r="67" spans="1:13">
      <c r="A67" s="17">
        <v>46021</v>
      </c>
      <c r="B67" t="s">
        <v>75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3">
      <c r="A68" s="17">
        <v>46021</v>
      </c>
      <c r="B68" t="s">
        <v>48</v>
      </c>
      <c r="D68">
        <v>1</v>
      </c>
      <c r="E68">
        <v>138.37</v>
      </c>
      <c r="F68">
        <v>0</v>
      </c>
      <c r="G68">
        <v>22.32</v>
      </c>
      <c r="H68">
        <v>14.37</v>
      </c>
      <c r="I68">
        <v>0</v>
      </c>
      <c r="J68">
        <v>0</v>
      </c>
      <c r="K68">
        <v>0</v>
      </c>
      <c r="L68">
        <v>160.69</v>
      </c>
      <c r="M68">
        <v>18</v>
      </c>
    </row>
    <row r="69" spans="1:13">
      <c r="A69" s="17">
        <v>46021</v>
      </c>
      <c r="B69" t="s">
        <v>48</v>
      </c>
      <c r="C69" t="s">
        <v>76</v>
      </c>
      <c r="D69">
        <v>1</v>
      </c>
      <c r="E69">
        <v>138.37</v>
      </c>
      <c r="F69">
        <v>0</v>
      </c>
      <c r="G69">
        <v>22.32</v>
      </c>
      <c r="H69">
        <v>14.37</v>
      </c>
      <c r="I69">
        <v>0</v>
      </c>
      <c r="J69">
        <v>0</v>
      </c>
      <c r="K69">
        <v>0</v>
      </c>
      <c r="L69">
        <v>160.69</v>
      </c>
      <c r="M69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10"/>
  <sheetViews>
    <sheetView workbookViewId="0">
      <pane ySplit="1" topLeftCell="A2" activePane="bottomLeft" state="frozen"/>
      <selection pane="bottomLeft" activeCell="B12" sqref="B12"/>
    </sheetView>
  </sheetViews>
  <sheetFormatPr defaultRowHeight="14.4"/>
  <cols>
    <col min="1" max="1" width="16.7890625" style="16" bestFit="1" customWidth="1"/>
    <col min="2" max="2" width="8.68359375" style="16" bestFit="1" customWidth="1"/>
    <col min="3" max="3" width="7.41796875" style="16" bestFit="1" customWidth="1"/>
    <col min="4" max="4" width="11" style="16" bestFit="1" customWidth="1"/>
    <col min="5" max="5" width="22.3671875" style="16" bestFit="1" customWidth="1"/>
    <col min="6" max="6" width="29.3125" style="16" bestFit="1" customWidth="1"/>
    <col min="7" max="7" width="7.68359375" style="16" bestFit="1" customWidth="1"/>
    <col min="8" max="8" width="17.5234375" style="16" bestFit="1" customWidth="1"/>
    <col min="9" max="9" width="22.47265625" style="16" bestFit="1" customWidth="1"/>
    <col min="10" max="10" width="13.68359375" style="16" bestFit="1" customWidth="1"/>
    <col min="11" max="11" width="19.3125" style="16" bestFit="1" customWidth="1"/>
    <col min="12" max="12" width="11.7890625" style="16" bestFit="1" customWidth="1"/>
    <col min="13" max="13" width="8.68359375" style="16" bestFit="1" customWidth="1"/>
  </cols>
  <sheetData>
    <row r="1" spans="1:13">
      <c r="A1" s="1" t="s">
        <v>57</v>
      </c>
      <c r="B1" s="1" t="s">
        <v>79</v>
      </c>
      <c r="C1" s="1" t="s">
        <v>80</v>
      </c>
      <c r="D1" s="1" t="s">
        <v>64</v>
      </c>
      <c r="E1" s="1" t="s">
        <v>81</v>
      </c>
      <c r="F1" s="1" t="s">
        <v>82</v>
      </c>
      <c r="G1" s="1" t="s">
        <v>62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25</v>
      </c>
    </row>
    <row r="2" spans="1:13">
      <c r="A2" s="17">
        <v>46026</v>
      </c>
      <c r="B2">
        <v>637.09</v>
      </c>
      <c r="C2">
        <v>0</v>
      </c>
      <c r="D2">
        <v>74.44</v>
      </c>
      <c r="G2">
        <v>126.03</v>
      </c>
      <c r="K2">
        <v>0</v>
      </c>
      <c r="L2">
        <v>0</v>
      </c>
      <c r="M2">
        <v>837.56</v>
      </c>
    </row>
    <row r="3" spans="1:13">
      <c r="A3" s="17">
        <v>46022</v>
      </c>
      <c r="B3">
        <v>16960.47</v>
      </c>
      <c r="C3">
        <v>2161.35</v>
      </c>
      <c r="D3">
        <v>3233.85</v>
      </c>
      <c r="G3">
        <v>1284.0999999999999</v>
      </c>
      <c r="K3">
        <v>0</v>
      </c>
      <c r="L3">
        <v>0</v>
      </c>
      <c r="M3">
        <v>23639.77</v>
      </c>
    </row>
    <row r="4" spans="1:13">
      <c r="A4" s="17">
        <v>46024</v>
      </c>
      <c r="B4">
        <v>1639.31</v>
      </c>
      <c r="C4">
        <v>108.06</v>
      </c>
      <c r="D4">
        <v>228.69</v>
      </c>
      <c r="G4">
        <v>215.68</v>
      </c>
      <c r="K4">
        <v>0</v>
      </c>
      <c r="L4">
        <v>0</v>
      </c>
      <c r="M4">
        <v>2191.7399999999998</v>
      </c>
    </row>
    <row r="5" spans="1:13">
      <c r="A5" s="17">
        <v>46025</v>
      </c>
      <c r="B5">
        <v>6428.61</v>
      </c>
      <c r="C5">
        <v>868.97</v>
      </c>
      <c r="D5">
        <v>1297.8399999999999</v>
      </c>
      <c r="G5">
        <v>568.21</v>
      </c>
      <c r="K5">
        <v>0</v>
      </c>
      <c r="L5">
        <v>0</v>
      </c>
      <c r="M5">
        <v>9163.6299999999992</v>
      </c>
    </row>
    <row r="6" spans="1:13">
      <c r="A6" s="17">
        <v>46028</v>
      </c>
      <c r="B6">
        <v>169.85</v>
      </c>
      <c r="C6">
        <v>0</v>
      </c>
      <c r="D6">
        <v>23.55</v>
      </c>
      <c r="G6">
        <v>36</v>
      </c>
      <c r="K6">
        <v>0</v>
      </c>
      <c r="L6">
        <v>0</v>
      </c>
      <c r="M6">
        <v>229.4</v>
      </c>
    </row>
    <row r="7" spans="1:13">
      <c r="A7" s="17">
        <v>46030</v>
      </c>
      <c r="B7">
        <v>13</v>
      </c>
      <c r="C7">
        <v>0</v>
      </c>
      <c r="D7">
        <v>2.5299999999999998</v>
      </c>
      <c r="G7">
        <v>5</v>
      </c>
      <c r="K7">
        <v>0</v>
      </c>
      <c r="L7">
        <v>0</v>
      </c>
      <c r="M7">
        <v>20.53</v>
      </c>
    </row>
    <row r="8" spans="1:13">
      <c r="A8" s="17">
        <v>46031</v>
      </c>
      <c r="B8">
        <v>889.23</v>
      </c>
      <c r="C8">
        <v>89.06</v>
      </c>
      <c r="D8">
        <v>135.56</v>
      </c>
      <c r="G8">
        <v>44.58</v>
      </c>
      <c r="K8">
        <v>0</v>
      </c>
      <c r="L8">
        <v>0</v>
      </c>
      <c r="M8">
        <v>1158.43</v>
      </c>
    </row>
    <row r="9" spans="1:13">
      <c r="A9" s="17">
        <v>46032</v>
      </c>
      <c r="B9">
        <v>6129.34</v>
      </c>
      <c r="C9">
        <v>850.33</v>
      </c>
      <c r="D9">
        <v>1163.74</v>
      </c>
      <c r="G9">
        <v>514.41</v>
      </c>
      <c r="K9">
        <v>0</v>
      </c>
      <c r="L9">
        <v>0</v>
      </c>
      <c r="M9">
        <v>8657.82</v>
      </c>
    </row>
    <row r="10" spans="1:13">
      <c r="A10" s="17">
        <v>46021</v>
      </c>
      <c r="B10">
        <v>1804.54</v>
      </c>
      <c r="C10">
        <v>143.4</v>
      </c>
      <c r="D10">
        <v>232.76</v>
      </c>
      <c r="G10">
        <v>178.83</v>
      </c>
      <c r="K10">
        <v>0</v>
      </c>
      <c r="L10">
        <v>0</v>
      </c>
      <c r="M10">
        <v>2359.5300000000002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47"/>
  <sheetViews>
    <sheetView workbookViewId="0">
      <pane ySplit="1" topLeftCell="A2" activePane="bottomLeft" state="frozen"/>
      <selection pane="bottomLeft" activeCell="E20" sqref="E20"/>
    </sheetView>
  </sheetViews>
  <sheetFormatPr defaultRowHeight="14.4"/>
  <cols>
    <col min="1" max="1" width="16.7890625" style="16" bestFit="1" customWidth="1"/>
    <col min="2" max="2" width="16.89453125" style="16" customWidth="1"/>
    <col min="3" max="3" width="5.26171875" style="16" bestFit="1" customWidth="1"/>
    <col min="4" max="4" width="8.68359375" style="16" bestFit="1" customWidth="1"/>
    <col min="5" max="5" width="15.3671875" style="16" bestFit="1" customWidth="1"/>
    <col min="6" max="6" width="14.15625" style="16" bestFit="1" customWidth="1"/>
    <col min="7" max="7" width="10.3125" style="16" bestFit="1" customWidth="1"/>
    <col min="8" max="8" width="11" style="16" bestFit="1" customWidth="1"/>
  </cols>
  <sheetData>
    <row r="1" spans="1:8">
      <c r="A1" s="1" t="s">
        <v>57</v>
      </c>
      <c r="B1" s="1" t="s">
        <v>88</v>
      </c>
      <c r="C1" s="1" t="s">
        <v>89</v>
      </c>
      <c r="D1" s="1" t="s">
        <v>79</v>
      </c>
      <c r="E1" s="1" t="s">
        <v>90</v>
      </c>
      <c r="F1" s="1" t="s">
        <v>91</v>
      </c>
      <c r="G1" s="1" t="s">
        <v>92</v>
      </c>
      <c r="H1" s="1" t="s">
        <v>64</v>
      </c>
    </row>
    <row r="2" spans="1:8">
      <c r="A2" s="17">
        <v>46026</v>
      </c>
      <c r="B2" t="s">
        <v>28</v>
      </c>
      <c r="C2">
        <v>4</v>
      </c>
      <c r="D2">
        <v>31</v>
      </c>
      <c r="E2">
        <v>0</v>
      </c>
      <c r="F2">
        <v>0</v>
      </c>
      <c r="G2">
        <v>31</v>
      </c>
      <c r="H2">
        <v>3.17</v>
      </c>
    </row>
    <row r="3" spans="1:8">
      <c r="A3" s="17">
        <v>46026</v>
      </c>
      <c r="B3" t="s">
        <v>23</v>
      </c>
      <c r="C3">
        <v>19</v>
      </c>
      <c r="D3">
        <v>523.15</v>
      </c>
      <c r="E3">
        <v>0</v>
      </c>
      <c r="F3">
        <v>0</v>
      </c>
      <c r="G3">
        <v>523.15</v>
      </c>
      <c r="H3">
        <v>53.61</v>
      </c>
    </row>
    <row r="4" spans="1:8">
      <c r="A4" s="17">
        <v>46026</v>
      </c>
      <c r="B4" t="s">
        <v>93</v>
      </c>
      <c r="C4">
        <v>3</v>
      </c>
      <c r="D4">
        <v>61</v>
      </c>
      <c r="E4">
        <v>0</v>
      </c>
      <c r="F4">
        <v>0</v>
      </c>
      <c r="G4">
        <v>61</v>
      </c>
      <c r="H4">
        <v>15.4</v>
      </c>
    </row>
    <row r="5" spans="1:8">
      <c r="A5" s="17">
        <v>46026</v>
      </c>
      <c r="B5" t="s">
        <v>29</v>
      </c>
      <c r="C5">
        <v>3</v>
      </c>
      <c r="D5">
        <v>9</v>
      </c>
      <c r="E5">
        <v>0</v>
      </c>
      <c r="F5">
        <v>0</v>
      </c>
      <c r="G5">
        <v>9</v>
      </c>
      <c r="H5">
        <v>0.93</v>
      </c>
    </row>
    <row r="6" spans="1:8">
      <c r="A6" s="17">
        <v>46026</v>
      </c>
      <c r="B6" t="s">
        <v>94</v>
      </c>
      <c r="C6">
        <v>3</v>
      </c>
      <c r="D6">
        <v>12.94</v>
      </c>
      <c r="E6">
        <v>0</v>
      </c>
      <c r="F6">
        <v>0</v>
      </c>
      <c r="G6">
        <v>12.94</v>
      </c>
      <c r="H6">
        <v>1.33</v>
      </c>
    </row>
    <row r="7" spans="1:8">
      <c r="A7" s="17">
        <v>46022</v>
      </c>
      <c r="B7" t="s">
        <v>28</v>
      </c>
      <c r="C7">
        <v>215</v>
      </c>
      <c r="D7">
        <v>1937</v>
      </c>
      <c r="E7">
        <v>18</v>
      </c>
      <c r="F7">
        <v>0</v>
      </c>
      <c r="G7">
        <v>1955</v>
      </c>
      <c r="H7">
        <v>199.01</v>
      </c>
    </row>
    <row r="8" spans="1:8">
      <c r="A8" s="17">
        <v>46022</v>
      </c>
      <c r="B8" t="s">
        <v>23</v>
      </c>
      <c r="C8">
        <v>149</v>
      </c>
      <c r="D8">
        <v>3886.04</v>
      </c>
      <c r="E8">
        <v>419.03</v>
      </c>
      <c r="F8">
        <v>0</v>
      </c>
      <c r="G8">
        <v>4305.07</v>
      </c>
      <c r="H8">
        <v>398.36</v>
      </c>
    </row>
    <row r="9" spans="1:8">
      <c r="A9" s="17">
        <v>46022</v>
      </c>
      <c r="B9" t="s">
        <v>93</v>
      </c>
      <c r="C9">
        <v>585</v>
      </c>
      <c r="D9">
        <v>10690.55</v>
      </c>
      <c r="E9">
        <v>487.55</v>
      </c>
      <c r="F9">
        <v>0</v>
      </c>
      <c r="G9">
        <v>11178.1</v>
      </c>
      <c r="H9">
        <v>2558.66</v>
      </c>
    </row>
    <row r="10" spans="1:8">
      <c r="A10" s="17">
        <v>46022</v>
      </c>
      <c r="B10" t="s">
        <v>29</v>
      </c>
      <c r="C10">
        <v>10</v>
      </c>
      <c r="D10">
        <v>33</v>
      </c>
      <c r="E10">
        <v>0</v>
      </c>
      <c r="F10">
        <v>0</v>
      </c>
      <c r="G10">
        <v>33</v>
      </c>
      <c r="H10">
        <v>3.4</v>
      </c>
    </row>
    <row r="11" spans="1:8">
      <c r="A11" s="17">
        <v>46022</v>
      </c>
      <c r="B11" t="s">
        <v>94</v>
      </c>
      <c r="C11">
        <v>96</v>
      </c>
      <c r="D11">
        <v>201.18</v>
      </c>
      <c r="E11">
        <v>0</v>
      </c>
      <c r="F11">
        <v>0</v>
      </c>
      <c r="G11">
        <v>201.18</v>
      </c>
      <c r="H11">
        <v>20.71</v>
      </c>
    </row>
    <row r="12" spans="1:8">
      <c r="A12" s="17">
        <v>46022</v>
      </c>
      <c r="B12" t="s">
        <v>95</v>
      </c>
      <c r="C12">
        <v>14</v>
      </c>
      <c r="D12">
        <v>212.7</v>
      </c>
      <c r="E12">
        <v>24.3</v>
      </c>
      <c r="F12">
        <v>0</v>
      </c>
      <c r="G12">
        <v>237</v>
      </c>
      <c r="H12">
        <v>53.71</v>
      </c>
    </row>
    <row r="13" spans="1:8">
      <c r="A13" s="17">
        <v>46024</v>
      </c>
      <c r="B13" t="s">
        <v>28</v>
      </c>
      <c r="C13">
        <v>5</v>
      </c>
      <c r="D13">
        <v>45</v>
      </c>
      <c r="E13">
        <v>0</v>
      </c>
      <c r="F13">
        <v>0</v>
      </c>
      <c r="G13">
        <v>45</v>
      </c>
      <c r="H13">
        <v>4.5999999999999996</v>
      </c>
    </row>
    <row r="14" spans="1:8">
      <c r="A14" s="17">
        <v>46024</v>
      </c>
      <c r="B14" t="s">
        <v>23</v>
      </c>
      <c r="C14">
        <v>42</v>
      </c>
      <c r="D14">
        <v>1146.05</v>
      </c>
      <c r="E14">
        <v>0</v>
      </c>
      <c r="F14">
        <v>0</v>
      </c>
      <c r="G14">
        <v>1146.05</v>
      </c>
      <c r="H14">
        <v>117.48</v>
      </c>
    </row>
    <row r="15" spans="1:8">
      <c r="A15" s="17">
        <v>46024</v>
      </c>
      <c r="B15" t="s">
        <v>93</v>
      </c>
      <c r="C15">
        <v>20</v>
      </c>
      <c r="D15">
        <v>369</v>
      </c>
      <c r="E15">
        <v>0</v>
      </c>
      <c r="F15">
        <v>0</v>
      </c>
      <c r="G15">
        <v>369</v>
      </c>
      <c r="H15">
        <v>93.22</v>
      </c>
    </row>
    <row r="16" spans="1:8">
      <c r="A16" s="17">
        <v>46024</v>
      </c>
      <c r="B16" t="s">
        <v>29</v>
      </c>
      <c r="C16">
        <v>2</v>
      </c>
      <c r="D16">
        <v>6</v>
      </c>
      <c r="E16">
        <v>0</v>
      </c>
      <c r="F16">
        <v>0</v>
      </c>
      <c r="G16">
        <v>6</v>
      </c>
      <c r="H16">
        <v>0.62</v>
      </c>
    </row>
    <row r="17" spans="1:8">
      <c r="A17" s="17">
        <v>46024</v>
      </c>
      <c r="B17" t="s">
        <v>94</v>
      </c>
      <c r="C17">
        <v>6</v>
      </c>
      <c r="D17">
        <v>38.26</v>
      </c>
      <c r="E17">
        <v>0</v>
      </c>
      <c r="F17">
        <v>0</v>
      </c>
      <c r="G17">
        <v>38.26</v>
      </c>
      <c r="H17">
        <v>3.93</v>
      </c>
    </row>
    <row r="18" spans="1:8">
      <c r="A18" s="17">
        <v>46024</v>
      </c>
      <c r="B18" t="s">
        <v>95</v>
      </c>
      <c r="C18">
        <v>3</v>
      </c>
      <c r="D18">
        <v>35</v>
      </c>
      <c r="E18">
        <v>0</v>
      </c>
      <c r="F18">
        <v>0</v>
      </c>
      <c r="G18">
        <v>35</v>
      </c>
      <c r="H18">
        <v>8.84</v>
      </c>
    </row>
    <row r="19" spans="1:8">
      <c r="A19" s="17">
        <v>46025</v>
      </c>
      <c r="B19" t="s">
        <v>28</v>
      </c>
      <c r="C19">
        <v>107</v>
      </c>
      <c r="D19">
        <v>807</v>
      </c>
      <c r="E19">
        <v>0</v>
      </c>
      <c r="F19">
        <v>0</v>
      </c>
      <c r="G19">
        <v>807</v>
      </c>
      <c r="H19">
        <v>85.27</v>
      </c>
    </row>
    <row r="20" spans="1:8">
      <c r="A20" s="17">
        <v>46025</v>
      </c>
      <c r="B20" t="s">
        <v>23</v>
      </c>
      <c r="C20">
        <v>24</v>
      </c>
      <c r="D20">
        <v>455.46</v>
      </c>
      <c r="E20">
        <v>39.840000000000003</v>
      </c>
      <c r="F20">
        <v>0</v>
      </c>
      <c r="G20">
        <v>495.3</v>
      </c>
      <c r="H20">
        <v>46.66</v>
      </c>
    </row>
    <row r="21" spans="1:8">
      <c r="A21" s="17">
        <v>46025</v>
      </c>
      <c r="B21" t="s">
        <v>93</v>
      </c>
      <c r="C21">
        <v>280</v>
      </c>
      <c r="D21">
        <v>5075</v>
      </c>
      <c r="E21">
        <v>716.03</v>
      </c>
      <c r="F21">
        <v>0</v>
      </c>
      <c r="G21">
        <v>5791.03</v>
      </c>
      <c r="H21">
        <v>1156.58</v>
      </c>
    </row>
    <row r="22" spans="1:8">
      <c r="A22" s="17">
        <v>46025</v>
      </c>
      <c r="B22" t="s">
        <v>29</v>
      </c>
      <c r="C22">
        <v>7</v>
      </c>
      <c r="D22">
        <v>17</v>
      </c>
      <c r="E22">
        <v>8</v>
      </c>
      <c r="F22">
        <v>0</v>
      </c>
      <c r="G22">
        <v>25</v>
      </c>
      <c r="H22">
        <v>1.75</v>
      </c>
    </row>
    <row r="23" spans="1:8">
      <c r="A23" s="17">
        <v>46025</v>
      </c>
      <c r="B23" t="s">
        <v>94</v>
      </c>
      <c r="C23">
        <v>53</v>
      </c>
      <c r="D23">
        <v>74.150000000000006</v>
      </c>
      <c r="E23">
        <v>0</v>
      </c>
      <c r="F23">
        <v>0</v>
      </c>
      <c r="G23">
        <v>74.150000000000006</v>
      </c>
      <c r="H23">
        <v>7.58</v>
      </c>
    </row>
    <row r="24" spans="1:8">
      <c r="A24" s="17">
        <v>46028</v>
      </c>
      <c r="B24" t="s">
        <v>23</v>
      </c>
      <c r="C24">
        <v>6</v>
      </c>
      <c r="D24">
        <v>128.85</v>
      </c>
      <c r="E24">
        <v>0</v>
      </c>
      <c r="F24">
        <v>0</v>
      </c>
      <c r="G24">
        <v>128.85</v>
      </c>
      <c r="H24">
        <v>13.2</v>
      </c>
    </row>
    <row r="25" spans="1:8">
      <c r="A25" s="17">
        <v>46028</v>
      </c>
      <c r="B25" t="s">
        <v>93</v>
      </c>
      <c r="C25">
        <v>4</v>
      </c>
      <c r="D25">
        <v>41</v>
      </c>
      <c r="E25">
        <v>0</v>
      </c>
      <c r="F25">
        <v>0</v>
      </c>
      <c r="G25">
        <v>41</v>
      </c>
      <c r="H25">
        <v>10.35</v>
      </c>
    </row>
    <row r="26" spans="1:8">
      <c r="A26" s="17">
        <v>46030</v>
      </c>
      <c r="B26" t="s">
        <v>28</v>
      </c>
      <c r="C26">
        <v>1</v>
      </c>
      <c r="D26">
        <v>5</v>
      </c>
      <c r="E26">
        <v>0</v>
      </c>
      <c r="F26">
        <v>0</v>
      </c>
      <c r="G26">
        <v>5</v>
      </c>
      <c r="H26">
        <v>0.51</v>
      </c>
    </row>
    <row r="27" spans="1:8">
      <c r="A27" s="17">
        <v>46030</v>
      </c>
      <c r="B27" t="s">
        <v>23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7">
        <v>46030</v>
      </c>
      <c r="B28" t="s">
        <v>93</v>
      </c>
      <c r="C28">
        <v>1</v>
      </c>
      <c r="D28">
        <v>8</v>
      </c>
      <c r="E28">
        <v>0</v>
      </c>
      <c r="F28">
        <v>0</v>
      </c>
      <c r="G28">
        <v>8</v>
      </c>
      <c r="H28">
        <v>2.02</v>
      </c>
    </row>
    <row r="29" spans="1:8">
      <c r="A29" s="17">
        <v>46031</v>
      </c>
      <c r="B29" t="s">
        <v>28</v>
      </c>
      <c r="C29">
        <v>10</v>
      </c>
      <c r="D29">
        <v>60</v>
      </c>
      <c r="E29">
        <v>0</v>
      </c>
      <c r="F29">
        <v>0</v>
      </c>
      <c r="G29">
        <v>60</v>
      </c>
      <c r="H29">
        <v>9.73</v>
      </c>
    </row>
    <row r="30" spans="1:8">
      <c r="A30" s="17">
        <v>46031</v>
      </c>
      <c r="B30" t="s">
        <v>23</v>
      </c>
      <c r="C30">
        <v>26</v>
      </c>
      <c r="D30">
        <v>524.04999999999995</v>
      </c>
      <c r="E30">
        <v>28.5</v>
      </c>
      <c r="F30">
        <v>0</v>
      </c>
      <c r="G30">
        <v>552.54999999999995</v>
      </c>
      <c r="H30">
        <v>53.73</v>
      </c>
    </row>
    <row r="31" spans="1:8">
      <c r="A31" s="17">
        <v>46031</v>
      </c>
      <c r="B31" t="s">
        <v>93</v>
      </c>
      <c r="C31">
        <v>16</v>
      </c>
      <c r="D31">
        <v>242</v>
      </c>
      <c r="E31">
        <v>0</v>
      </c>
      <c r="F31">
        <v>0</v>
      </c>
      <c r="G31">
        <v>242</v>
      </c>
      <c r="H31">
        <v>58.11</v>
      </c>
    </row>
    <row r="32" spans="1:8">
      <c r="A32" s="17">
        <v>46031</v>
      </c>
      <c r="B32" t="s">
        <v>29</v>
      </c>
      <c r="C32">
        <v>1</v>
      </c>
      <c r="D32">
        <v>4</v>
      </c>
      <c r="E32">
        <v>0</v>
      </c>
      <c r="F32">
        <v>0</v>
      </c>
      <c r="G32">
        <v>4</v>
      </c>
      <c r="H32">
        <v>0.41</v>
      </c>
    </row>
    <row r="33" spans="1:8">
      <c r="A33" s="17">
        <v>46031</v>
      </c>
      <c r="B33" t="s">
        <v>94</v>
      </c>
      <c r="C33">
        <v>5</v>
      </c>
      <c r="D33">
        <v>9.18</v>
      </c>
      <c r="E33">
        <v>0</v>
      </c>
      <c r="F33">
        <v>0</v>
      </c>
      <c r="G33">
        <v>9.18</v>
      </c>
      <c r="H33">
        <v>0.95</v>
      </c>
    </row>
    <row r="34" spans="1:8">
      <c r="A34" s="17">
        <v>46031</v>
      </c>
      <c r="B34" t="s">
        <v>95</v>
      </c>
      <c r="C34">
        <v>4</v>
      </c>
      <c r="D34">
        <v>50</v>
      </c>
      <c r="E34">
        <v>0</v>
      </c>
      <c r="F34">
        <v>0</v>
      </c>
      <c r="G34">
        <v>50</v>
      </c>
      <c r="H34">
        <v>12.63</v>
      </c>
    </row>
    <row r="35" spans="1:8">
      <c r="A35" s="17">
        <v>46032</v>
      </c>
      <c r="B35" t="s">
        <v>28</v>
      </c>
      <c r="C35">
        <v>146</v>
      </c>
      <c r="D35">
        <v>1156</v>
      </c>
      <c r="E35">
        <v>8</v>
      </c>
      <c r="F35">
        <v>0</v>
      </c>
      <c r="G35">
        <v>1164</v>
      </c>
      <c r="H35">
        <v>120.15</v>
      </c>
    </row>
    <row r="36" spans="1:8">
      <c r="A36" s="17">
        <v>46032</v>
      </c>
      <c r="B36" t="s">
        <v>23</v>
      </c>
      <c r="C36">
        <v>60</v>
      </c>
      <c r="D36">
        <v>1170.74</v>
      </c>
      <c r="E36">
        <v>18.3</v>
      </c>
      <c r="F36">
        <v>0</v>
      </c>
      <c r="G36">
        <v>1189.04</v>
      </c>
      <c r="H36">
        <v>119.93</v>
      </c>
    </row>
    <row r="37" spans="1:8">
      <c r="A37" s="17">
        <v>46032</v>
      </c>
      <c r="B37" t="s">
        <v>93</v>
      </c>
      <c r="C37">
        <v>240</v>
      </c>
      <c r="D37">
        <v>3664.2</v>
      </c>
      <c r="E37">
        <v>620.83000000000004</v>
      </c>
      <c r="F37">
        <v>0</v>
      </c>
      <c r="G37">
        <v>4285.03</v>
      </c>
      <c r="H37">
        <v>904.76</v>
      </c>
    </row>
    <row r="38" spans="1:8">
      <c r="A38" s="17">
        <v>46032</v>
      </c>
      <c r="B38" t="s">
        <v>29</v>
      </c>
      <c r="C38">
        <v>9</v>
      </c>
      <c r="D38">
        <v>31</v>
      </c>
      <c r="E38">
        <v>0</v>
      </c>
      <c r="F38">
        <v>0</v>
      </c>
      <c r="G38">
        <v>31</v>
      </c>
      <c r="H38">
        <v>3.2</v>
      </c>
    </row>
    <row r="39" spans="1:8">
      <c r="A39" s="17">
        <v>46032</v>
      </c>
      <c r="B39" t="s">
        <v>96</v>
      </c>
      <c r="C39">
        <v>2</v>
      </c>
      <c r="D39">
        <v>7.2</v>
      </c>
      <c r="E39">
        <v>0.8</v>
      </c>
      <c r="F39">
        <v>0</v>
      </c>
      <c r="G39">
        <v>8</v>
      </c>
      <c r="H39">
        <v>1.82</v>
      </c>
    </row>
    <row r="40" spans="1:8">
      <c r="A40" s="17">
        <v>46032</v>
      </c>
      <c r="B40" t="s">
        <v>94</v>
      </c>
      <c r="C40">
        <v>51</v>
      </c>
      <c r="D40">
        <v>76.2</v>
      </c>
      <c r="E40">
        <v>0</v>
      </c>
      <c r="F40">
        <v>0</v>
      </c>
      <c r="G40">
        <v>76.2</v>
      </c>
      <c r="H40">
        <v>7.82</v>
      </c>
    </row>
    <row r="41" spans="1:8">
      <c r="A41" s="17">
        <v>46032</v>
      </c>
      <c r="B41" t="s">
        <v>95</v>
      </c>
      <c r="C41">
        <v>2</v>
      </c>
      <c r="D41">
        <v>24</v>
      </c>
      <c r="E41">
        <v>0</v>
      </c>
      <c r="F41">
        <v>0</v>
      </c>
      <c r="G41">
        <v>24</v>
      </c>
      <c r="H41">
        <v>6.06</v>
      </c>
    </row>
    <row r="42" spans="1:8">
      <c r="A42" s="17">
        <v>46021</v>
      </c>
      <c r="B42" t="s">
        <v>28</v>
      </c>
      <c r="C42">
        <v>15</v>
      </c>
      <c r="D42">
        <v>122</v>
      </c>
      <c r="E42">
        <v>0</v>
      </c>
      <c r="F42">
        <v>0</v>
      </c>
      <c r="G42">
        <v>122</v>
      </c>
      <c r="H42">
        <v>13.39</v>
      </c>
    </row>
    <row r="43" spans="1:8">
      <c r="A43" s="17">
        <v>46021</v>
      </c>
      <c r="B43" t="s">
        <v>23</v>
      </c>
      <c r="C43">
        <v>56</v>
      </c>
      <c r="D43">
        <v>1315.15</v>
      </c>
      <c r="E43">
        <v>10</v>
      </c>
      <c r="F43">
        <v>0</v>
      </c>
      <c r="G43">
        <v>1325.15</v>
      </c>
      <c r="H43">
        <v>134.74</v>
      </c>
    </row>
    <row r="44" spans="1:8">
      <c r="A44" s="17">
        <v>46021</v>
      </c>
      <c r="B44" t="s">
        <v>93</v>
      </c>
      <c r="C44">
        <v>12</v>
      </c>
      <c r="D44">
        <v>215</v>
      </c>
      <c r="E44">
        <v>0</v>
      </c>
      <c r="F44">
        <v>0</v>
      </c>
      <c r="G44">
        <v>215</v>
      </c>
      <c r="H44">
        <v>54.29</v>
      </c>
    </row>
    <row r="45" spans="1:8">
      <c r="A45" s="17">
        <v>46021</v>
      </c>
      <c r="B45" t="s">
        <v>29</v>
      </c>
      <c r="C45">
        <v>5</v>
      </c>
      <c r="D45">
        <v>15</v>
      </c>
      <c r="E45">
        <v>0</v>
      </c>
      <c r="F45">
        <v>0</v>
      </c>
      <c r="G45">
        <v>15</v>
      </c>
      <c r="H45">
        <v>1.55</v>
      </c>
    </row>
    <row r="46" spans="1:8">
      <c r="A46" s="17">
        <v>46021</v>
      </c>
      <c r="B46" t="s">
        <v>94</v>
      </c>
      <c r="C46">
        <v>14</v>
      </c>
      <c r="D46">
        <v>39.39</v>
      </c>
      <c r="E46">
        <v>0</v>
      </c>
      <c r="F46">
        <v>0</v>
      </c>
      <c r="G46">
        <v>39.39</v>
      </c>
      <c r="H46">
        <v>4.04</v>
      </c>
    </row>
    <row r="47" spans="1:8">
      <c r="A47" s="17">
        <v>46021</v>
      </c>
      <c r="B47" t="s">
        <v>95</v>
      </c>
      <c r="C47">
        <v>7</v>
      </c>
      <c r="D47">
        <v>98</v>
      </c>
      <c r="E47">
        <v>0</v>
      </c>
      <c r="F47">
        <v>0</v>
      </c>
      <c r="G47">
        <v>98</v>
      </c>
      <c r="H47">
        <v>24.75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17"/>
  <sheetViews>
    <sheetView workbookViewId="0">
      <pane ySplit="1" topLeftCell="A2" activePane="bottomLeft" state="frozen"/>
      <selection pane="bottomLeft" activeCell="E24" sqref="E24"/>
    </sheetView>
  </sheetViews>
  <sheetFormatPr defaultRowHeight="14.4"/>
  <cols>
    <col min="1" max="1" width="15.68359375" style="16" bestFit="1" customWidth="1"/>
    <col min="2" max="2" width="15.68359375" style="16" customWidth="1"/>
    <col min="3" max="3" width="6.20703125" style="16" bestFit="1" customWidth="1"/>
    <col min="4" max="4" width="8.05078125" style="16" bestFit="1" customWidth="1"/>
    <col min="5" max="5" width="14.62890625" style="16" bestFit="1" customWidth="1"/>
    <col min="6" max="6" width="13.41796875" style="16" bestFit="1" customWidth="1"/>
    <col min="7" max="7" width="9.68359375" style="16" bestFit="1" customWidth="1"/>
    <col min="8" max="8" width="10.26171875" style="16" bestFit="1" customWidth="1"/>
    <col min="9" max="9" width="11" style="16" bestFit="1" customWidth="1"/>
  </cols>
  <sheetData>
    <row r="1" spans="1:8">
      <c r="A1" s="1" t="s">
        <v>57</v>
      </c>
      <c r="B1" s="1" t="s">
        <v>97</v>
      </c>
      <c r="C1" s="1" t="s">
        <v>98</v>
      </c>
      <c r="D1" s="1" t="s">
        <v>79</v>
      </c>
      <c r="E1" s="1" t="s">
        <v>90</v>
      </c>
      <c r="F1" s="1" t="s">
        <v>91</v>
      </c>
      <c r="G1" s="1" t="s">
        <v>92</v>
      </c>
      <c r="H1" s="1" t="s">
        <v>64</v>
      </c>
    </row>
    <row r="2" spans="1:8">
      <c r="A2" s="17">
        <v>46026</v>
      </c>
      <c r="B2" t="s">
        <v>99</v>
      </c>
      <c r="C2">
        <v>4</v>
      </c>
      <c r="D2">
        <v>637.09</v>
      </c>
      <c r="E2">
        <v>0</v>
      </c>
      <c r="F2">
        <v>0</v>
      </c>
      <c r="G2">
        <v>637.09</v>
      </c>
      <c r="H2">
        <v>74.44</v>
      </c>
    </row>
    <row r="3" spans="1:8">
      <c r="A3" s="17">
        <v>46022</v>
      </c>
      <c r="B3" t="s">
        <v>99</v>
      </c>
      <c r="C3">
        <v>31</v>
      </c>
      <c r="D3">
        <v>5763.03</v>
      </c>
      <c r="E3">
        <v>635.5</v>
      </c>
      <c r="F3">
        <v>0</v>
      </c>
      <c r="G3">
        <v>6398.53</v>
      </c>
      <c r="H3">
        <v>861.95</v>
      </c>
    </row>
    <row r="4" spans="1:8">
      <c r="A4" s="17">
        <v>46022</v>
      </c>
      <c r="B4" t="s">
        <v>100</v>
      </c>
      <c r="C4">
        <v>340</v>
      </c>
      <c r="D4">
        <v>11119.49</v>
      </c>
      <c r="E4">
        <v>313.38</v>
      </c>
      <c r="F4">
        <v>0</v>
      </c>
      <c r="G4">
        <v>11432.87</v>
      </c>
      <c r="H4">
        <v>2363.91</v>
      </c>
    </row>
    <row r="5" spans="1:8">
      <c r="A5" s="17">
        <v>46022</v>
      </c>
      <c r="B5" t="s">
        <v>101</v>
      </c>
      <c r="C5">
        <v>1</v>
      </c>
      <c r="D5">
        <v>77.95</v>
      </c>
      <c r="E5">
        <v>0</v>
      </c>
      <c r="F5">
        <v>0</v>
      </c>
      <c r="G5">
        <v>77.95</v>
      </c>
      <c r="H5">
        <v>7.99</v>
      </c>
    </row>
    <row r="6" spans="1:8">
      <c r="A6" s="17">
        <v>46024</v>
      </c>
      <c r="B6" t="s">
        <v>99</v>
      </c>
      <c r="C6">
        <v>9</v>
      </c>
      <c r="D6">
        <v>1639.31</v>
      </c>
      <c r="E6">
        <v>0</v>
      </c>
      <c r="F6">
        <v>0</v>
      </c>
      <c r="G6">
        <v>1639.31</v>
      </c>
      <c r="H6">
        <v>228.69</v>
      </c>
    </row>
    <row r="7" spans="1:8">
      <c r="A7" s="17">
        <v>46025</v>
      </c>
      <c r="B7" t="s">
        <v>102</v>
      </c>
      <c r="C7">
        <v>4</v>
      </c>
      <c r="D7">
        <v>271.61</v>
      </c>
      <c r="E7">
        <v>4.8899999999999997</v>
      </c>
      <c r="F7">
        <v>0</v>
      </c>
      <c r="G7">
        <v>276.5</v>
      </c>
      <c r="H7">
        <v>36.67</v>
      </c>
    </row>
    <row r="8" spans="1:8">
      <c r="A8" s="17">
        <v>46025</v>
      </c>
      <c r="B8" t="s">
        <v>99</v>
      </c>
      <c r="C8">
        <v>5</v>
      </c>
      <c r="D8">
        <v>360.27</v>
      </c>
      <c r="E8">
        <v>35.950000000000003</v>
      </c>
      <c r="F8">
        <v>0</v>
      </c>
      <c r="G8">
        <v>396.22</v>
      </c>
      <c r="H8">
        <v>52.82</v>
      </c>
    </row>
    <row r="9" spans="1:8">
      <c r="A9" s="17">
        <v>46025</v>
      </c>
      <c r="B9" t="s">
        <v>100</v>
      </c>
      <c r="C9">
        <v>190</v>
      </c>
      <c r="D9">
        <v>5796.73</v>
      </c>
      <c r="E9">
        <v>723.03</v>
      </c>
      <c r="F9">
        <v>0</v>
      </c>
      <c r="G9">
        <v>6519.76</v>
      </c>
      <c r="H9">
        <v>1208.3499999999999</v>
      </c>
    </row>
    <row r="10" spans="1:8">
      <c r="A10" s="17">
        <v>46028</v>
      </c>
      <c r="B10" t="s">
        <v>99</v>
      </c>
      <c r="C10">
        <v>2</v>
      </c>
      <c r="D10">
        <v>169.85</v>
      </c>
      <c r="E10">
        <v>0</v>
      </c>
      <c r="F10">
        <v>0</v>
      </c>
      <c r="G10">
        <v>169.85</v>
      </c>
      <c r="H10">
        <v>23.55</v>
      </c>
    </row>
    <row r="11" spans="1:8">
      <c r="A11" s="17">
        <v>46030</v>
      </c>
      <c r="B11" t="s">
        <v>99</v>
      </c>
      <c r="C11">
        <v>1</v>
      </c>
      <c r="D11">
        <v>13</v>
      </c>
      <c r="E11">
        <v>0</v>
      </c>
      <c r="F11">
        <v>0</v>
      </c>
      <c r="G11">
        <v>13</v>
      </c>
      <c r="H11">
        <v>2.5299999999999998</v>
      </c>
    </row>
    <row r="12" spans="1:8">
      <c r="A12" s="17">
        <v>46031</v>
      </c>
      <c r="B12" t="s">
        <v>99</v>
      </c>
      <c r="C12">
        <v>6</v>
      </c>
      <c r="D12">
        <v>889.23</v>
      </c>
      <c r="E12">
        <v>28.5</v>
      </c>
      <c r="F12">
        <v>0</v>
      </c>
      <c r="G12">
        <v>917.73</v>
      </c>
      <c r="H12">
        <v>135.56</v>
      </c>
    </row>
    <row r="13" spans="1:8">
      <c r="A13" s="17">
        <v>46032</v>
      </c>
      <c r="B13" t="s">
        <v>102</v>
      </c>
      <c r="C13">
        <v>9</v>
      </c>
      <c r="D13">
        <v>1061.8699999999999</v>
      </c>
      <c r="E13">
        <v>2.9</v>
      </c>
      <c r="F13">
        <v>0</v>
      </c>
      <c r="G13">
        <v>1064.77</v>
      </c>
      <c r="H13">
        <v>163.63</v>
      </c>
    </row>
    <row r="14" spans="1:8">
      <c r="A14" s="17">
        <v>46032</v>
      </c>
      <c r="B14" t="s">
        <v>99</v>
      </c>
      <c r="C14">
        <v>6</v>
      </c>
      <c r="D14">
        <v>655.33000000000004</v>
      </c>
      <c r="E14">
        <v>6.5</v>
      </c>
      <c r="F14">
        <v>0</v>
      </c>
      <c r="G14">
        <v>661.83</v>
      </c>
      <c r="H14">
        <v>103.81</v>
      </c>
    </row>
    <row r="15" spans="1:8">
      <c r="A15" s="17">
        <v>46032</v>
      </c>
      <c r="B15" t="s">
        <v>100</v>
      </c>
      <c r="C15">
        <v>165</v>
      </c>
      <c r="D15">
        <v>4412.1400000000003</v>
      </c>
      <c r="E15">
        <v>638.53</v>
      </c>
      <c r="F15">
        <v>0</v>
      </c>
      <c r="G15">
        <v>5050.67</v>
      </c>
      <c r="H15">
        <v>896.3</v>
      </c>
    </row>
    <row r="16" spans="1:8">
      <c r="A16" s="17">
        <v>46021</v>
      </c>
      <c r="B16" t="s">
        <v>99</v>
      </c>
      <c r="C16">
        <v>10</v>
      </c>
      <c r="D16">
        <v>1774.67</v>
      </c>
      <c r="E16">
        <v>10</v>
      </c>
      <c r="F16">
        <v>0</v>
      </c>
      <c r="G16">
        <v>1784.67</v>
      </c>
      <c r="H16">
        <v>229.7</v>
      </c>
    </row>
    <row r="17" spans="1:8">
      <c r="A17" s="17">
        <v>46021</v>
      </c>
      <c r="B17" t="s">
        <v>100</v>
      </c>
      <c r="C17">
        <v>1</v>
      </c>
      <c r="D17">
        <v>29.87</v>
      </c>
      <c r="E17">
        <v>0</v>
      </c>
      <c r="F17">
        <v>0</v>
      </c>
      <c r="G17">
        <v>29.87</v>
      </c>
      <c r="H17">
        <v>3.06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1"/>
  <sheetViews>
    <sheetView workbookViewId="0">
      <pane ySplit="1" topLeftCell="A2" activePane="bottomLeft" state="frozen"/>
      <selection pane="bottomLeft" activeCell="C2" sqref="C2"/>
    </sheetView>
  </sheetViews>
  <sheetFormatPr defaultRowHeight="14.4"/>
  <cols>
    <col min="1" max="1" width="16.7890625" style="16" bestFit="1" customWidth="1"/>
    <col min="2" max="2" width="25.20703125" style="16" bestFit="1" customWidth="1"/>
    <col min="3" max="3" width="13.41796875" style="16" bestFit="1" customWidth="1"/>
    <col min="4" max="4" width="11.3125" style="16" bestFit="1" customWidth="1"/>
    <col min="5" max="5" width="12.62890625" style="16" bestFit="1" customWidth="1"/>
    <col min="6" max="6" width="14.15625" style="16" bestFit="1" customWidth="1"/>
    <col min="7" max="8" width="10.7890625" style="16" bestFit="1" customWidth="1"/>
    <col min="9" max="9" width="12.26171875" style="16" bestFit="1" customWidth="1"/>
    <col min="10" max="11" width="8.68359375" style="16" bestFit="1" customWidth="1"/>
  </cols>
  <sheetData>
    <row r="1" spans="1:11">
      <c r="A1" s="1" t="s">
        <v>57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59"/>
  <sheetViews>
    <sheetView zoomScale="72" zoomScaleNormal="72" workbookViewId="0">
      <pane ySplit="23" topLeftCell="A32" activePane="bottomLeft" state="frozen"/>
      <selection pane="bottomLeft" activeCell="K40" sqref="K40"/>
    </sheetView>
  </sheetViews>
  <sheetFormatPr defaultRowHeight="14.4"/>
  <cols>
    <col min="1" max="1" width="18" style="16" customWidth="1"/>
    <col min="2" max="2" width="20" style="16" customWidth="1"/>
    <col min="3" max="3" width="25" style="16" customWidth="1"/>
    <col min="4" max="4" width="18" style="16" customWidth="1"/>
    <col min="5" max="5" width="15" style="16" customWidth="1"/>
    <col min="6" max="6" width="18" style="16" customWidth="1"/>
    <col min="7" max="7" width="15" style="16" customWidth="1"/>
    <col min="8" max="8" width="25" style="16" hidden="1" customWidth="1"/>
    <col min="9" max="9" width="15" style="16" customWidth="1"/>
    <col min="10" max="10" width="13" style="16" hidden="1" customWidth="1"/>
  </cols>
  <sheetData>
    <row r="1" spans="1:10">
      <c r="A1" s="1" t="s">
        <v>112</v>
      </c>
      <c r="B1" s="1" t="s">
        <v>14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t="s">
        <v>118</v>
      </c>
      <c r="J1" t="s">
        <v>119</v>
      </c>
    </row>
    <row r="2" spans="1:10">
      <c r="H2" t="s">
        <v>120</v>
      </c>
      <c r="I2" s="17">
        <v>46041</v>
      </c>
      <c r="J2" s="3" t="s">
        <v>121</v>
      </c>
    </row>
    <row r="3" spans="1:10">
      <c r="A3" s="31"/>
      <c r="B3" s="25"/>
      <c r="C3" s="25"/>
      <c r="D3" s="25"/>
      <c r="E3" s="25"/>
      <c r="F3" s="25"/>
      <c r="G3" s="25"/>
    </row>
    <row r="4" spans="1:10">
      <c r="A4" s="17">
        <f t="shared" ref="A4:A20" si="0">IF($I$2&lt;&gt;"", $I$2, "")</f>
        <v>46041</v>
      </c>
      <c r="B4" t="s">
        <v>122</v>
      </c>
      <c r="C4" t="s">
        <v>123</v>
      </c>
      <c r="D4" s="4"/>
      <c r="E4" s="4"/>
      <c r="F4" s="4"/>
      <c r="G4" s="19" t="str">
        <f t="shared" ref="G4:G20" si="1">IF(AND(ISNUMBER(D4), ISNUMBER(E4), ISNUMBER(F4)), D4+E4-F4, "")</f>
        <v/>
      </c>
      <c r="H4" t="str">
        <f t="shared" ref="H4:H20" si="2">B4&amp;"|"&amp;C4</f>
        <v>Food + NA Beverage|Sysco</v>
      </c>
    </row>
    <row r="5" spans="1:10">
      <c r="A5" s="17">
        <f t="shared" si="0"/>
        <v>46041</v>
      </c>
      <c r="B5" t="s">
        <v>122</v>
      </c>
      <c r="C5" t="s">
        <v>124</v>
      </c>
      <c r="D5" s="4"/>
      <c r="E5" s="4"/>
      <c r="F5" s="4"/>
      <c r="G5" s="19" t="str">
        <f t="shared" si="1"/>
        <v/>
      </c>
      <c r="H5" t="str">
        <f t="shared" si="2"/>
        <v>Food + NA Beverage|Creation Garden (WOW)</v>
      </c>
    </row>
    <row r="6" spans="1:10">
      <c r="A6" s="17">
        <f t="shared" si="0"/>
        <v>46041</v>
      </c>
      <c r="B6" t="s">
        <v>122</v>
      </c>
      <c r="C6" t="s">
        <v>125</v>
      </c>
      <c r="D6" s="4"/>
      <c r="E6" s="4"/>
      <c r="F6" s="4"/>
      <c r="G6" s="19" t="str">
        <f t="shared" si="1"/>
        <v/>
      </c>
      <c r="H6" t="str">
        <f t="shared" si="2"/>
        <v>Food + NA Beverage|Restaurant Depot</v>
      </c>
    </row>
    <row r="7" spans="1:10">
      <c r="A7" s="17">
        <f t="shared" si="0"/>
        <v>46041</v>
      </c>
      <c r="B7" t="s">
        <v>122</v>
      </c>
      <c r="C7" t="s">
        <v>126</v>
      </c>
      <c r="D7" s="4"/>
      <c r="E7" s="4"/>
      <c r="F7" s="4"/>
      <c r="G7" s="19" t="str">
        <f t="shared" si="1"/>
        <v/>
      </c>
      <c r="H7" t="str">
        <f t="shared" si="2"/>
        <v>Food + NA Beverage|Others</v>
      </c>
    </row>
    <row r="8" spans="1:10">
      <c r="A8" s="17">
        <f t="shared" si="0"/>
        <v>46041</v>
      </c>
      <c r="B8" t="s">
        <v>127</v>
      </c>
      <c r="C8" t="s">
        <v>128</v>
      </c>
      <c r="D8" s="4"/>
      <c r="E8" s="4"/>
      <c r="F8" s="4"/>
      <c r="G8" s="19" t="str">
        <f t="shared" si="1"/>
        <v/>
      </c>
      <c r="H8" t="str">
        <f t="shared" si="2"/>
        <v>Liquor + Wine|Athens</v>
      </c>
    </row>
    <row r="9" spans="1:10">
      <c r="A9" s="17">
        <f t="shared" si="0"/>
        <v>46041</v>
      </c>
      <c r="B9" t="s">
        <v>127</v>
      </c>
      <c r="C9" t="s">
        <v>129</v>
      </c>
      <c r="D9" s="4"/>
      <c r="E9" s="4"/>
      <c r="F9" s="4"/>
      <c r="G9" s="19" t="str">
        <f t="shared" si="1"/>
        <v/>
      </c>
      <c r="H9" t="str">
        <f t="shared" si="2"/>
        <v>Liquor + Wine|Lipman Brothers</v>
      </c>
    </row>
    <row r="10" spans="1:10">
      <c r="A10" s="17">
        <f t="shared" si="0"/>
        <v>46041</v>
      </c>
      <c r="B10" t="s">
        <v>127</v>
      </c>
      <c r="C10" t="s">
        <v>130</v>
      </c>
      <c r="D10" s="4"/>
      <c r="E10" s="4"/>
      <c r="F10" s="4"/>
      <c r="G10" s="19" t="str">
        <f t="shared" si="1"/>
        <v/>
      </c>
      <c r="H10" t="str">
        <f t="shared" si="2"/>
        <v>Liquor + Wine|Best Brands</v>
      </c>
    </row>
    <row r="11" spans="1:10">
      <c r="A11" s="17">
        <f t="shared" si="0"/>
        <v>46041</v>
      </c>
      <c r="B11" t="s">
        <v>127</v>
      </c>
      <c r="C11" t="s">
        <v>131</v>
      </c>
      <c r="D11" s="4"/>
      <c r="E11" s="4"/>
      <c r="F11" s="4"/>
      <c r="G11" s="19" t="str">
        <f t="shared" si="1"/>
        <v/>
      </c>
      <c r="H11" t="str">
        <f t="shared" si="2"/>
        <v>Liquor + Wine|Tennessee Distributors</v>
      </c>
    </row>
    <row r="12" spans="1:10">
      <c r="A12" s="17">
        <f t="shared" si="0"/>
        <v>46041</v>
      </c>
      <c r="B12" t="s">
        <v>127</v>
      </c>
      <c r="C12" t="s">
        <v>132</v>
      </c>
      <c r="D12" s="4"/>
      <c r="E12" s="4"/>
      <c r="F12" s="4"/>
      <c r="G12" s="19" t="str">
        <f t="shared" si="1"/>
        <v/>
      </c>
      <c r="H12" t="str">
        <f t="shared" si="2"/>
        <v>Liquor + Wine|Empire</v>
      </c>
    </row>
    <row r="13" spans="1:10">
      <c r="A13" s="17">
        <f t="shared" si="0"/>
        <v>46041</v>
      </c>
      <c r="B13" t="s">
        <v>127</v>
      </c>
      <c r="C13" t="s">
        <v>126</v>
      </c>
      <c r="D13" s="4"/>
      <c r="E13" s="4"/>
      <c r="F13" s="4"/>
      <c r="G13" s="19" t="str">
        <f t="shared" si="1"/>
        <v/>
      </c>
      <c r="H13" t="str">
        <f t="shared" si="2"/>
        <v>Liquor + Wine|Others</v>
      </c>
    </row>
    <row r="14" spans="1:10">
      <c r="A14" s="17">
        <f t="shared" si="0"/>
        <v>46041</v>
      </c>
      <c r="B14" t="s">
        <v>133</v>
      </c>
      <c r="C14" t="s">
        <v>134</v>
      </c>
      <c r="D14" s="4"/>
      <c r="E14" s="4"/>
      <c r="F14" s="4"/>
      <c r="G14" s="19" t="str">
        <f t="shared" si="1"/>
        <v/>
      </c>
      <c r="H14" t="str">
        <f t="shared" si="2"/>
        <v>Beer|DET</v>
      </c>
    </row>
    <row r="15" spans="1:10">
      <c r="A15" s="17">
        <f t="shared" si="0"/>
        <v>46041</v>
      </c>
      <c r="B15" t="s">
        <v>133</v>
      </c>
      <c r="C15" t="s">
        <v>135</v>
      </c>
      <c r="D15" s="4"/>
      <c r="E15" s="4"/>
      <c r="F15" s="4"/>
      <c r="G15" s="19" t="str">
        <f t="shared" si="1"/>
        <v/>
      </c>
      <c r="H15" t="str">
        <f t="shared" si="2"/>
        <v>Beer|Ajax Turner</v>
      </c>
    </row>
    <row r="16" spans="1:10">
      <c r="A16" s="17">
        <f t="shared" si="0"/>
        <v>46041</v>
      </c>
      <c r="B16" t="s">
        <v>133</v>
      </c>
      <c r="C16" t="s">
        <v>136</v>
      </c>
      <c r="D16" s="4"/>
      <c r="E16" s="4"/>
      <c r="F16" s="4"/>
      <c r="G16" s="19" t="str">
        <f t="shared" si="1"/>
        <v/>
      </c>
      <c r="H16" t="str">
        <f t="shared" si="2"/>
        <v>Beer|Bounty Bev</v>
      </c>
    </row>
    <row r="17" spans="1:8">
      <c r="A17" s="17">
        <f t="shared" si="0"/>
        <v>46041</v>
      </c>
      <c r="B17" t="s">
        <v>133</v>
      </c>
      <c r="C17" t="s">
        <v>126</v>
      </c>
      <c r="D17" s="4"/>
      <c r="E17" s="4"/>
      <c r="F17" s="4"/>
      <c r="G17" s="19" t="str">
        <f t="shared" si="1"/>
        <v/>
      </c>
      <c r="H17" t="str">
        <f t="shared" si="2"/>
        <v>Beer|Others</v>
      </c>
    </row>
    <row r="18" spans="1:8">
      <c r="A18" s="17">
        <f t="shared" si="0"/>
        <v>46041</v>
      </c>
      <c r="B18" t="s">
        <v>137</v>
      </c>
      <c r="C18" t="s">
        <v>138</v>
      </c>
      <c r="D18" s="4"/>
      <c r="E18" s="4"/>
      <c r="F18" s="4"/>
      <c r="G18" s="19" t="str">
        <f t="shared" si="1"/>
        <v/>
      </c>
      <c r="H18" t="str">
        <f t="shared" si="2"/>
        <v>Paper Goods|Barnes Supply</v>
      </c>
    </row>
    <row r="19" spans="1:8">
      <c r="A19" s="17">
        <f t="shared" si="0"/>
        <v>46041</v>
      </c>
      <c r="B19" t="s">
        <v>137</v>
      </c>
      <c r="C19" t="s">
        <v>126</v>
      </c>
      <c r="D19" s="4"/>
      <c r="E19" s="4"/>
      <c r="F19" s="4"/>
      <c r="G19" s="19" t="str">
        <f t="shared" si="1"/>
        <v/>
      </c>
      <c r="H19" t="str">
        <f t="shared" si="2"/>
        <v>Paper Goods|Others</v>
      </c>
    </row>
    <row r="20" spans="1:8">
      <c r="A20" s="17">
        <f t="shared" si="0"/>
        <v>46041</v>
      </c>
      <c r="B20" t="s">
        <v>30</v>
      </c>
      <c r="C20" t="s">
        <v>126</v>
      </c>
      <c r="D20" s="4"/>
      <c r="E20" s="4"/>
      <c r="F20" s="4"/>
      <c r="G20" s="19" t="str">
        <f t="shared" si="1"/>
        <v/>
      </c>
      <c r="H20" t="str">
        <f t="shared" si="2"/>
        <v>Retail|Others</v>
      </c>
    </row>
    <row r="21" spans="1:8" ht="38.1" customHeight="1">
      <c r="A21" s="32" t="s">
        <v>139</v>
      </c>
      <c r="B21" s="25"/>
      <c r="C21" s="25"/>
      <c r="D21" s="25"/>
      <c r="E21" s="25"/>
      <c r="F21" s="25"/>
      <c r="G21" s="25"/>
    </row>
    <row r="22" spans="1:8">
      <c r="A22" s="33" t="s">
        <v>140</v>
      </c>
      <c r="B22" s="25"/>
      <c r="C22" s="25"/>
      <c r="D22" s="25"/>
      <c r="E22" s="25"/>
      <c r="F22" s="25"/>
      <c r="G22" s="25"/>
    </row>
    <row r="23" spans="1:8">
      <c r="A23" s="35"/>
      <c r="B23" s="25"/>
      <c r="C23" s="25"/>
      <c r="D23" s="25"/>
      <c r="E23" s="25"/>
      <c r="F23" s="25"/>
      <c r="G23" s="25"/>
    </row>
    <row r="24" spans="1:8">
      <c r="A24" s="34" t="s">
        <v>141</v>
      </c>
      <c r="B24" s="25"/>
      <c r="C24" s="25"/>
      <c r="D24" s="25"/>
      <c r="E24" s="25"/>
      <c r="F24" s="25"/>
      <c r="G24" s="25"/>
    </row>
    <row r="25" spans="1:8">
      <c r="A25" s="21">
        <v>46034</v>
      </c>
      <c r="B25" t="s">
        <v>122</v>
      </c>
      <c r="C25" t="s">
        <v>123</v>
      </c>
      <c r="D25" s="4">
        <v>30</v>
      </c>
      <c r="E25" s="4">
        <v>50</v>
      </c>
      <c r="F25" s="4">
        <v>10</v>
      </c>
      <c r="G25" s="22">
        <f t="shared" ref="G25:G41" si="3">IF(AND(ISNUMBER(D25), ISNUMBER(E25), ISNUMBER(F25)), D25+E25-F25, "")</f>
        <v>70</v>
      </c>
    </row>
    <row r="26" spans="1:8">
      <c r="A26" s="21">
        <v>46034</v>
      </c>
      <c r="B26" t="s">
        <v>122</v>
      </c>
      <c r="C26" t="s">
        <v>124</v>
      </c>
      <c r="D26" s="4">
        <v>40</v>
      </c>
      <c r="E26" s="4">
        <v>100</v>
      </c>
      <c r="F26" s="4">
        <v>30</v>
      </c>
      <c r="G26" s="22">
        <f t="shared" si="3"/>
        <v>110</v>
      </c>
    </row>
    <row r="27" spans="1:8">
      <c r="A27" s="21">
        <v>46034</v>
      </c>
      <c r="B27" t="s">
        <v>122</v>
      </c>
      <c r="C27" t="s">
        <v>125</v>
      </c>
      <c r="D27" s="4"/>
      <c r="E27" s="4"/>
      <c r="F27" s="4"/>
      <c r="G27" s="22" t="str">
        <f t="shared" si="3"/>
        <v/>
      </c>
    </row>
    <row r="28" spans="1:8">
      <c r="A28" s="21">
        <v>46034</v>
      </c>
      <c r="B28" t="s">
        <v>122</v>
      </c>
      <c r="C28" t="s">
        <v>126</v>
      </c>
      <c r="D28" s="4"/>
      <c r="E28" s="4"/>
      <c r="F28" s="4"/>
      <c r="G28" s="22" t="str">
        <f t="shared" si="3"/>
        <v/>
      </c>
    </row>
    <row r="29" spans="1:8">
      <c r="A29" s="21">
        <v>46034</v>
      </c>
      <c r="B29" t="s">
        <v>127</v>
      </c>
      <c r="C29" t="s">
        <v>128</v>
      </c>
      <c r="D29" s="4"/>
      <c r="E29" s="4"/>
      <c r="F29" s="4"/>
      <c r="G29" s="22" t="str">
        <f t="shared" si="3"/>
        <v/>
      </c>
    </row>
    <row r="30" spans="1:8">
      <c r="A30" s="21">
        <v>46034</v>
      </c>
      <c r="B30" t="s">
        <v>127</v>
      </c>
      <c r="C30" t="s">
        <v>129</v>
      </c>
      <c r="D30" s="4"/>
      <c r="E30" s="4"/>
      <c r="F30" s="4"/>
      <c r="G30" s="22" t="str">
        <f t="shared" si="3"/>
        <v/>
      </c>
    </row>
    <row r="31" spans="1:8">
      <c r="A31" s="21">
        <v>46034</v>
      </c>
      <c r="B31" t="s">
        <v>127</v>
      </c>
      <c r="C31" t="s">
        <v>130</v>
      </c>
      <c r="D31" s="4"/>
      <c r="E31" s="4"/>
      <c r="F31" s="4"/>
      <c r="G31" s="22" t="str">
        <f t="shared" si="3"/>
        <v/>
      </c>
    </row>
    <row r="32" spans="1:8">
      <c r="A32" s="21">
        <v>46034</v>
      </c>
      <c r="B32" t="s">
        <v>127</v>
      </c>
      <c r="C32" t="s">
        <v>131</v>
      </c>
      <c r="D32" s="4"/>
      <c r="E32" s="4"/>
      <c r="F32" s="4"/>
      <c r="G32" s="22" t="str">
        <f t="shared" si="3"/>
        <v/>
      </c>
    </row>
    <row r="33" spans="1:7">
      <c r="A33" s="21">
        <v>46034</v>
      </c>
      <c r="B33" t="s">
        <v>127</v>
      </c>
      <c r="C33" t="s">
        <v>132</v>
      </c>
      <c r="D33" s="4"/>
      <c r="E33" s="4"/>
      <c r="F33" s="4"/>
      <c r="G33" s="22" t="str">
        <f t="shared" si="3"/>
        <v/>
      </c>
    </row>
    <row r="34" spans="1:7">
      <c r="A34" s="21">
        <v>46034</v>
      </c>
      <c r="B34" t="s">
        <v>127</v>
      </c>
      <c r="C34" t="s">
        <v>126</v>
      </c>
      <c r="D34" s="4"/>
      <c r="E34" s="4"/>
      <c r="F34" s="4"/>
      <c r="G34" s="22" t="str">
        <f t="shared" si="3"/>
        <v/>
      </c>
    </row>
    <row r="35" spans="1:7">
      <c r="A35" s="21">
        <v>46034</v>
      </c>
      <c r="B35" t="s">
        <v>133</v>
      </c>
      <c r="C35" t="s">
        <v>134</v>
      </c>
      <c r="D35" s="4"/>
      <c r="E35" s="4"/>
      <c r="F35" s="4"/>
      <c r="G35" s="22" t="str">
        <f t="shared" si="3"/>
        <v/>
      </c>
    </row>
    <row r="36" spans="1:7">
      <c r="A36" s="21">
        <v>46034</v>
      </c>
      <c r="B36" t="s">
        <v>133</v>
      </c>
      <c r="C36" t="s">
        <v>135</v>
      </c>
      <c r="D36" s="4"/>
      <c r="E36" s="4"/>
      <c r="F36" s="4"/>
      <c r="G36" s="22" t="str">
        <f t="shared" si="3"/>
        <v/>
      </c>
    </row>
    <row r="37" spans="1:7">
      <c r="A37" s="21">
        <v>46034</v>
      </c>
      <c r="B37" t="s">
        <v>133</v>
      </c>
      <c r="C37" t="s">
        <v>136</v>
      </c>
      <c r="D37" s="4"/>
      <c r="E37" s="4"/>
      <c r="F37" s="4"/>
      <c r="G37" s="22" t="str">
        <f t="shared" si="3"/>
        <v/>
      </c>
    </row>
    <row r="38" spans="1:7">
      <c r="A38" s="21">
        <v>46034</v>
      </c>
      <c r="B38" t="s">
        <v>133</v>
      </c>
      <c r="C38" t="s">
        <v>126</v>
      </c>
      <c r="D38" s="4"/>
      <c r="E38" s="4"/>
      <c r="F38" s="4"/>
      <c r="G38" s="22" t="str">
        <f t="shared" si="3"/>
        <v/>
      </c>
    </row>
    <row r="39" spans="1:7">
      <c r="A39" s="21">
        <v>46034</v>
      </c>
      <c r="B39" t="s">
        <v>137</v>
      </c>
      <c r="C39" t="s">
        <v>138</v>
      </c>
      <c r="D39" s="4"/>
      <c r="E39" s="4"/>
      <c r="F39" s="4"/>
      <c r="G39" s="22" t="str">
        <f t="shared" si="3"/>
        <v/>
      </c>
    </row>
    <row r="40" spans="1:7">
      <c r="A40" s="21">
        <v>46034</v>
      </c>
      <c r="B40" t="s">
        <v>137</v>
      </c>
      <c r="C40" t="s">
        <v>126</v>
      </c>
      <c r="D40" s="4"/>
      <c r="E40" s="4"/>
      <c r="F40" s="4"/>
      <c r="G40" s="22" t="str">
        <f t="shared" si="3"/>
        <v/>
      </c>
    </row>
    <row r="41" spans="1:7">
      <c r="A41" s="21">
        <v>46034</v>
      </c>
      <c r="B41" t="s">
        <v>30</v>
      </c>
      <c r="C41" t="s">
        <v>126</v>
      </c>
      <c r="D41" s="4"/>
      <c r="E41" s="4"/>
      <c r="F41" s="4"/>
      <c r="G41" s="22" t="str">
        <f t="shared" si="3"/>
        <v/>
      </c>
    </row>
    <row r="42" spans="1:7">
      <c r="A42" s="34" t="s">
        <v>142</v>
      </c>
      <c r="B42" s="25"/>
      <c r="C42" s="25"/>
      <c r="D42" s="25"/>
      <c r="E42" s="25"/>
      <c r="F42" s="25"/>
      <c r="G42" s="25"/>
    </row>
    <row r="43" spans="1:7">
      <c r="A43" s="21">
        <v>46027</v>
      </c>
      <c r="B43" t="s">
        <v>122</v>
      </c>
      <c r="C43" t="s">
        <v>123</v>
      </c>
      <c r="D43" s="4">
        <v>10</v>
      </c>
      <c r="E43" s="4">
        <v>20</v>
      </c>
      <c r="F43" s="4">
        <v>8</v>
      </c>
      <c r="G43" s="22">
        <f t="shared" ref="G43:G59" si="4">IF(AND(ISNUMBER(D43), ISNUMBER(E43), ISNUMBER(F43)), D43+E43-F43, "")</f>
        <v>22</v>
      </c>
    </row>
    <row r="44" spans="1:7">
      <c r="A44" s="21">
        <v>46027</v>
      </c>
      <c r="B44" t="s">
        <v>122</v>
      </c>
      <c r="C44" t="s">
        <v>124</v>
      </c>
      <c r="D44" s="4">
        <v>10</v>
      </c>
      <c r="E44" s="4">
        <v>20</v>
      </c>
      <c r="F44" s="4">
        <v>8</v>
      </c>
      <c r="G44" s="22">
        <f t="shared" si="4"/>
        <v>22</v>
      </c>
    </row>
    <row r="45" spans="1:7">
      <c r="A45" s="21">
        <v>46027</v>
      </c>
      <c r="B45" t="s">
        <v>122</v>
      </c>
      <c r="C45" t="s">
        <v>125</v>
      </c>
      <c r="D45" s="4">
        <v>10</v>
      </c>
      <c r="E45" s="4">
        <v>20</v>
      </c>
      <c r="F45" s="4">
        <v>8</v>
      </c>
      <c r="G45" s="22">
        <f t="shared" si="4"/>
        <v>22</v>
      </c>
    </row>
    <row r="46" spans="1:7">
      <c r="A46" s="21">
        <v>46027</v>
      </c>
      <c r="B46" t="s">
        <v>122</v>
      </c>
      <c r="C46" t="s">
        <v>126</v>
      </c>
      <c r="D46" s="4"/>
      <c r="E46" s="4"/>
      <c r="F46" s="4"/>
      <c r="G46" s="22" t="str">
        <f t="shared" si="4"/>
        <v/>
      </c>
    </row>
    <row r="47" spans="1:7">
      <c r="A47" s="21">
        <v>46027</v>
      </c>
      <c r="B47" t="s">
        <v>127</v>
      </c>
      <c r="C47" t="s">
        <v>128</v>
      </c>
      <c r="D47" s="4"/>
      <c r="E47" s="4"/>
      <c r="F47" s="4"/>
      <c r="G47" s="22" t="str">
        <f t="shared" si="4"/>
        <v/>
      </c>
    </row>
    <row r="48" spans="1:7">
      <c r="A48" s="21">
        <v>46027</v>
      </c>
      <c r="B48" t="s">
        <v>127</v>
      </c>
      <c r="C48" t="s">
        <v>129</v>
      </c>
      <c r="D48" s="4"/>
      <c r="E48" s="4"/>
      <c r="F48" s="4"/>
      <c r="G48" s="22" t="str">
        <f t="shared" si="4"/>
        <v/>
      </c>
    </row>
    <row r="49" spans="1:7">
      <c r="A49" s="21">
        <v>46027</v>
      </c>
      <c r="B49" t="s">
        <v>127</v>
      </c>
      <c r="C49" t="s">
        <v>130</v>
      </c>
      <c r="D49" s="4"/>
      <c r="E49" s="4"/>
      <c r="F49" s="4"/>
      <c r="G49" s="22" t="str">
        <f t="shared" si="4"/>
        <v/>
      </c>
    </row>
    <row r="50" spans="1:7">
      <c r="A50" s="21">
        <v>46027</v>
      </c>
      <c r="B50" t="s">
        <v>127</v>
      </c>
      <c r="C50" t="s">
        <v>131</v>
      </c>
      <c r="D50" s="4"/>
      <c r="E50" s="4"/>
      <c r="F50" s="4"/>
      <c r="G50" s="22" t="str">
        <f t="shared" si="4"/>
        <v/>
      </c>
    </row>
    <row r="51" spans="1:7">
      <c r="A51" s="21">
        <v>46027</v>
      </c>
      <c r="B51" t="s">
        <v>127</v>
      </c>
      <c r="C51" t="s">
        <v>132</v>
      </c>
      <c r="D51" s="4"/>
      <c r="E51" s="4"/>
      <c r="F51" s="4"/>
      <c r="G51" s="22" t="str">
        <f t="shared" si="4"/>
        <v/>
      </c>
    </row>
    <row r="52" spans="1:7">
      <c r="A52" s="21">
        <v>46027</v>
      </c>
      <c r="B52" t="s">
        <v>127</v>
      </c>
      <c r="C52" t="s">
        <v>126</v>
      </c>
      <c r="D52" s="4"/>
      <c r="E52" s="4"/>
      <c r="F52" s="4"/>
      <c r="G52" s="22" t="str">
        <f t="shared" si="4"/>
        <v/>
      </c>
    </row>
    <row r="53" spans="1:7">
      <c r="A53" s="21">
        <v>46027</v>
      </c>
      <c r="B53" t="s">
        <v>133</v>
      </c>
      <c r="C53" t="s">
        <v>134</v>
      </c>
      <c r="D53" s="4"/>
      <c r="E53" s="4"/>
      <c r="F53" s="4"/>
      <c r="G53" s="22" t="str">
        <f t="shared" si="4"/>
        <v/>
      </c>
    </row>
    <row r="54" spans="1:7">
      <c r="A54" s="21">
        <v>46027</v>
      </c>
      <c r="B54" t="s">
        <v>133</v>
      </c>
      <c r="C54" t="s">
        <v>135</v>
      </c>
      <c r="D54" s="4"/>
      <c r="E54" s="4"/>
      <c r="F54" s="4"/>
      <c r="G54" s="22" t="str">
        <f t="shared" si="4"/>
        <v/>
      </c>
    </row>
    <row r="55" spans="1:7">
      <c r="A55" s="21">
        <v>46027</v>
      </c>
      <c r="B55" t="s">
        <v>133</v>
      </c>
      <c r="C55" t="s">
        <v>136</v>
      </c>
      <c r="D55" s="4"/>
      <c r="E55" s="4"/>
      <c r="F55" s="4"/>
      <c r="G55" s="22" t="str">
        <f t="shared" si="4"/>
        <v/>
      </c>
    </row>
    <row r="56" spans="1:7">
      <c r="A56" s="21">
        <v>46027</v>
      </c>
      <c r="B56" t="s">
        <v>133</v>
      </c>
      <c r="C56" t="s">
        <v>126</v>
      </c>
      <c r="D56" s="4"/>
      <c r="E56" s="4"/>
      <c r="F56" s="4"/>
      <c r="G56" s="22" t="str">
        <f t="shared" si="4"/>
        <v/>
      </c>
    </row>
    <row r="57" spans="1:7">
      <c r="A57" s="21">
        <v>46027</v>
      </c>
      <c r="B57" t="s">
        <v>137</v>
      </c>
      <c r="C57" t="s">
        <v>138</v>
      </c>
      <c r="D57" s="4"/>
      <c r="E57" s="4"/>
      <c r="F57" s="4"/>
      <c r="G57" s="22" t="str">
        <f t="shared" si="4"/>
        <v/>
      </c>
    </row>
    <row r="58" spans="1:7">
      <c r="A58" s="21">
        <v>46027</v>
      </c>
      <c r="B58" t="s">
        <v>137</v>
      </c>
      <c r="C58" t="s">
        <v>126</v>
      </c>
      <c r="D58" s="4"/>
      <c r="E58" s="4"/>
      <c r="F58" s="4"/>
      <c r="G58" s="22" t="str">
        <f t="shared" si="4"/>
        <v/>
      </c>
    </row>
    <row r="59" spans="1:7">
      <c r="A59" s="21">
        <v>46027</v>
      </c>
      <c r="B59" t="s">
        <v>30</v>
      </c>
      <c r="C59" t="s">
        <v>126</v>
      </c>
      <c r="D59" s="4"/>
      <c r="E59" s="4"/>
      <c r="F59" s="4"/>
      <c r="G59" s="22" t="str">
        <f t="shared" si="4"/>
        <v/>
      </c>
    </row>
  </sheetData>
  <mergeCells count="6">
    <mergeCell ref="A3:G3"/>
    <mergeCell ref="A21:G21"/>
    <mergeCell ref="A22:G22"/>
    <mergeCell ref="A24:G24"/>
    <mergeCell ref="A42:G42"/>
    <mergeCell ref="A23:G23"/>
  </mergeCells>
  <dataValidations count="1">
    <dataValidation type="list" showDropDown="1" sqref="B4:B20">
      <formula1>"Food + NA Beverage,Liquor + Wine,Beer,Paper Goods,Retail"</formula1>
    </dataValidation>
  </dataValidations>
  <pageMargins left="0.75" right="0.75" top="1" bottom="1" header="0.5" footer="0.5"/>
  <pageSetup orientation="portrait" horizontalDpi="1200" verticalDpi="1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P1"/>
  <sheetViews>
    <sheetView workbookViewId="0">
      <pane ySplit="1" topLeftCell="A2" activePane="bottomLeft" state="frozen"/>
      <selection pane="bottomLeft" activeCell="E21" sqref="E21"/>
    </sheetView>
  </sheetViews>
  <sheetFormatPr defaultRowHeight="14.4"/>
  <cols>
    <col min="1" max="1" width="6.20703125" style="16" bestFit="1" customWidth="1"/>
    <col min="2" max="2" width="24.62890625" style="16" bestFit="1" customWidth="1"/>
    <col min="3" max="3" width="16.3671875" style="16" bestFit="1" customWidth="1"/>
    <col min="4" max="4" width="12.734375" style="16" bestFit="1" customWidth="1"/>
    <col min="5" max="5" width="20.68359375" style="16" bestFit="1" customWidth="1"/>
    <col min="6" max="6" width="20.47265625" style="16" bestFit="1" customWidth="1"/>
    <col min="7" max="7" width="17.62890625" style="16" bestFit="1" customWidth="1"/>
    <col min="8" max="8" width="29.578125" style="16" bestFit="1" customWidth="1"/>
    <col min="9" max="9" width="15.578125" style="16" bestFit="1" customWidth="1"/>
    <col min="10" max="10" width="13.9453125" style="16" bestFit="1" customWidth="1"/>
    <col min="11" max="11" width="23.1015625" style="16" bestFit="1" customWidth="1"/>
    <col min="12" max="12" width="8.62890625" style="16" bestFit="1" customWidth="1"/>
    <col min="13" max="13" width="14.41796875" style="16" bestFit="1" customWidth="1"/>
    <col min="14" max="14" width="13.578125" style="16" bestFit="1" customWidth="1"/>
    <col min="15" max="15" width="25.15625" style="16" bestFit="1" customWidth="1"/>
    <col min="16" max="16" width="8.578125" style="16" bestFit="1" customWidth="1"/>
    <col min="17" max="17" width="23.7890625" style="16" bestFit="1" customWidth="1"/>
    <col min="18" max="18" width="5.1015625" style="16" bestFit="1" customWidth="1"/>
    <col min="19" max="19" width="17.68359375" style="16" bestFit="1" customWidth="1"/>
    <col min="20" max="20" width="8.5234375" style="16" bestFit="1" customWidth="1"/>
    <col min="21" max="21" width="19.734375" style="16" bestFit="1" customWidth="1"/>
    <col min="22" max="22" width="22.15625" style="16" bestFit="1" customWidth="1"/>
    <col min="23" max="23" width="12" style="16" bestFit="1" customWidth="1"/>
    <col min="24" max="24" width="22.62890625" style="16" bestFit="1" customWidth="1"/>
    <col min="25" max="25" width="9.41796875" style="16" bestFit="1" customWidth="1"/>
    <col min="26" max="26" width="22.47265625" style="16" bestFit="1" customWidth="1"/>
    <col min="27" max="27" width="16.89453125" style="16" bestFit="1" customWidth="1"/>
    <col min="28" max="28" width="13.3671875" style="16" bestFit="1" customWidth="1"/>
    <col min="29" max="29" width="22.9453125" style="16" bestFit="1" customWidth="1"/>
    <col min="30" max="30" width="11.3125" style="16" bestFit="1" customWidth="1"/>
    <col min="31" max="31" width="30.5234375" style="16" bestFit="1" customWidth="1"/>
    <col min="32" max="32" width="26.578125" style="16" bestFit="1" customWidth="1"/>
    <col min="33" max="33" width="26.83984375" style="16" bestFit="1" customWidth="1"/>
    <col min="34" max="34" width="34.5234375" style="16" bestFit="1" customWidth="1"/>
    <col min="35" max="35" width="23.1015625" style="16" bestFit="1" customWidth="1"/>
    <col min="36" max="36" width="30.05078125" style="16" bestFit="1" customWidth="1"/>
    <col min="37" max="37" width="16.83984375" style="16" bestFit="1" customWidth="1"/>
    <col min="38" max="38" width="5.68359375" style="16" bestFit="1" customWidth="1"/>
    <col min="39" max="39" width="19.68359375" style="16" bestFit="1" customWidth="1"/>
    <col min="40" max="40" width="7" style="16" bestFit="1" customWidth="1"/>
    <col min="41" max="41" width="15.05078125" style="16" bestFit="1" customWidth="1"/>
    <col min="42" max="42" width="4.7890625" style="16" bestFit="1" customWidth="1"/>
  </cols>
  <sheetData>
    <row r="1" spans="1:42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162</v>
      </c>
      <c r="U1" s="1" t="s">
        <v>163</v>
      </c>
      <c r="V1" s="1" t="s">
        <v>164</v>
      </c>
      <c r="W1" s="1" t="s">
        <v>165</v>
      </c>
      <c r="X1" s="1" t="s">
        <v>166</v>
      </c>
      <c r="Y1" s="1" t="s">
        <v>167</v>
      </c>
      <c r="Z1" s="1" t="s">
        <v>168</v>
      </c>
      <c r="AA1" s="1" t="s">
        <v>169</v>
      </c>
      <c r="AB1" s="1" t="s">
        <v>170</v>
      </c>
      <c r="AC1" s="1" t="s">
        <v>171</v>
      </c>
      <c r="AD1" s="1" t="s">
        <v>172</v>
      </c>
      <c r="AE1" s="1" t="s">
        <v>173</v>
      </c>
      <c r="AF1" s="1" t="s">
        <v>174</v>
      </c>
      <c r="AG1" s="1" t="s">
        <v>175</v>
      </c>
      <c r="AH1" s="1" t="s">
        <v>176</v>
      </c>
      <c r="AI1" s="1" t="s">
        <v>177</v>
      </c>
      <c r="AJ1" s="1" t="s">
        <v>178</v>
      </c>
      <c r="AK1" s="1" t="s">
        <v>179</v>
      </c>
      <c r="AL1" s="1" t="s">
        <v>180</v>
      </c>
      <c r="AM1" s="1" t="s">
        <v>181</v>
      </c>
      <c r="AN1" s="1" t="s">
        <v>182</v>
      </c>
      <c r="AO1" s="1" t="s">
        <v>183</v>
      </c>
      <c r="AP1" s="1" t="s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0"/>
  <sheetViews>
    <sheetView workbookViewId="0">
      <pane ySplit="1" topLeftCell="A2" activePane="bottomLeft" state="frozen"/>
      <selection pane="bottomLeft" activeCell="E18" sqref="E18"/>
    </sheetView>
  </sheetViews>
  <sheetFormatPr defaultRowHeight="14.4"/>
  <cols>
    <col min="1" max="1" width="14.734375" style="16" bestFit="1" customWidth="1"/>
    <col min="2" max="2" width="11.47265625" style="16" bestFit="1" customWidth="1"/>
    <col min="3" max="3" width="6.734375" style="16" bestFit="1" customWidth="1"/>
  </cols>
  <sheetData>
    <row r="1" spans="1:3">
      <c r="A1" s="1" t="s">
        <v>51</v>
      </c>
      <c r="B1" s="1" t="s">
        <v>184</v>
      </c>
      <c r="C1" s="1" t="s">
        <v>185</v>
      </c>
    </row>
    <row r="2" spans="1:3">
      <c r="A2" t="s">
        <v>186</v>
      </c>
      <c r="B2" s="2">
        <v>0.25</v>
      </c>
      <c r="C2" t="s">
        <v>187</v>
      </c>
    </row>
    <row r="3" spans="1:3">
      <c r="A3" t="s">
        <v>188</v>
      </c>
      <c r="B3" s="2">
        <v>0.12</v>
      </c>
      <c r="C3" t="s">
        <v>187</v>
      </c>
    </row>
    <row r="4" spans="1:3">
      <c r="A4" t="s">
        <v>189</v>
      </c>
      <c r="B4" s="2">
        <v>0.15</v>
      </c>
      <c r="C4" t="s">
        <v>187</v>
      </c>
    </row>
    <row r="5" spans="1:3">
      <c r="A5" t="s">
        <v>190</v>
      </c>
      <c r="B5" s="2">
        <v>0.15</v>
      </c>
      <c r="C5" t="s">
        <v>187</v>
      </c>
    </row>
    <row r="6" spans="1:3">
      <c r="A6" t="s">
        <v>191</v>
      </c>
      <c r="B6" s="2">
        <v>0.25</v>
      </c>
      <c r="C6" t="s">
        <v>187</v>
      </c>
    </row>
    <row r="7" spans="1:3">
      <c r="A7" t="s">
        <v>192</v>
      </c>
      <c r="B7" s="2">
        <v>0.1</v>
      </c>
      <c r="C7" t="s">
        <v>187</v>
      </c>
    </row>
    <row r="8" spans="1:3">
      <c r="A8" t="s">
        <v>193</v>
      </c>
      <c r="B8" s="2">
        <v>0.1</v>
      </c>
      <c r="C8" t="s">
        <v>187</v>
      </c>
    </row>
    <row r="9" spans="1:3">
      <c r="A9" t="s">
        <v>194</v>
      </c>
      <c r="B9" s="2">
        <v>0.1</v>
      </c>
      <c r="C9" t="s">
        <v>187</v>
      </c>
    </row>
    <row r="10" spans="1:3">
      <c r="A10" t="s">
        <v>195</v>
      </c>
      <c r="B10" s="2">
        <v>0.45</v>
      </c>
      <c r="C10" t="s">
        <v>187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18"/>
  <sheetViews>
    <sheetView workbookViewId="0">
      <pane ySplit="1" topLeftCell="A2" activePane="bottomLeft" state="frozen"/>
      <selection pane="bottomLeft" activeCell="E11" sqref="E11"/>
    </sheetView>
  </sheetViews>
  <sheetFormatPr defaultRowHeight="14.4"/>
  <cols>
    <col min="1" max="1" width="16.62890625" style="16" bestFit="1" customWidth="1"/>
    <col min="2" max="2" width="20.1015625" style="16" bestFit="1" customWidth="1"/>
    <col min="3" max="3" width="5.734375" style="16" bestFit="1" customWidth="1"/>
  </cols>
  <sheetData>
    <row r="1" spans="1:3">
      <c r="A1" s="1" t="s">
        <v>14</v>
      </c>
      <c r="B1" s="1" t="s">
        <v>113</v>
      </c>
      <c r="C1" s="1" t="s">
        <v>196</v>
      </c>
    </row>
    <row r="2" spans="1:3">
      <c r="A2" t="s">
        <v>122</v>
      </c>
      <c r="B2" t="s">
        <v>123</v>
      </c>
      <c r="C2" t="s">
        <v>197</v>
      </c>
    </row>
    <row r="3" spans="1:3">
      <c r="A3" t="s">
        <v>122</v>
      </c>
      <c r="B3" t="s">
        <v>124</v>
      </c>
      <c r="C3" t="s">
        <v>197</v>
      </c>
    </row>
    <row r="4" spans="1:3">
      <c r="A4" t="s">
        <v>122</v>
      </c>
      <c r="B4" t="s">
        <v>125</v>
      </c>
      <c r="C4" t="s">
        <v>197</v>
      </c>
    </row>
    <row r="5" spans="1:3">
      <c r="A5" t="s">
        <v>122</v>
      </c>
      <c r="B5" t="s">
        <v>126</v>
      </c>
      <c r="C5" t="s">
        <v>197</v>
      </c>
    </row>
    <row r="6" spans="1:3">
      <c r="A6" t="s">
        <v>127</v>
      </c>
      <c r="B6" t="s">
        <v>128</v>
      </c>
      <c r="C6" t="s">
        <v>197</v>
      </c>
    </row>
    <row r="7" spans="1:3">
      <c r="A7" t="s">
        <v>127</v>
      </c>
      <c r="B7" t="s">
        <v>129</v>
      </c>
      <c r="C7" t="s">
        <v>197</v>
      </c>
    </row>
    <row r="8" spans="1:3">
      <c r="A8" t="s">
        <v>127</v>
      </c>
      <c r="B8" t="s">
        <v>130</v>
      </c>
      <c r="C8" t="s">
        <v>197</v>
      </c>
    </row>
    <row r="9" spans="1:3">
      <c r="A9" t="s">
        <v>127</v>
      </c>
      <c r="B9" t="s">
        <v>131</v>
      </c>
      <c r="C9" t="s">
        <v>197</v>
      </c>
    </row>
    <row r="10" spans="1:3">
      <c r="A10" t="s">
        <v>127</v>
      </c>
      <c r="B10" t="s">
        <v>132</v>
      </c>
      <c r="C10" t="s">
        <v>197</v>
      </c>
    </row>
    <row r="11" spans="1:3">
      <c r="A11" t="s">
        <v>127</v>
      </c>
      <c r="B11" t="s">
        <v>126</v>
      </c>
      <c r="C11" t="s">
        <v>197</v>
      </c>
    </row>
    <row r="12" spans="1:3">
      <c r="A12" t="s">
        <v>133</v>
      </c>
      <c r="B12" t="s">
        <v>134</v>
      </c>
      <c r="C12" t="s">
        <v>197</v>
      </c>
    </row>
    <row r="13" spans="1:3">
      <c r="A13" t="s">
        <v>133</v>
      </c>
      <c r="B13" t="s">
        <v>135</v>
      </c>
      <c r="C13" t="s">
        <v>197</v>
      </c>
    </row>
    <row r="14" spans="1:3">
      <c r="A14" t="s">
        <v>133</v>
      </c>
      <c r="B14" t="s">
        <v>136</v>
      </c>
      <c r="C14" t="s">
        <v>197</v>
      </c>
    </row>
    <row r="15" spans="1:3">
      <c r="A15" t="s">
        <v>133</v>
      </c>
      <c r="B15" t="s">
        <v>126</v>
      </c>
      <c r="C15" t="s">
        <v>197</v>
      </c>
    </row>
    <row r="16" spans="1:3">
      <c r="A16" t="s">
        <v>137</v>
      </c>
      <c r="B16" t="s">
        <v>138</v>
      </c>
      <c r="C16" t="s">
        <v>197</v>
      </c>
    </row>
    <row r="17" spans="1:3">
      <c r="A17" t="s">
        <v>137</v>
      </c>
      <c r="B17" t="s">
        <v>126</v>
      </c>
      <c r="C17" t="s">
        <v>197</v>
      </c>
    </row>
    <row r="18" spans="1:3">
      <c r="A18" t="s">
        <v>30</v>
      </c>
      <c r="B18" t="s">
        <v>126</v>
      </c>
      <c r="C18" t="s">
        <v>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9"/>
  <sheetViews>
    <sheetView workbookViewId="0">
      <pane ySplit="1" topLeftCell="A2" activePane="bottomLeft" state="frozen"/>
      <selection pane="bottomLeft" activeCell="E13" sqref="E13"/>
    </sheetView>
  </sheetViews>
  <sheetFormatPr defaultRowHeight="14.4"/>
  <cols>
    <col min="1" max="1" width="19.1015625" style="16" bestFit="1" customWidth="1"/>
    <col min="2" max="2" width="11.3125" style="16" bestFit="1" customWidth="1"/>
  </cols>
  <sheetData>
    <row r="1" spans="1:2">
      <c r="A1" s="1" t="s">
        <v>198</v>
      </c>
      <c r="B1" s="1" t="s">
        <v>199</v>
      </c>
    </row>
    <row r="2" spans="1:2">
      <c r="A2" t="s">
        <v>200</v>
      </c>
      <c r="B2" t="s">
        <v>201</v>
      </c>
    </row>
    <row r="3" spans="1:2">
      <c r="A3" t="s">
        <v>202</v>
      </c>
      <c r="B3" t="s">
        <v>201</v>
      </c>
    </row>
    <row r="4" spans="1:2">
      <c r="A4" t="s">
        <v>203</v>
      </c>
      <c r="B4" t="s">
        <v>201</v>
      </c>
    </row>
    <row r="5" spans="1:2">
      <c r="A5" t="s">
        <v>204</v>
      </c>
      <c r="B5" t="s">
        <v>201</v>
      </c>
    </row>
    <row r="6" spans="1:2">
      <c r="A6" t="s">
        <v>205</v>
      </c>
      <c r="B6" t="s">
        <v>206</v>
      </c>
    </row>
    <row r="7" spans="1:2">
      <c r="A7" t="s">
        <v>207</v>
      </c>
      <c r="B7" t="s">
        <v>206</v>
      </c>
    </row>
    <row r="8" spans="1:2">
      <c r="A8" t="s">
        <v>208</v>
      </c>
      <c r="B8" t="s">
        <v>206</v>
      </c>
    </row>
    <row r="9" spans="1:2">
      <c r="A9" t="s">
        <v>209</v>
      </c>
      <c r="B9" t="s">
        <v>206</v>
      </c>
    </row>
    <row r="10" spans="1:2">
      <c r="A10" t="s">
        <v>210</v>
      </c>
      <c r="B10" t="s">
        <v>206</v>
      </c>
    </row>
    <row r="11" spans="1:2">
      <c r="A11" t="s">
        <v>211</v>
      </c>
      <c r="B11" t="s">
        <v>206</v>
      </c>
    </row>
    <row r="12" spans="1:2">
      <c r="A12" t="s">
        <v>212</v>
      </c>
      <c r="B12" t="s">
        <v>206</v>
      </c>
    </row>
    <row r="13" spans="1:2">
      <c r="A13" t="s">
        <v>213</v>
      </c>
      <c r="B13" t="s">
        <v>206</v>
      </c>
    </row>
    <row r="14" spans="1:2">
      <c r="A14" t="s">
        <v>214</v>
      </c>
      <c r="B14" t="s">
        <v>45</v>
      </c>
    </row>
    <row r="15" spans="1:2">
      <c r="A15" t="s">
        <v>215</v>
      </c>
      <c r="B15" t="s">
        <v>206</v>
      </c>
    </row>
    <row r="16" spans="1:2">
      <c r="A16" t="s">
        <v>216</v>
      </c>
      <c r="B16" t="s">
        <v>206</v>
      </c>
    </row>
    <row r="17" spans="1:2">
      <c r="A17" t="s">
        <v>217</v>
      </c>
      <c r="B17" t="s">
        <v>206</v>
      </c>
    </row>
    <row r="18" spans="1:2">
      <c r="A18" t="s">
        <v>218</v>
      </c>
      <c r="B18" t="s">
        <v>44</v>
      </c>
    </row>
    <row r="19" spans="1:2">
      <c r="A19" t="s">
        <v>219</v>
      </c>
      <c r="B19" t="s">
        <v>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Q16"/>
  <sheetViews>
    <sheetView workbookViewId="0">
      <pane ySplit="1" topLeftCell="A2" activePane="bottomLeft" state="frozen"/>
      <selection pane="bottomLeft" activeCell="I12" sqref="I12"/>
    </sheetView>
  </sheetViews>
  <sheetFormatPr defaultRowHeight="14.4"/>
  <cols>
    <col min="1" max="1" width="16.7890625" bestFit="1" customWidth="1"/>
    <col min="2" max="2" width="13.7890625" bestFit="1" customWidth="1"/>
    <col min="3" max="3" width="9.7890625" bestFit="1" customWidth="1"/>
    <col min="4" max="4" width="10.89453125" bestFit="1" customWidth="1"/>
    <col min="5" max="5" width="9.5234375" bestFit="1" customWidth="1"/>
    <col min="6" max="6" width="10.20703125" bestFit="1" customWidth="1"/>
    <col min="7" max="7" width="11.3125" bestFit="1" customWidth="1"/>
    <col min="8" max="8" width="9.9453125" bestFit="1" customWidth="1"/>
    <col min="9" max="9" width="10.26171875" bestFit="1" customWidth="1"/>
    <col min="10" max="10" width="9.62890625" bestFit="1" customWidth="1"/>
    <col min="11" max="11" width="9.83984375" bestFit="1" customWidth="1"/>
    <col min="12" max="12" width="17.20703125" bestFit="1" customWidth="1"/>
    <col min="13" max="13" width="12.7890625" bestFit="1" customWidth="1"/>
    <col min="14" max="14" width="9" bestFit="1" customWidth="1"/>
    <col min="15" max="15" width="10.3125" bestFit="1" customWidth="1"/>
    <col min="16" max="16" width="13.05078125" bestFit="1" customWidth="1"/>
    <col min="17" max="17" width="4.68359375" bestFit="1" customWidth="1"/>
  </cols>
  <sheetData>
    <row r="1" spans="1:17">
      <c r="A1" s="5" t="s">
        <v>112</v>
      </c>
      <c r="B1" s="5" t="s">
        <v>220</v>
      </c>
      <c r="C1" s="5" t="s">
        <v>221</v>
      </c>
      <c r="D1" s="5" t="s">
        <v>222</v>
      </c>
      <c r="E1" s="5" t="s">
        <v>223</v>
      </c>
      <c r="F1" s="5" t="s">
        <v>224</v>
      </c>
      <c r="G1" s="5" t="s">
        <v>225</v>
      </c>
      <c r="H1" s="5" t="s">
        <v>226</v>
      </c>
      <c r="I1" s="5" t="s">
        <v>227</v>
      </c>
      <c r="J1" s="5" t="s">
        <v>228</v>
      </c>
      <c r="K1" s="5" t="s">
        <v>229</v>
      </c>
      <c r="L1" s="5" t="s">
        <v>230</v>
      </c>
      <c r="M1" s="5" t="s">
        <v>231</v>
      </c>
      <c r="N1" s="5" t="s">
        <v>232</v>
      </c>
      <c r="O1" s="5" t="s">
        <v>233</v>
      </c>
      <c r="P1" s="5" t="s">
        <v>234</v>
      </c>
      <c r="Q1" s="5" t="s">
        <v>235</v>
      </c>
    </row>
    <row r="2" spans="1:17">
      <c r="A2" s="17">
        <f>IF(ISNUMBER(Dashboard!$B$5), Dashboard!$B$5-7*7, "")</f>
        <v>45984</v>
      </c>
      <c r="B2" s="19">
        <f>IF($A2="","",SUMIFS(Sales_Revenue!$B$2:$B$10, Sales_Revenue!$A$2:$A$10, "&gt;="&amp;($A2-6), Sales_Revenue!$A$2:$A$10, "&lt;="&amp;$A2))</f>
        <v>0</v>
      </c>
      <c r="C2" s="19">
        <f>IF($A2="","",SUMIFS(Sales_Category!$D$2:$D$47, Sales_Category!$A$2:$A$47, "&gt;="&amp;($A2-6), Sales_Category!$A$2:$A$47, "&lt;="&amp;$A2, Sales_Category!$B$2:$B$47, "Food"))</f>
        <v>0</v>
      </c>
      <c r="D2" s="19">
        <f>IF($A2="","",SUMIFS(Sales_Category!$D$2:$D$47, Sales_Category!$A$2:$A$47, "&gt;="&amp;($A2-6), Sales_Category!$A$2:$A$47, "&lt;="&amp;$A2, Sales_Category!$B$2:$B$47, "Liquor")+SUMIFS(Sales_Category!$D$2:$D$47, Sales_Category!$A$2:$A$47, "&gt;="&amp;($A2-6), Sales_Category!$A$2:$A$47, "&lt;="&amp;$A2, Sales_Category!$B$2:$B$47, "Wine"))</f>
        <v>0</v>
      </c>
      <c r="E2" s="19">
        <f>IF($A2="","",SUMIFS(Sales_Category!$D$2:$D$47, Sales_Category!$A$2:$A$47, "&gt;="&amp;($A2-6), Sales_Category!$A$2:$A$47, "&lt;="&amp;$A2, Sales_Category!$B$2:$B$47, "Bottled Beer"))</f>
        <v>0</v>
      </c>
      <c r="F2" s="19">
        <f>IF($A2="","",SUMIFS(COGS_Input!$G$2:$G$59, COGS_Input!$A$2:$A$59, $A2, COGS_Input!$B$2:$B$59, "Food + NA Beverage"))</f>
        <v>0</v>
      </c>
      <c r="G2" s="19">
        <f>IF($A2="","",SUMIFS(COGS_Input!$G$2:$G$59, COGS_Input!$A$2:$A$59, $A2, COGS_Input!$B$2:$B$59, "Liquor + Wine"))</f>
        <v>0</v>
      </c>
      <c r="H2" s="19">
        <f>IF($A2="","",SUMIFS(COGS_Input!$G$2:$G$59, COGS_Input!$A$2:$A$59, $A2, COGS_Input!$B$2:$B$59, "Beer"))</f>
        <v>0</v>
      </c>
      <c r="I2" s="19">
        <f>IF($A2="","",SUMIFS(COGS_Input!$G$2:$G$59, COGS_Input!$A$2:$A$59, $A2))</f>
        <v>0</v>
      </c>
      <c r="J2" s="19">
        <f ca="1">IF($A2="","",SUMIFS(Labor_Input!$J$2:$J$2, Labor_Input!$A$2:$A$2, "&gt;="&amp;($A2-6), Labor_Input!$A$2:$A$2, "&lt;="&amp;$A2, Labor_Input!$D$2:$D$2, "FOH"))</f>
        <v>0</v>
      </c>
      <c r="K2" s="19">
        <f ca="1">IF($A2="","",SUMIFS(Labor_Input!$J$2:$J$2, Labor_Input!$A$2:$A$2, "&gt;="&amp;($A2-6), Labor_Input!$A$2:$A$2, "&lt;="&amp;$A2, Labor_Input!$D$2:$D$2, "BOH"))</f>
        <v>0</v>
      </c>
      <c r="L2" s="19">
        <f ca="1">IF($A2="","",SUMIFS(Labor_Input!$J$2:$J$2, Labor_Input!$A$2:$A$2, "&gt;="&amp;($A2-6), Labor_Input!$A$2:$A$2, "&lt;="&amp;$A2, Labor_Input!$D$2:$D$2, "Management"))</f>
        <v>0</v>
      </c>
      <c r="M2" s="19">
        <f ca="1">IF($A2="","",SUMIFS(Labor_Input!$J$2:$J$2, Labor_Input!$A$2:$A$2, "&gt;="&amp;($A2-6), Labor_Input!$A$2:$A$2, "&lt;="&amp;$A2, Labor_Input!$D$2:$D$2, "Security"))</f>
        <v>0</v>
      </c>
      <c r="N2" s="19">
        <f t="shared" ref="N2:N9" si="0">IF($A2="","",0)</f>
        <v>0</v>
      </c>
      <c r="O2" s="19">
        <f t="shared" ref="O2:O9" ca="1" si="1">IF($A2="","",SUM(J2:N2))</f>
        <v>0</v>
      </c>
      <c r="P2" s="15">
        <f t="shared" ref="P2:P9" si="2">IF($A2="","",WEEKNUM($A2,2))</f>
        <v>47</v>
      </c>
      <c r="Q2" s="15">
        <f t="shared" ref="Q2:Q9" si="3">IF($A2="","",YEAR($A2))</f>
        <v>2025</v>
      </c>
    </row>
    <row r="3" spans="1:17">
      <c r="A3" s="17">
        <f t="shared" ref="A3:A9" si="4">IF(A2="","",A2+7)</f>
        <v>45991</v>
      </c>
      <c r="B3" s="19">
        <f>IF($A3="","",SUMIFS(Sales_Revenue!$B$2:$B$10, Sales_Revenue!$A$2:$A$10, "&gt;="&amp;($A3-6), Sales_Revenue!$A$2:$A$10, "&lt;="&amp;$A3))</f>
        <v>0</v>
      </c>
      <c r="C3" s="19">
        <f>IF($A3="","",SUMIFS(Sales_Category!$D$2:$D$47, Sales_Category!$A$2:$A$47, "&gt;="&amp;($A3-6), Sales_Category!$A$2:$A$47, "&lt;="&amp;$A3, Sales_Category!$B$2:$B$47, "Food"))</f>
        <v>0</v>
      </c>
      <c r="D3" s="19">
        <f>IF($A3="","",SUMIFS(Sales_Category!$D$2:$D$47, Sales_Category!$A$2:$A$47, "&gt;="&amp;($A3-6), Sales_Category!$A$2:$A$47, "&lt;="&amp;$A3, Sales_Category!$B$2:$B$47, "Liquor")+SUMIFS(Sales_Category!$D$2:$D$47, Sales_Category!$A$2:$A$47, "&gt;="&amp;($A3-6), Sales_Category!$A$2:$A$47, "&lt;="&amp;$A3, Sales_Category!$B$2:$B$47, "Wine"))</f>
        <v>0</v>
      </c>
      <c r="E3" s="19">
        <f>IF($A3="","",SUMIFS(Sales_Category!$D$2:$D$47, Sales_Category!$A$2:$A$47, "&gt;="&amp;($A3-6), Sales_Category!$A$2:$A$47, "&lt;="&amp;$A3, Sales_Category!$B$2:$B$47, "Bottled Beer"))</f>
        <v>0</v>
      </c>
      <c r="F3" s="19">
        <f>IF($A3="","",SUMIFS(COGS_Input!$G$2:$G$59, COGS_Input!$A$2:$A$59, $A3, COGS_Input!$B$2:$B$59, "Food + NA Beverage"))</f>
        <v>0</v>
      </c>
      <c r="G3" s="19">
        <f>IF($A3="","",SUMIFS(COGS_Input!$G$2:$G$59, COGS_Input!$A$2:$A$59, $A3, COGS_Input!$B$2:$B$59, "Liquor + Wine"))</f>
        <v>0</v>
      </c>
      <c r="H3" s="19">
        <f>IF($A3="","",SUMIFS(COGS_Input!$G$2:$G$59, COGS_Input!$A$2:$A$59, $A3, COGS_Input!$B$2:$B$59, "Beer"))</f>
        <v>0</v>
      </c>
      <c r="I3" s="19">
        <f>IF($A3="","",SUMIFS(COGS_Input!$G$2:$G$59, COGS_Input!$A$2:$A$59, $A3))</f>
        <v>0</v>
      </c>
      <c r="J3" s="19">
        <f ca="1">IF($A3="","",SUMIFS(Labor_Input!$J$2:$J$2, Labor_Input!$A$2:$A$2, "&gt;="&amp;($A3-6), Labor_Input!$A$2:$A$2, "&lt;="&amp;$A3, Labor_Input!$D$2:$D$2, "FOH"))</f>
        <v>0</v>
      </c>
      <c r="K3" s="19">
        <f ca="1">IF($A3="","",SUMIFS(Labor_Input!$J$2:$J$2, Labor_Input!$A$2:$A$2, "&gt;="&amp;($A3-6), Labor_Input!$A$2:$A$2, "&lt;="&amp;$A3, Labor_Input!$D$2:$D$2, "BOH"))</f>
        <v>0</v>
      </c>
      <c r="L3" s="19">
        <f ca="1">IF($A3="","",SUMIFS(Labor_Input!$J$2:$J$2, Labor_Input!$A$2:$A$2, "&gt;="&amp;($A3-6), Labor_Input!$A$2:$A$2, "&lt;="&amp;$A3, Labor_Input!$D$2:$D$2, "Management"))</f>
        <v>0</v>
      </c>
      <c r="M3" s="19">
        <f ca="1">IF($A3="","",SUMIFS(Labor_Input!$J$2:$J$2, Labor_Input!$A$2:$A$2, "&gt;="&amp;($A3-6), Labor_Input!$A$2:$A$2, "&lt;="&amp;$A3, Labor_Input!$D$2:$D$2, "Security"))</f>
        <v>0</v>
      </c>
      <c r="N3" s="19">
        <f t="shared" si="0"/>
        <v>0</v>
      </c>
      <c r="O3" s="19">
        <f t="shared" ca="1" si="1"/>
        <v>0</v>
      </c>
      <c r="P3" s="15">
        <f t="shared" si="2"/>
        <v>48</v>
      </c>
      <c r="Q3" s="15">
        <f t="shared" si="3"/>
        <v>2025</v>
      </c>
    </row>
    <row r="4" spans="1:17">
      <c r="A4" s="17">
        <f t="shared" si="4"/>
        <v>45998</v>
      </c>
      <c r="B4" s="19">
        <f>IF($A4="","",SUMIFS(Sales_Revenue!$B$2:$B$10, Sales_Revenue!$A$2:$A$10, "&gt;="&amp;($A4-6), Sales_Revenue!$A$2:$A$10, "&lt;="&amp;$A4))</f>
        <v>0</v>
      </c>
      <c r="C4" s="19">
        <f>IF($A4="","",SUMIFS(Sales_Category!$D$2:$D$47, Sales_Category!$A$2:$A$47, "&gt;="&amp;($A4-6), Sales_Category!$A$2:$A$47, "&lt;="&amp;$A4, Sales_Category!$B$2:$B$47, "Food"))</f>
        <v>0</v>
      </c>
      <c r="D4" s="19">
        <f>IF($A4="","",SUMIFS(Sales_Category!$D$2:$D$47, Sales_Category!$A$2:$A$47, "&gt;="&amp;($A4-6), Sales_Category!$A$2:$A$47, "&lt;="&amp;$A4, Sales_Category!$B$2:$B$47, "Liquor")+SUMIFS(Sales_Category!$D$2:$D$47, Sales_Category!$A$2:$A$47, "&gt;="&amp;($A4-6), Sales_Category!$A$2:$A$47, "&lt;="&amp;$A4, Sales_Category!$B$2:$B$47, "Wine"))</f>
        <v>0</v>
      </c>
      <c r="E4" s="19">
        <f>IF($A4="","",SUMIFS(Sales_Category!$D$2:$D$47, Sales_Category!$A$2:$A$47, "&gt;="&amp;($A4-6), Sales_Category!$A$2:$A$47, "&lt;="&amp;$A4, Sales_Category!$B$2:$B$47, "Bottled Beer"))</f>
        <v>0</v>
      </c>
      <c r="F4" s="19">
        <f>IF($A4="","",SUMIFS(COGS_Input!$G$2:$G$59, COGS_Input!$A$2:$A$59, $A4, COGS_Input!$B$2:$B$59, "Food + NA Beverage"))</f>
        <v>0</v>
      </c>
      <c r="G4" s="19">
        <f>IF($A4="","",SUMIFS(COGS_Input!$G$2:$G$59, COGS_Input!$A$2:$A$59, $A4, COGS_Input!$B$2:$B$59, "Liquor + Wine"))</f>
        <v>0</v>
      </c>
      <c r="H4" s="19">
        <f>IF($A4="","",SUMIFS(COGS_Input!$G$2:$G$59, COGS_Input!$A$2:$A$59, $A4, COGS_Input!$B$2:$B$59, "Beer"))</f>
        <v>0</v>
      </c>
      <c r="I4" s="19">
        <f>IF($A4="","",SUMIFS(COGS_Input!$G$2:$G$59, COGS_Input!$A$2:$A$59, $A4))</f>
        <v>0</v>
      </c>
      <c r="J4" s="19">
        <f ca="1">IF($A4="","",SUMIFS(Labor_Input!$J$2:$J$2, Labor_Input!$A$2:$A$2, "&gt;="&amp;($A4-6), Labor_Input!$A$2:$A$2, "&lt;="&amp;$A4, Labor_Input!$D$2:$D$2, "FOH"))</f>
        <v>0</v>
      </c>
      <c r="K4" s="19">
        <f ca="1">IF($A4="","",SUMIFS(Labor_Input!$J$2:$J$2, Labor_Input!$A$2:$A$2, "&gt;="&amp;($A4-6), Labor_Input!$A$2:$A$2, "&lt;="&amp;$A4, Labor_Input!$D$2:$D$2, "BOH"))</f>
        <v>0</v>
      </c>
      <c r="L4" s="19">
        <f ca="1">IF($A4="","",SUMIFS(Labor_Input!$J$2:$J$2, Labor_Input!$A$2:$A$2, "&gt;="&amp;($A4-6), Labor_Input!$A$2:$A$2, "&lt;="&amp;$A4, Labor_Input!$D$2:$D$2, "Management"))</f>
        <v>0</v>
      </c>
      <c r="M4" s="19">
        <f ca="1">IF($A4="","",SUMIFS(Labor_Input!$J$2:$J$2, Labor_Input!$A$2:$A$2, "&gt;="&amp;($A4-6), Labor_Input!$A$2:$A$2, "&lt;="&amp;$A4, Labor_Input!$D$2:$D$2, "Security"))</f>
        <v>0</v>
      </c>
      <c r="N4" s="19">
        <f t="shared" si="0"/>
        <v>0</v>
      </c>
      <c r="O4" s="19">
        <f t="shared" ca="1" si="1"/>
        <v>0</v>
      </c>
      <c r="P4" s="15">
        <f t="shared" si="2"/>
        <v>49</v>
      </c>
      <c r="Q4" s="15">
        <f t="shared" si="3"/>
        <v>2025</v>
      </c>
    </row>
    <row r="5" spans="1:17">
      <c r="A5" s="17">
        <f t="shared" si="4"/>
        <v>46005</v>
      </c>
      <c r="B5" s="19">
        <f>IF($A5="","",SUMIFS(Sales_Revenue!$B$2:$B$10, Sales_Revenue!$A$2:$A$10, "&gt;="&amp;($A5-6), Sales_Revenue!$A$2:$A$10, "&lt;="&amp;$A5))</f>
        <v>0</v>
      </c>
      <c r="C5" s="19">
        <f>IF($A5="","",SUMIFS(Sales_Category!$D$2:$D$47, Sales_Category!$A$2:$A$47, "&gt;="&amp;($A5-6), Sales_Category!$A$2:$A$47, "&lt;="&amp;$A5, Sales_Category!$B$2:$B$47, "Food"))</f>
        <v>0</v>
      </c>
      <c r="D5" s="19">
        <f>IF($A5="","",SUMIFS(Sales_Category!$D$2:$D$47, Sales_Category!$A$2:$A$47, "&gt;="&amp;($A5-6), Sales_Category!$A$2:$A$47, "&lt;="&amp;$A5, Sales_Category!$B$2:$B$47, "Liquor")+SUMIFS(Sales_Category!$D$2:$D$47, Sales_Category!$A$2:$A$47, "&gt;="&amp;($A5-6), Sales_Category!$A$2:$A$47, "&lt;="&amp;$A5, Sales_Category!$B$2:$B$47, "Wine"))</f>
        <v>0</v>
      </c>
      <c r="E5" s="19">
        <f>IF($A5="","",SUMIFS(Sales_Category!$D$2:$D$47, Sales_Category!$A$2:$A$47, "&gt;="&amp;($A5-6), Sales_Category!$A$2:$A$47, "&lt;="&amp;$A5, Sales_Category!$B$2:$B$47, "Bottled Beer"))</f>
        <v>0</v>
      </c>
      <c r="F5" s="19">
        <f>IF($A5="","",SUMIFS(COGS_Input!$G$2:$G$59, COGS_Input!$A$2:$A$59, $A5, COGS_Input!$B$2:$B$59, "Food + NA Beverage"))</f>
        <v>0</v>
      </c>
      <c r="G5" s="19">
        <f>IF($A5="","",SUMIFS(COGS_Input!$G$2:$G$59, COGS_Input!$A$2:$A$59, $A5, COGS_Input!$B$2:$B$59, "Liquor + Wine"))</f>
        <v>0</v>
      </c>
      <c r="H5" s="19">
        <f>IF($A5="","",SUMIFS(COGS_Input!$G$2:$G$59, COGS_Input!$A$2:$A$59, $A5, COGS_Input!$B$2:$B$59, "Beer"))</f>
        <v>0</v>
      </c>
      <c r="I5" s="19">
        <f>IF($A5="","",SUMIFS(COGS_Input!$G$2:$G$59, COGS_Input!$A$2:$A$59, $A5))</f>
        <v>0</v>
      </c>
      <c r="J5" s="19">
        <f ca="1">IF($A5="","",SUMIFS(Labor_Input!$J$2:$J$2, Labor_Input!$A$2:$A$2, "&gt;="&amp;($A5-6), Labor_Input!$A$2:$A$2, "&lt;="&amp;$A5, Labor_Input!$D$2:$D$2, "FOH"))</f>
        <v>0</v>
      </c>
      <c r="K5" s="19">
        <f ca="1">IF($A5="","",SUMIFS(Labor_Input!$J$2:$J$2, Labor_Input!$A$2:$A$2, "&gt;="&amp;($A5-6), Labor_Input!$A$2:$A$2, "&lt;="&amp;$A5, Labor_Input!$D$2:$D$2, "BOH"))</f>
        <v>0</v>
      </c>
      <c r="L5" s="19">
        <f ca="1">IF($A5="","",SUMIFS(Labor_Input!$J$2:$J$2, Labor_Input!$A$2:$A$2, "&gt;="&amp;($A5-6), Labor_Input!$A$2:$A$2, "&lt;="&amp;$A5, Labor_Input!$D$2:$D$2, "Management"))</f>
        <v>0</v>
      </c>
      <c r="M5" s="19">
        <f ca="1">IF($A5="","",SUMIFS(Labor_Input!$J$2:$J$2, Labor_Input!$A$2:$A$2, "&gt;="&amp;($A5-6), Labor_Input!$A$2:$A$2, "&lt;="&amp;$A5, Labor_Input!$D$2:$D$2, "Security"))</f>
        <v>0</v>
      </c>
      <c r="N5" s="19">
        <f t="shared" si="0"/>
        <v>0</v>
      </c>
      <c r="O5" s="19">
        <f t="shared" ca="1" si="1"/>
        <v>0</v>
      </c>
      <c r="P5" s="15">
        <f t="shared" si="2"/>
        <v>50</v>
      </c>
      <c r="Q5" s="15">
        <f t="shared" si="3"/>
        <v>2025</v>
      </c>
    </row>
    <row r="6" spans="1:17">
      <c r="A6" s="17">
        <f t="shared" si="4"/>
        <v>46012</v>
      </c>
      <c r="B6" s="19">
        <f>IF($A6="","",SUMIFS(Sales_Revenue!$B$2:$B$10, Sales_Revenue!$A$2:$A$10, "&gt;="&amp;($A6-6), Sales_Revenue!$A$2:$A$10, "&lt;="&amp;$A6))</f>
        <v>0</v>
      </c>
      <c r="C6" s="19">
        <f>IF($A6="","",SUMIFS(Sales_Category!$D$2:$D$47, Sales_Category!$A$2:$A$47, "&gt;="&amp;($A6-6), Sales_Category!$A$2:$A$47, "&lt;="&amp;$A6, Sales_Category!$B$2:$B$47, "Food"))</f>
        <v>0</v>
      </c>
      <c r="D6" s="19">
        <f>IF($A6="","",SUMIFS(Sales_Category!$D$2:$D$47, Sales_Category!$A$2:$A$47, "&gt;="&amp;($A6-6), Sales_Category!$A$2:$A$47, "&lt;="&amp;$A6, Sales_Category!$B$2:$B$47, "Liquor")+SUMIFS(Sales_Category!$D$2:$D$47, Sales_Category!$A$2:$A$47, "&gt;="&amp;($A6-6), Sales_Category!$A$2:$A$47, "&lt;="&amp;$A6, Sales_Category!$B$2:$B$47, "Wine"))</f>
        <v>0</v>
      </c>
      <c r="E6" s="19">
        <f>IF($A6="","",SUMIFS(Sales_Category!$D$2:$D$47, Sales_Category!$A$2:$A$47, "&gt;="&amp;($A6-6), Sales_Category!$A$2:$A$47, "&lt;="&amp;$A6, Sales_Category!$B$2:$B$47, "Bottled Beer"))</f>
        <v>0</v>
      </c>
      <c r="F6" s="19">
        <f>IF($A6="","",SUMIFS(COGS_Input!$G$2:$G$59, COGS_Input!$A$2:$A$59, $A6, COGS_Input!$B$2:$B$59, "Food + NA Beverage"))</f>
        <v>0</v>
      </c>
      <c r="G6" s="19">
        <f>IF($A6="","",SUMIFS(COGS_Input!$G$2:$G$59, COGS_Input!$A$2:$A$59, $A6, COGS_Input!$B$2:$B$59, "Liquor + Wine"))</f>
        <v>0</v>
      </c>
      <c r="H6" s="19">
        <f>IF($A6="","",SUMIFS(COGS_Input!$G$2:$G$59, COGS_Input!$A$2:$A$59, $A6, COGS_Input!$B$2:$B$59, "Beer"))</f>
        <v>0</v>
      </c>
      <c r="I6" s="19">
        <f>IF($A6="","",SUMIFS(COGS_Input!$G$2:$G$59, COGS_Input!$A$2:$A$59, $A6))</f>
        <v>0</v>
      </c>
      <c r="J6" s="19">
        <f ca="1">IF($A6="","",SUMIFS(Labor_Input!$J$2:$J$2, Labor_Input!$A$2:$A$2, "&gt;="&amp;($A6-6), Labor_Input!$A$2:$A$2, "&lt;="&amp;$A6, Labor_Input!$D$2:$D$2, "FOH"))</f>
        <v>0</v>
      </c>
      <c r="K6" s="19">
        <f ca="1">IF($A6="","",SUMIFS(Labor_Input!$J$2:$J$2, Labor_Input!$A$2:$A$2, "&gt;="&amp;($A6-6), Labor_Input!$A$2:$A$2, "&lt;="&amp;$A6, Labor_Input!$D$2:$D$2, "BOH"))</f>
        <v>0</v>
      </c>
      <c r="L6" s="19">
        <f ca="1">IF($A6="","",SUMIFS(Labor_Input!$J$2:$J$2, Labor_Input!$A$2:$A$2, "&gt;="&amp;($A6-6), Labor_Input!$A$2:$A$2, "&lt;="&amp;$A6, Labor_Input!$D$2:$D$2, "Management"))</f>
        <v>0</v>
      </c>
      <c r="M6" s="19">
        <f ca="1">IF($A6="","",SUMIFS(Labor_Input!$J$2:$J$2, Labor_Input!$A$2:$A$2, "&gt;="&amp;($A6-6), Labor_Input!$A$2:$A$2, "&lt;="&amp;$A6, Labor_Input!$D$2:$D$2, "Security"))</f>
        <v>0</v>
      </c>
      <c r="N6" s="19">
        <f t="shared" si="0"/>
        <v>0</v>
      </c>
      <c r="O6" s="19">
        <f t="shared" ca="1" si="1"/>
        <v>0</v>
      </c>
      <c r="P6" s="15">
        <f t="shared" si="2"/>
        <v>51</v>
      </c>
      <c r="Q6" s="15">
        <f t="shared" si="3"/>
        <v>2025</v>
      </c>
    </row>
    <row r="7" spans="1:17">
      <c r="A7" s="17">
        <f t="shared" si="4"/>
        <v>46019</v>
      </c>
      <c r="B7" s="19">
        <f>IF($A7="","",SUMIFS(Sales_Revenue!$B$2:$B$10, Sales_Revenue!$A$2:$A$10, "&gt;="&amp;($A7-6), Sales_Revenue!$A$2:$A$10, "&lt;="&amp;$A7))</f>
        <v>0</v>
      </c>
      <c r="C7" s="19">
        <f>IF($A7="","",SUMIFS(Sales_Category!$D$2:$D$47, Sales_Category!$A$2:$A$47, "&gt;="&amp;($A7-6), Sales_Category!$A$2:$A$47, "&lt;="&amp;$A7, Sales_Category!$B$2:$B$47, "Food"))</f>
        <v>0</v>
      </c>
      <c r="D7" s="19">
        <f>IF($A7="","",SUMIFS(Sales_Category!$D$2:$D$47, Sales_Category!$A$2:$A$47, "&gt;="&amp;($A7-6), Sales_Category!$A$2:$A$47, "&lt;="&amp;$A7, Sales_Category!$B$2:$B$47, "Liquor")+SUMIFS(Sales_Category!$D$2:$D$47, Sales_Category!$A$2:$A$47, "&gt;="&amp;($A7-6), Sales_Category!$A$2:$A$47, "&lt;="&amp;$A7, Sales_Category!$B$2:$B$47, "Wine"))</f>
        <v>0</v>
      </c>
      <c r="E7" s="19">
        <f>IF($A7="","",SUMIFS(Sales_Category!$D$2:$D$47, Sales_Category!$A$2:$A$47, "&gt;="&amp;($A7-6), Sales_Category!$A$2:$A$47, "&lt;="&amp;$A7, Sales_Category!$B$2:$B$47, "Bottled Beer"))</f>
        <v>0</v>
      </c>
      <c r="F7" s="19">
        <f>IF($A7="","",SUMIFS(COGS_Input!$G$2:$G$59, COGS_Input!$A$2:$A$59, $A7, COGS_Input!$B$2:$B$59, "Food + NA Beverage"))</f>
        <v>0</v>
      </c>
      <c r="G7" s="19">
        <f>IF($A7="","",SUMIFS(COGS_Input!$G$2:$G$59, COGS_Input!$A$2:$A$59, $A7, COGS_Input!$B$2:$B$59, "Liquor + Wine"))</f>
        <v>0</v>
      </c>
      <c r="H7" s="19">
        <f>IF($A7="","",SUMIFS(COGS_Input!$G$2:$G$59, COGS_Input!$A$2:$A$59, $A7, COGS_Input!$B$2:$B$59, "Beer"))</f>
        <v>0</v>
      </c>
      <c r="I7" s="19">
        <f>IF($A7="","",SUMIFS(COGS_Input!$G$2:$G$59, COGS_Input!$A$2:$A$59, $A7))</f>
        <v>0</v>
      </c>
      <c r="J7" s="19">
        <f ca="1">IF($A7="","",SUMIFS(Labor_Input!$J$2:$J$2, Labor_Input!$A$2:$A$2, "&gt;="&amp;($A7-6), Labor_Input!$A$2:$A$2, "&lt;="&amp;$A7, Labor_Input!$D$2:$D$2, "FOH"))</f>
        <v>0</v>
      </c>
      <c r="K7" s="19">
        <f ca="1">IF($A7="","",SUMIFS(Labor_Input!$J$2:$J$2, Labor_Input!$A$2:$A$2, "&gt;="&amp;($A7-6), Labor_Input!$A$2:$A$2, "&lt;="&amp;$A7, Labor_Input!$D$2:$D$2, "BOH"))</f>
        <v>0</v>
      </c>
      <c r="L7" s="19">
        <f ca="1">IF($A7="","",SUMIFS(Labor_Input!$J$2:$J$2, Labor_Input!$A$2:$A$2, "&gt;="&amp;($A7-6), Labor_Input!$A$2:$A$2, "&lt;="&amp;$A7, Labor_Input!$D$2:$D$2, "Management"))</f>
        <v>0</v>
      </c>
      <c r="M7" s="19">
        <f ca="1">IF($A7="","",SUMIFS(Labor_Input!$J$2:$J$2, Labor_Input!$A$2:$A$2, "&gt;="&amp;($A7-6), Labor_Input!$A$2:$A$2, "&lt;="&amp;$A7, Labor_Input!$D$2:$D$2, "Security"))</f>
        <v>0</v>
      </c>
      <c r="N7" s="19">
        <f t="shared" si="0"/>
        <v>0</v>
      </c>
      <c r="O7" s="19">
        <f t="shared" ca="1" si="1"/>
        <v>0</v>
      </c>
      <c r="P7" s="15">
        <f t="shared" si="2"/>
        <v>52</v>
      </c>
      <c r="Q7" s="15">
        <f t="shared" si="3"/>
        <v>2025</v>
      </c>
    </row>
    <row r="8" spans="1:17">
      <c r="A8" s="17">
        <f t="shared" si="4"/>
        <v>46026</v>
      </c>
      <c r="B8" s="19">
        <f>IF($A8="","",SUMIFS(Sales_Revenue!$B$2:$B$10, Sales_Revenue!$A$2:$A$10, "&gt;="&amp;($A8-6), Sales_Revenue!$A$2:$A$10, "&lt;="&amp;$A8))</f>
        <v>27470.020000000004</v>
      </c>
      <c r="C8" s="19">
        <f>IF($A8="","",SUMIFS(Sales_Category!$D$2:$D$47, Sales_Category!$A$2:$A$47, "&gt;="&amp;($A8-6), Sales_Category!$A$2:$A$47, "&lt;="&amp;$A8, Sales_Category!$B$2:$B$47, "Food"))</f>
        <v>7325.85</v>
      </c>
      <c r="D8" s="19">
        <f>IF($A8="","",SUMIFS(Sales_Category!$D$2:$D$47, Sales_Category!$A$2:$A$47, "&gt;="&amp;($A8-6), Sales_Category!$A$2:$A$47, "&lt;="&amp;$A8, Sales_Category!$B$2:$B$47, "Liquor")+SUMIFS(Sales_Category!$D$2:$D$47, Sales_Category!$A$2:$A$47, "&gt;="&amp;($A8-6), Sales_Category!$A$2:$A$47, "&lt;="&amp;$A8, Sales_Category!$B$2:$B$47, "Wine"))</f>
        <v>16756.25</v>
      </c>
      <c r="E8" s="19">
        <f>IF($A8="","",SUMIFS(Sales_Category!$D$2:$D$47, Sales_Category!$A$2:$A$47, "&gt;="&amp;($A8-6), Sales_Category!$A$2:$A$47, "&lt;="&amp;$A8, Sales_Category!$B$2:$B$47, "Bottled Beer"))</f>
        <v>2942</v>
      </c>
      <c r="F8" s="19">
        <f>IF($A8="","",SUMIFS(COGS_Input!$G$2:$G$59, COGS_Input!$A$2:$A$59, $A8, COGS_Input!$B$2:$B$59, "Food + NA Beverage"))</f>
        <v>0</v>
      </c>
      <c r="G8" s="19">
        <f>IF($A8="","",SUMIFS(COGS_Input!$G$2:$G$59, COGS_Input!$A$2:$A$59, $A8, COGS_Input!$B$2:$B$59, "Liquor + Wine"))</f>
        <v>0</v>
      </c>
      <c r="H8" s="19">
        <f>IF($A8="","",SUMIFS(COGS_Input!$G$2:$G$59, COGS_Input!$A$2:$A$59, $A8, COGS_Input!$B$2:$B$59, "Beer"))</f>
        <v>0</v>
      </c>
      <c r="I8" s="19">
        <f>IF($A8="","",SUMIFS(COGS_Input!$G$2:$G$59, COGS_Input!$A$2:$A$59, $A8))</f>
        <v>0</v>
      </c>
      <c r="J8" s="19">
        <f ca="1">IF($A8="","",SUMIFS(Labor_Input!$J$2:$J$2, Labor_Input!$A$2:$A$2, "&gt;="&amp;($A8-6), Labor_Input!$A$2:$A$2, "&lt;="&amp;$A8, Labor_Input!$D$2:$D$2, "FOH"))</f>
        <v>0</v>
      </c>
      <c r="K8" s="19">
        <f ca="1">IF($A8="","",SUMIFS(Labor_Input!$J$2:$J$2, Labor_Input!$A$2:$A$2, "&gt;="&amp;($A8-6), Labor_Input!$A$2:$A$2, "&lt;="&amp;$A8, Labor_Input!$D$2:$D$2, "BOH"))</f>
        <v>0</v>
      </c>
      <c r="L8" s="19">
        <f ca="1">IF($A8="","",SUMIFS(Labor_Input!$J$2:$J$2, Labor_Input!$A$2:$A$2, "&gt;="&amp;($A8-6), Labor_Input!$A$2:$A$2, "&lt;="&amp;$A8, Labor_Input!$D$2:$D$2, "Management"))</f>
        <v>0</v>
      </c>
      <c r="M8" s="19">
        <f ca="1">IF($A8="","",SUMIFS(Labor_Input!$J$2:$J$2, Labor_Input!$A$2:$A$2, "&gt;="&amp;($A8-6), Labor_Input!$A$2:$A$2, "&lt;="&amp;$A8, Labor_Input!$D$2:$D$2, "Security"))</f>
        <v>0</v>
      </c>
      <c r="N8" s="19">
        <f t="shared" si="0"/>
        <v>0</v>
      </c>
      <c r="O8" s="19">
        <f t="shared" ca="1" si="1"/>
        <v>0</v>
      </c>
      <c r="P8" s="15">
        <f t="shared" si="2"/>
        <v>1</v>
      </c>
      <c r="Q8" s="15">
        <f t="shared" si="3"/>
        <v>2026</v>
      </c>
    </row>
    <row r="9" spans="1:17">
      <c r="A9" s="17">
        <f t="shared" si="4"/>
        <v>46033</v>
      </c>
      <c r="B9" s="19">
        <f>IF($A9="","",SUMIFS(Sales_Revenue!$B$2:$B$10, Sales_Revenue!$A$2:$A$10, "&gt;="&amp;($A9-6), Sales_Revenue!$A$2:$A$10, "&lt;="&amp;$A9))</f>
        <v>7201.42</v>
      </c>
      <c r="C9" s="19">
        <f>IF($A9="","",SUMIFS(Sales_Category!$D$2:$D$47, Sales_Category!$A$2:$A$47, "&gt;="&amp;($A9-6), Sales_Category!$A$2:$A$47, "&lt;="&amp;$A9, Sales_Category!$B$2:$B$47, "Food"))</f>
        <v>1823.6399999999999</v>
      </c>
      <c r="D9" s="19">
        <f>IF($A9="","",SUMIFS(Sales_Category!$D$2:$D$47, Sales_Category!$A$2:$A$47, "&gt;="&amp;($A9-6), Sales_Category!$A$2:$A$47, "&lt;="&amp;$A9, Sales_Category!$B$2:$B$47, "Liquor")+SUMIFS(Sales_Category!$D$2:$D$47, Sales_Category!$A$2:$A$47, "&gt;="&amp;($A9-6), Sales_Category!$A$2:$A$47, "&lt;="&amp;$A9, Sales_Category!$B$2:$B$47, "Wine"))</f>
        <v>4029.2</v>
      </c>
      <c r="E9" s="19">
        <f>IF($A9="","",SUMIFS(Sales_Category!$D$2:$D$47, Sales_Category!$A$2:$A$47, "&gt;="&amp;($A9-6), Sales_Category!$A$2:$A$47, "&lt;="&amp;$A9, Sales_Category!$B$2:$B$47, "Bottled Beer"))</f>
        <v>1221</v>
      </c>
      <c r="F9" s="19">
        <f>IF($A9="","",SUMIFS(COGS_Input!$G$2:$G$59, COGS_Input!$A$2:$A$59, $A9, COGS_Input!$B$2:$B$59, "Food + NA Beverage"))</f>
        <v>0</v>
      </c>
      <c r="G9" s="19">
        <f>IF($A9="","",SUMIFS(COGS_Input!$G$2:$G$59, COGS_Input!$A$2:$A$59, $A9, COGS_Input!$B$2:$B$59, "Liquor + Wine"))</f>
        <v>0</v>
      </c>
      <c r="H9" s="19">
        <f>IF($A9="","",SUMIFS(COGS_Input!$G$2:$G$59, COGS_Input!$A$2:$A$59, $A9, COGS_Input!$B$2:$B$59, "Beer"))</f>
        <v>0</v>
      </c>
      <c r="I9" s="19">
        <f>IF($A9="","",SUMIFS(COGS_Input!$G$2:$G$59, COGS_Input!$A$2:$A$59, $A9))</f>
        <v>0</v>
      </c>
      <c r="J9" s="19">
        <f ca="1">IF($A9="","",SUMIFS(Labor_Input!$J$2:$J$2, Labor_Input!$A$2:$A$2, "&gt;="&amp;($A9-6), Labor_Input!$A$2:$A$2, "&lt;="&amp;$A9, Labor_Input!$D$2:$D$2, "FOH"))</f>
        <v>0</v>
      </c>
      <c r="K9" s="19">
        <f ca="1">IF($A9="","",SUMIFS(Labor_Input!$J$2:$J$2, Labor_Input!$A$2:$A$2, "&gt;="&amp;($A9-6), Labor_Input!$A$2:$A$2, "&lt;="&amp;$A9, Labor_Input!$D$2:$D$2, "BOH"))</f>
        <v>0</v>
      </c>
      <c r="L9" s="19">
        <f ca="1">IF($A9="","",SUMIFS(Labor_Input!$J$2:$J$2, Labor_Input!$A$2:$A$2, "&gt;="&amp;($A9-6), Labor_Input!$A$2:$A$2, "&lt;="&amp;$A9, Labor_Input!$D$2:$D$2, "Management"))</f>
        <v>0</v>
      </c>
      <c r="M9" s="19">
        <f ca="1">IF($A9="","",SUMIFS(Labor_Input!$J$2:$J$2, Labor_Input!$A$2:$A$2, "&gt;="&amp;($A9-6), Labor_Input!$A$2:$A$2, "&lt;="&amp;$A9, Labor_Input!$D$2:$D$2, "Security"))</f>
        <v>0</v>
      </c>
      <c r="N9" s="19">
        <f t="shared" si="0"/>
        <v>0</v>
      </c>
      <c r="O9" s="19">
        <f t="shared" ca="1" si="1"/>
        <v>0</v>
      </c>
      <c r="P9" s="15">
        <f t="shared" si="2"/>
        <v>2</v>
      </c>
      <c r="Q9" s="15">
        <f t="shared" si="3"/>
        <v>2026</v>
      </c>
    </row>
    <row r="16" spans="1:17">
      <c r="I16" t="s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Sales_Payments</vt:lpstr>
      <vt:lpstr>Sales_Revenue</vt:lpstr>
      <vt:lpstr>Sales_Category</vt:lpstr>
      <vt:lpstr>Sales_Daypart</vt:lpstr>
      <vt:lpstr>Labor_Input</vt:lpstr>
      <vt:lpstr>COGS_Input</vt:lpstr>
      <vt:lpstr>Direct_NonControllable</vt:lpstr>
      <vt:lpstr>Targets_Reference</vt:lpstr>
      <vt:lpstr>COGS_Vendor_Lookup</vt:lpstr>
      <vt:lpstr>Job_Classification_Lookup</vt:lpstr>
      <vt:lpstr>Data_Aggregation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new</cp:lastModifiedBy>
  <dcterms:created xsi:type="dcterms:W3CDTF">2026-01-10T22:27:36Z</dcterms:created>
  <dcterms:modified xsi:type="dcterms:W3CDTF">2026-01-18T18:34:59Z</dcterms:modified>
</cp:coreProperties>
</file>